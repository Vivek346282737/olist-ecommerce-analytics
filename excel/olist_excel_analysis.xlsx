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_Summary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State_Lookup" sheetId="3" state="visible" r:id="rId3"/>
  </sheets>
  <definedNames>
    <definedName name="_xlnm._FilterDatabase" localSheetId="1" hidden="1">'Orders'!$A$1:$L$5001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16" customWidth="1" min="4" max="4"/>
    <col width="18" customWidth="1" min="5" max="5"/>
    <col width="12" customWidth="1" min="6" max="6"/>
    <col width="14" customWidth="1" min="7" max="7"/>
  </cols>
  <sheetData>
    <row r="1">
      <c r="A1" s="1" t="inlineStr">
        <is>
          <t>KPI Summary (live formulas on the Orders sheet)</t>
        </is>
      </c>
    </row>
    <row r="3">
      <c r="A3" t="inlineStr">
        <is>
          <t>Total orders</t>
        </is>
      </c>
      <c r="B3" s="2">
        <f>COUNTA(Orders!$A$2:$A$5001)</f>
        <v/>
      </c>
    </row>
    <row r="4">
      <c r="A4" t="inlineStr">
        <is>
          <t>Total revenue</t>
        </is>
      </c>
      <c r="B4" s="2">
        <f>SUM(Orders!$G$2:$G$5001)</f>
        <v/>
      </c>
    </row>
    <row r="5">
      <c r="A5" t="inlineStr">
        <is>
          <t>Average order value</t>
        </is>
      </c>
      <c r="B5" s="3">
        <f>AVERAGE(Orders!$G$2:$G$5001)</f>
        <v/>
      </c>
    </row>
    <row r="6">
      <c r="A6" t="inlineStr">
        <is>
          <t>Average delivery days</t>
        </is>
      </c>
      <c r="B6" s="4">
        <f>AVERAGE(Orders!$J$2:$J$5001)</f>
        <v/>
      </c>
    </row>
    <row r="7">
      <c r="A7" t="inlineStr">
        <is>
          <t>Late delivery %</t>
        </is>
      </c>
      <c r="B7" s="5">
        <f>COUNTIF(Orders!$K$2:$K$5001,"Late")/COUNTIF(Orders!$K$2:$K$5001,"&lt;&gt;Not Delivered")</f>
        <v/>
      </c>
    </row>
    <row r="8">
      <c r="A8" t="inlineStr">
        <is>
          <t>Average review score</t>
        </is>
      </c>
      <c r="B8" s="6">
        <f>AVERAGE(Orders!$L$2:$L$5001)</f>
        <v/>
      </c>
    </row>
    <row r="9">
      <c r="A9" t="inlineStr">
        <is>
          <t>Avg review - on time</t>
        </is>
      </c>
      <c r="B9" s="6">
        <f>AVERAGEIFS(Orders!$L$2:$L$5001,Orders!$K$2:$K$5001,"On Time")</f>
        <v/>
      </c>
    </row>
    <row r="10">
      <c r="A10" t="inlineStr">
        <is>
          <t>Avg review - late</t>
        </is>
      </c>
      <c r="B10" s="6">
        <f>AVERAGEIFS(Orders!$L$2:$L$5001,Orders!$K$2:$K$5001,"Late")</f>
        <v/>
      </c>
    </row>
    <row r="13">
      <c r="A13" s="7" t="inlineStr">
        <is>
          <t>State</t>
        </is>
      </c>
      <c r="B13" s="7" t="inlineStr">
        <is>
          <t>State name</t>
        </is>
      </c>
      <c r="C13" s="7" t="inlineStr">
        <is>
          <t>Orders</t>
        </is>
      </c>
      <c r="D13" s="7" t="inlineStr">
        <is>
          <t>Revenue</t>
        </is>
      </c>
      <c r="E13" s="7" t="inlineStr">
        <is>
          <t>Avg order value</t>
        </is>
      </c>
      <c r="F13" s="7" t="inlineStr">
        <is>
          <t>Late %</t>
        </is>
      </c>
      <c r="G13" s="7" t="inlineStr">
        <is>
          <t>Avg review</t>
        </is>
      </c>
    </row>
    <row r="14">
      <c r="A14" t="inlineStr">
        <is>
          <t>SP</t>
        </is>
      </c>
      <c r="B14">
        <f>VLOOKUP(A14,State_Lookup!$A$2:$B$28,2,FALSE)</f>
        <v/>
      </c>
      <c r="C14">
        <f>COUNTIFS(Orders!$D$2:$D$5001,A14)</f>
        <v/>
      </c>
      <c r="D14" s="2">
        <f>SUMIFS(Orders!$G$2:$G$5001,Orders!$D$2:$D$5001,A14)</f>
        <v/>
      </c>
      <c r="E14" s="2">
        <f>IFERROR(D14/C14,0)</f>
        <v/>
      </c>
      <c r="F14" s="5">
        <f>IFERROR(COUNTIFS(Orders!$D$2:$D$5001,A14,Orders!$K$2:$K$5001,"Late")/C14,0)</f>
        <v/>
      </c>
      <c r="G14" s="6">
        <f>IFERROR(AVERAGEIFS(Orders!$L$2:$L$5001,Orders!$D$2:$D$5001,A14),0)</f>
        <v/>
      </c>
    </row>
    <row r="15">
      <c r="A15" t="inlineStr">
        <is>
          <t>RJ</t>
        </is>
      </c>
      <c r="B15">
        <f>VLOOKUP(A15,State_Lookup!$A$2:$B$28,2,FALSE)</f>
        <v/>
      </c>
      <c r="C15">
        <f>COUNTIFS(Orders!$D$2:$D$5001,A15)</f>
        <v/>
      </c>
      <c r="D15" s="2">
        <f>SUMIFS(Orders!$G$2:$G$5001,Orders!$D$2:$D$5001,A15)</f>
        <v/>
      </c>
      <c r="E15" s="2">
        <f>IFERROR(D15/C15,0)</f>
        <v/>
      </c>
      <c r="F15" s="5">
        <f>IFERROR(COUNTIFS(Orders!$D$2:$D$5001,A15,Orders!$K$2:$K$5001,"Late")/C15,0)</f>
        <v/>
      </c>
      <c r="G15" s="6">
        <f>IFERROR(AVERAGEIFS(Orders!$L$2:$L$5001,Orders!$D$2:$D$5001,A15),0)</f>
        <v/>
      </c>
    </row>
    <row r="16">
      <c r="A16" t="inlineStr">
        <is>
          <t>MG</t>
        </is>
      </c>
      <c r="B16">
        <f>VLOOKUP(A16,State_Lookup!$A$2:$B$28,2,FALSE)</f>
        <v/>
      </c>
      <c r="C16">
        <f>COUNTIFS(Orders!$D$2:$D$5001,A16)</f>
        <v/>
      </c>
      <c r="D16" s="2">
        <f>SUMIFS(Orders!$G$2:$G$5001,Orders!$D$2:$D$5001,A16)</f>
        <v/>
      </c>
      <c r="E16" s="2">
        <f>IFERROR(D16/C16,0)</f>
        <v/>
      </c>
      <c r="F16" s="5">
        <f>IFERROR(COUNTIFS(Orders!$D$2:$D$5001,A16,Orders!$K$2:$K$5001,"Late")/C16,0)</f>
        <v/>
      </c>
      <c r="G16" s="6">
        <f>IFERROR(AVERAGEIFS(Orders!$L$2:$L$5001,Orders!$D$2:$D$5001,A16),0)</f>
        <v/>
      </c>
    </row>
    <row r="17">
      <c r="A17" t="inlineStr">
        <is>
          <t>RS</t>
        </is>
      </c>
      <c r="B17">
        <f>VLOOKUP(A17,State_Lookup!$A$2:$B$28,2,FALSE)</f>
        <v/>
      </c>
      <c r="C17">
        <f>COUNTIFS(Orders!$D$2:$D$5001,A17)</f>
        <v/>
      </c>
      <c r="D17" s="2">
        <f>SUMIFS(Orders!$G$2:$G$5001,Orders!$D$2:$D$5001,A17)</f>
        <v/>
      </c>
      <c r="E17" s="2">
        <f>IFERROR(D17/C17,0)</f>
        <v/>
      </c>
      <c r="F17" s="5">
        <f>IFERROR(COUNTIFS(Orders!$D$2:$D$5001,A17,Orders!$K$2:$K$5001,"Late")/C17,0)</f>
        <v/>
      </c>
      <c r="G17" s="6">
        <f>IFERROR(AVERAGEIFS(Orders!$L$2:$L$5001,Orders!$D$2:$D$5001,A17),0)</f>
        <v/>
      </c>
    </row>
    <row r="18">
      <c r="A18" t="inlineStr">
        <is>
          <t>PR</t>
        </is>
      </c>
      <c r="B18">
        <f>VLOOKUP(A18,State_Lookup!$A$2:$B$28,2,FALSE)</f>
        <v/>
      </c>
      <c r="C18">
        <f>COUNTIFS(Orders!$D$2:$D$5001,A18)</f>
        <v/>
      </c>
      <c r="D18" s="2">
        <f>SUMIFS(Orders!$G$2:$G$5001,Orders!$D$2:$D$5001,A18)</f>
        <v/>
      </c>
      <c r="E18" s="2">
        <f>IFERROR(D18/C18,0)</f>
        <v/>
      </c>
      <c r="F18" s="5">
        <f>IFERROR(COUNTIFS(Orders!$D$2:$D$5001,A18,Orders!$K$2:$K$5001,"Late")/C18,0)</f>
        <v/>
      </c>
      <c r="G18" s="6">
        <f>IFERROR(AVERAGEIFS(Orders!$L$2:$L$5001,Orders!$D$2:$D$5001,A18),0)</f>
        <v/>
      </c>
    </row>
    <row r="19">
      <c r="A19" t="inlineStr">
        <is>
          <t>SC</t>
        </is>
      </c>
      <c r="B19">
        <f>VLOOKUP(A19,State_Lookup!$A$2:$B$28,2,FALSE)</f>
        <v/>
      </c>
      <c r="C19">
        <f>COUNTIFS(Orders!$D$2:$D$5001,A19)</f>
        <v/>
      </c>
      <c r="D19" s="2">
        <f>SUMIFS(Orders!$G$2:$G$5001,Orders!$D$2:$D$5001,A19)</f>
        <v/>
      </c>
      <c r="E19" s="2">
        <f>IFERROR(D19/C19,0)</f>
        <v/>
      </c>
      <c r="F19" s="5">
        <f>IFERROR(COUNTIFS(Orders!$D$2:$D$5001,A19,Orders!$K$2:$K$5001,"Late")/C19,0)</f>
        <v/>
      </c>
      <c r="G19" s="6">
        <f>IFERROR(AVERAGEIFS(Orders!$L$2:$L$5001,Orders!$D$2:$D$5001,A19),0)</f>
        <v/>
      </c>
    </row>
    <row r="20">
      <c r="A20" t="inlineStr">
        <is>
          <t>BA</t>
        </is>
      </c>
      <c r="B20">
        <f>VLOOKUP(A20,State_Lookup!$A$2:$B$28,2,FALSE)</f>
        <v/>
      </c>
      <c r="C20">
        <f>COUNTIFS(Orders!$D$2:$D$5001,A20)</f>
        <v/>
      </c>
      <c r="D20" s="2">
        <f>SUMIFS(Orders!$G$2:$G$5001,Orders!$D$2:$D$5001,A20)</f>
        <v/>
      </c>
      <c r="E20" s="2">
        <f>IFERROR(D20/C20,0)</f>
        <v/>
      </c>
      <c r="F20" s="5">
        <f>IFERROR(COUNTIFS(Orders!$D$2:$D$5001,A20,Orders!$K$2:$K$5001,"Late")/C20,0)</f>
        <v/>
      </c>
      <c r="G20" s="6">
        <f>IFERROR(AVERAGEIFS(Orders!$L$2:$L$5001,Orders!$D$2:$D$5001,A20),0)</f>
        <v/>
      </c>
    </row>
    <row r="21">
      <c r="A21" t="inlineStr">
        <is>
          <t>ES</t>
        </is>
      </c>
      <c r="B21">
        <f>VLOOKUP(A21,State_Lookup!$A$2:$B$28,2,FALSE)</f>
        <v/>
      </c>
      <c r="C21">
        <f>COUNTIFS(Orders!$D$2:$D$5001,A21)</f>
        <v/>
      </c>
      <c r="D21" s="2">
        <f>SUMIFS(Orders!$G$2:$G$5001,Orders!$D$2:$D$5001,A21)</f>
        <v/>
      </c>
      <c r="E21" s="2">
        <f>IFERROR(D21/C21,0)</f>
        <v/>
      </c>
      <c r="F21" s="5">
        <f>IFERROR(COUNTIFS(Orders!$D$2:$D$5001,A21,Orders!$K$2:$K$5001,"Late")/C21,0)</f>
        <v/>
      </c>
      <c r="G21" s="6">
        <f>IFERROR(AVERAGEIFS(Orders!$L$2:$L$5001,Orders!$D$2:$D$5001,A21),0)</f>
        <v/>
      </c>
    </row>
    <row r="22">
      <c r="A22" t="inlineStr">
        <is>
          <t>DF</t>
        </is>
      </c>
      <c r="B22">
        <f>VLOOKUP(A22,State_Lookup!$A$2:$B$28,2,FALSE)</f>
        <v/>
      </c>
      <c r="C22">
        <f>COUNTIFS(Orders!$D$2:$D$5001,A22)</f>
        <v/>
      </c>
      <c r="D22" s="2">
        <f>SUMIFS(Orders!$G$2:$G$5001,Orders!$D$2:$D$5001,A22)</f>
        <v/>
      </c>
      <c r="E22" s="2">
        <f>IFERROR(D22/C22,0)</f>
        <v/>
      </c>
      <c r="F22" s="5">
        <f>IFERROR(COUNTIFS(Orders!$D$2:$D$5001,A22,Orders!$K$2:$K$5001,"Late")/C22,0)</f>
        <v/>
      </c>
      <c r="G22" s="6">
        <f>IFERROR(AVERAGEIFS(Orders!$L$2:$L$5001,Orders!$D$2:$D$5001,A22),0)</f>
        <v/>
      </c>
    </row>
    <row r="23">
      <c r="A23" t="inlineStr">
        <is>
          <t>GO</t>
        </is>
      </c>
      <c r="B23">
        <f>VLOOKUP(A23,State_Lookup!$A$2:$B$28,2,FALSE)</f>
        <v/>
      </c>
      <c r="C23">
        <f>COUNTIFS(Orders!$D$2:$D$5001,A23)</f>
        <v/>
      </c>
      <c r="D23" s="2">
        <f>SUMIFS(Orders!$G$2:$G$5001,Orders!$D$2:$D$5001,A23)</f>
        <v/>
      </c>
      <c r="E23" s="2">
        <f>IFERROR(D23/C23,0)</f>
        <v/>
      </c>
      <c r="F23" s="5">
        <f>IFERROR(COUNTIFS(Orders!$D$2:$D$5001,A23,Orders!$K$2:$K$5001,"Late")/C23,0)</f>
        <v/>
      </c>
      <c r="G23" s="6">
        <f>IFERROR(AVERAGEIFS(Orders!$L$2:$L$5001,Orders!$D$2:$D$5001,A23),0)</f>
        <v/>
      </c>
    </row>
  </sheetData>
  <conditionalFormatting sqref="D14:D23">
    <cfRule type="dataBar" priority="1">
      <dataBar>
        <cfvo type="min"/>
        <cfvo type="max"/>
        <color rgb="005B9BD5"/>
      </dataBar>
    </cfRule>
  </conditionalFormatting>
  <conditionalFormatting sqref="F14:F23">
    <cfRule type="colorScale" priority="2">
      <colorScale>
        <cfvo type="min"/>
        <cfvo type="max"/>
        <color rgb="0063BE7B"/>
        <color rgb="00F8696B"/>
      </colorScale>
    </cfRule>
  </conditionalFormatting>
  <conditionalFormatting sqref="G14:G23">
    <cfRule type="colorScale" priority="3">
      <colorScale>
        <cfvo type="min"/>
        <cfvo type="max"/>
        <color rgb="00F8696B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7" t="inlineStr">
        <is>
          <t>order_id</t>
        </is>
      </c>
      <c r="B1" s="7" t="inlineStr">
        <is>
          <t>order_date</t>
        </is>
      </c>
      <c r="C1" s="7" t="inlineStr">
        <is>
          <t>order_month</t>
        </is>
      </c>
      <c r="D1" s="7" t="inlineStr">
        <is>
          <t>customer_state</t>
        </is>
      </c>
      <c r="E1" s="7" t="inlineStr">
        <is>
          <t>main_category</t>
        </is>
      </c>
      <c r="F1" s="7" t="inlineStr">
        <is>
          <t>items</t>
        </is>
      </c>
      <c r="G1" s="7" t="inlineStr">
        <is>
          <t>order_value</t>
        </is>
      </c>
      <c r="H1" s="7" t="inlineStr">
        <is>
          <t>freight_value</t>
        </is>
      </c>
      <c r="I1" s="7" t="inlineStr">
        <is>
          <t>payment_type</t>
        </is>
      </c>
      <c r="J1" s="7" t="inlineStr">
        <is>
          <t>delivery_days</t>
        </is>
      </c>
      <c r="K1" s="7" t="inlineStr">
        <is>
          <t>delivery_status</t>
        </is>
      </c>
      <c r="L1" s="7" t="inlineStr">
        <is>
          <t>review_score</t>
        </is>
      </c>
      <c r="M1" s="7" t="inlineStr">
        <is>
          <t>state_name</t>
        </is>
      </c>
    </row>
    <row r="2">
      <c r="A2" t="inlineStr">
        <is>
          <t>2e7a8482f6fb09756ca50c10d7bfc047</t>
        </is>
      </c>
      <c r="B2" t="inlineStr">
        <is>
          <t>2016-09-04</t>
        </is>
      </c>
      <c r="C2" t="inlineStr">
        <is>
          <t>2016-09</t>
        </is>
      </c>
      <c r="D2" t="inlineStr">
        <is>
          <t>RR</t>
        </is>
      </c>
      <c r="E2" t="inlineStr">
        <is>
          <t>furniture_decor</t>
        </is>
      </c>
      <c r="F2" t="n">
        <v>2</v>
      </c>
      <c r="G2" t="n">
        <v>72.89</v>
      </c>
      <c r="H2" t="n">
        <v>63.34</v>
      </c>
      <c r="I2" t="inlineStr">
        <is>
          <t>credit_card</t>
        </is>
      </c>
      <c r="J2" t="inlineStr"/>
      <c r="K2" t="inlineStr">
        <is>
          <t>Not Delivered</t>
        </is>
      </c>
      <c r="L2" t="n">
        <v>1</v>
      </c>
      <c r="M2">
        <f>VLOOKUP(D2,State_Lookup!$A$2:$B$28,2,FALSE)</f>
        <v/>
      </c>
    </row>
    <row r="3">
      <c r="A3" t="inlineStr">
        <is>
          <t>a41c8759fbe7aab36ea07e038b2d4465</t>
        </is>
      </c>
      <c r="B3" t="inlineStr">
        <is>
          <t>2016-10-03</t>
        </is>
      </c>
      <c r="C3" t="inlineStr">
        <is>
          <t>2016-10</t>
        </is>
      </c>
      <c r="D3" t="inlineStr">
        <is>
          <t>RS</t>
        </is>
      </c>
      <c r="E3" t="inlineStr">
        <is>
          <t>sports_leisure</t>
        </is>
      </c>
      <c r="F3" t="n">
        <v>1</v>
      </c>
      <c r="G3" t="n">
        <v>36.49</v>
      </c>
      <c r="H3" t="n">
        <v>17.24</v>
      </c>
      <c r="I3" t="inlineStr">
        <is>
          <t>boleto</t>
        </is>
      </c>
      <c r="J3" t="n">
        <v>30</v>
      </c>
      <c r="K3" t="inlineStr">
        <is>
          <t>On Time</t>
        </is>
      </c>
      <c r="L3" t="n">
        <v>3</v>
      </c>
      <c r="M3">
        <f>VLOOKUP(D3,State_Lookup!$A$2:$B$28,2,FALSE)</f>
        <v/>
      </c>
    </row>
    <row r="4">
      <c r="A4" t="inlineStr">
        <is>
          <t>ae8a60e4b03c5a4ba9ca0672c164b181</t>
        </is>
      </c>
      <c r="B4" t="inlineStr">
        <is>
          <t>2016-10-03</t>
        </is>
      </c>
      <c r="C4" t="inlineStr">
        <is>
          <t>2016-10</t>
        </is>
      </c>
      <c r="D4" t="inlineStr">
        <is>
          <t>GO</t>
        </is>
      </c>
      <c r="E4" t="inlineStr">
        <is>
          <t>toys</t>
        </is>
      </c>
      <c r="F4" t="n">
        <v>1</v>
      </c>
      <c r="G4" t="n">
        <v>128.9</v>
      </c>
      <c r="H4" t="n">
        <v>25.67</v>
      </c>
      <c r="I4" t="inlineStr">
        <is>
          <t>credit_card</t>
        </is>
      </c>
      <c r="J4" t="n">
        <v>30</v>
      </c>
      <c r="K4" t="inlineStr">
        <is>
          <t>On Time</t>
        </is>
      </c>
      <c r="L4" t="n">
        <v>5</v>
      </c>
      <c r="M4">
        <f>VLOOKUP(D4,State_Lookup!$A$2:$B$28,2,FALSE)</f>
        <v/>
      </c>
    </row>
    <row r="5">
      <c r="A5" t="inlineStr">
        <is>
          <t>966f96af9d189dc428ff04ebbca821b8</t>
        </is>
      </c>
      <c r="B5" t="inlineStr">
        <is>
          <t>2016-10-04</t>
        </is>
      </c>
      <c r="C5" t="inlineStr">
        <is>
          <t>2016-10</t>
        </is>
      </c>
      <c r="D5" t="inlineStr">
        <is>
          <t>SP</t>
        </is>
      </c>
      <c r="E5" t="inlineStr">
        <is>
          <t>toys</t>
        </is>
      </c>
      <c r="F5" t="n">
        <v>1</v>
      </c>
      <c r="G5" t="n">
        <v>129.9</v>
      </c>
      <c r="H5" t="n">
        <v>12.44</v>
      </c>
      <c r="I5" t="inlineStr">
        <is>
          <t>credit_card</t>
        </is>
      </c>
      <c r="J5" t="inlineStr"/>
      <c r="K5" t="inlineStr">
        <is>
          <t>Not Delivered</t>
        </is>
      </c>
      <c r="L5" t="n">
        <v>5</v>
      </c>
      <c r="M5">
        <f>VLOOKUP(D5,State_Lookup!$A$2:$B$28,2,FALSE)</f>
        <v/>
      </c>
    </row>
    <row r="6">
      <c r="A6" t="inlineStr">
        <is>
          <t>5204d67853f827d1ee32810bf8f2d6c2</t>
        </is>
      </c>
      <c r="B6" t="inlineStr">
        <is>
          <t>2016-10-04</t>
        </is>
      </c>
      <c r="C6" t="inlineStr">
        <is>
          <t>2016-10</t>
        </is>
      </c>
      <c r="D6" t="inlineStr">
        <is>
          <t>SP</t>
        </is>
      </c>
      <c r="E6" t="inlineStr">
        <is>
          <t>furniture_decor</t>
        </is>
      </c>
      <c r="F6" t="n">
        <v>1</v>
      </c>
      <c r="G6" t="n">
        <v>139.9</v>
      </c>
      <c r="H6" t="n">
        <v>21.34</v>
      </c>
      <c r="I6" t="inlineStr">
        <is>
          <t>credit_card</t>
        </is>
      </c>
      <c r="J6" t="n">
        <v>8</v>
      </c>
      <c r="K6" t="inlineStr">
        <is>
          <t>On Time</t>
        </is>
      </c>
      <c r="L6" t="n">
        <v>5</v>
      </c>
      <c r="M6">
        <f>VLOOKUP(D6,State_Lookup!$A$2:$B$28,2,FALSE)</f>
        <v/>
      </c>
    </row>
    <row r="7">
      <c r="A7" t="inlineStr">
        <is>
          <t>90aea7c4e52538a18cb9bbfd16f09185</t>
        </is>
      </c>
      <c r="B7" t="inlineStr">
        <is>
          <t>2016-10-04</t>
        </is>
      </c>
      <c r="C7" t="inlineStr">
        <is>
          <t>2016-10</t>
        </is>
      </c>
      <c r="D7" t="inlineStr">
        <is>
          <t>RJ</t>
        </is>
      </c>
      <c r="E7" t="inlineStr">
        <is>
          <t>consoles_games</t>
        </is>
      </c>
      <c r="F7" t="n">
        <v>1</v>
      </c>
      <c r="G7" t="n">
        <v>949.99</v>
      </c>
      <c r="H7" t="n">
        <v>29.92</v>
      </c>
      <c r="I7" t="inlineStr">
        <is>
          <t>credit_card</t>
        </is>
      </c>
      <c r="J7" t="n">
        <v>43</v>
      </c>
      <c r="K7" t="inlineStr">
        <is>
          <t>On Time</t>
        </is>
      </c>
      <c r="L7" t="n">
        <v>5</v>
      </c>
      <c r="M7">
        <f>VLOOKUP(D7,State_Lookup!$A$2:$B$28,2,FALSE)</f>
        <v/>
      </c>
    </row>
    <row r="8">
      <c r="A8" t="inlineStr">
        <is>
          <t>18dad78c0f87f4c45ef196daeaa3ffbb</t>
        </is>
      </c>
      <c r="B8" t="inlineStr">
        <is>
          <t>2016-10-05</t>
        </is>
      </c>
      <c r="C8" t="inlineStr">
        <is>
          <t>2016-10</t>
        </is>
      </c>
      <c r="D8" t="inlineStr">
        <is>
          <t>PR</t>
        </is>
      </c>
      <c r="E8" t="inlineStr">
        <is>
          <t>computers_accessories</t>
        </is>
      </c>
      <c r="F8" t="n">
        <v>1</v>
      </c>
      <c r="G8" t="n">
        <v>43.89</v>
      </c>
      <c r="H8" t="n">
        <v>14.52</v>
      </c>
      <c r="I8" t="inlineStr">
        <is>
          <t>credit_card</t>
        </is>
      </c>
      <c r="J8" t="n">
        <v>12</v>
      </c>
      <c r="K8" t="inlineStr">
        <is>
          <t>On Time</t>
        </is>
      </c>
      <c r="L8" t="n">
        <v>5</v>
      </c>
      <c r="M8">
        <f>VLOOKUP(D8,State_Lookup!$A$2:$B$28,2,FALSE)</f>
        <v/>
      </c>
    </row>
    <row r="9">
      <c r="A9" t="inlineStr">
        <is>
          <t>cac247cece621e1bc64748d44331d22d</t>
        </is>
      </c>
      <c r="B9" t="inlineStr">
        <is>
          <t>2016-10-05</t>
        </is>
      </c>
      <c r="C9" t="inlineStr">
        <is>
          <t>2016-10</t>
        </is>
      </c>
      <c r="D9" t="inlineStr">
        <is>
          <t>PE</t>
        </is>
      </c>
      <c r="E9" t="inlineStr">
        <is>
          <t>perfumery</t>
        </is>
      </c>
      <c r="F9" t="n">
        <v>1</v>
      </c>
      <c r="G9" t="n">
        <v>249.9</v>
      </c>
      <c r="H9" t="n">
        <v>23.87</v>
      </c>
      <c r="I9" t="inlineStr">
        <is>
          <t>credit_card</t>
        </is>
      </c>
      <c r="J9" t="n">
        <v>30</v>
      </c>
      <c r="K9" t="inlineStr">
        <is>
          <t>On Time</t>
        </is>
      </c>
      <c r="L9" t="n">
        <v>5</v>
      </c>
      <c r="M9">
        <f>VLOOKUP(D9,State_Lookup!$A$2:$B$28,2,FALSE)</f>
        <v/>
      </c>
    </row>
    <row r="10">
      <c r="A10" t="inlineStr">
        <is>
          <t>dc5f6cd4492bbffe5bcda9b87856c9a5</t>
        </is>
      </c>
      <c r="B10" t="inlineStr">
        <is>
          <t>2016-10-05</t>
        </is>
      </c>
      <c r="C10" t="inlineStr">
        <is>
          <t>2016-10</t>
        </is>
      </c>
      <c r="D10" t="inlineStr">
        <is>
          <t>MG</t>
        </is>
      </c>
      <c r="E10" t="inlineStr">
        <is>
          <t>telephony</t>
        </is>
      </c>
      <c r="F10" t="n">
        <v>2</v>
      </c>
      <c r="G10" t="n">
        <v>79.8</v>
      </c>
      <c r="H10" t="n">
        <v>29.04</v>
      </c>
      <c r="I10" t="inlineStr">
        <is>
          <t>credit_card</t>
        </is>
      </c>
      <c r="J10" t="n">
        <v>21</v>
      </c>
      <c r="K10" t="inlineStr">
        <is>
          <t>On Time</t>
        </is>
      </c>
      <c r="L10" t="n">
        <v>4</v>
      </c>
      <c r="M10">
        <f>VLOOKUP(D10,State_Lookup!$A$2:$B$28,2,FALSE)</f>
        <v/>
      </c>
    </row>
    <row r="11">
      <c r="A11" t="inlineStr">
        <is>
          <t>ed90ba41c41da31da8e891ff43a584d1</t>
        </is>
      </c>
      <c r="B11" t="inlineStr">
        <is>
          <t>2016-10-06</t>
        </is>
      </c>
      <c r="C11" t="inlineStr">
        <is>
          <t>2016-10</t>
        </is>
      </c>
      <c r="D11" t="inlineStr">
        <is>
          <t>PR</t>
        </is>
      </c>
      <c r="E11" t="inlineStr">
        <is>
          <t>garden_tools</t>
        </is>
      </c>
      <c r="F11" t="n">
        <v>1</v>
      </c>
      <c r="G11" t="n">
        <v>139.99</v>
      </c>
      <c r="H11" t="n">
        <v>16.23</v>
      </c>
      <c r="I11" t="inlineStr">
        <is>
          <t>credit_card</t>
        </is>
      </c>
      <c r="J11" t="n">
        <v>7</v>
      </c>
      <c r="K11" t="inlineStr">
        <is>
          <t>On Time</t>
        </is>
      </c>
      <c r="L11" t="n">
        <v>5</v>
      </c>
      <c r="M11">
        <f>VLOOKUP(D11,State_Lookup!$A$2:$B$28,2,FALSE)</f>
        <v/>
      </c>
    </row>
    <row r="12">
      <c r="A12" t="inlineStr">
        <is>
          <t>6ece326e25f193d084e3dc092bbdd93b</t>
        </is>
      </c>
      <c r="B12" t="inlineStr">
        <is>
          <t>2016-10-06</t>
        </is>
      </c>
      <c r="C12" t="inlineStr">
        <is>
          <t>2016-10</t>
        </is>
      </c>
      <c r="D12" t="inlineStr">
        <is>
          <t>SC</t>
        </is>
      </c>
      <c r="E12" t="inlineStr">
        <is>
          <t>furniture_decor</t>
        </is>
      </c>
      <c r="F12" t="n">
        <v>1</v>
      </c>
      <c r="G12" t="n">
        <v>59.9</v>
      </c>
      <c r="H12" t="n">
        <v>25.92</v>
      </c>
      <c r="I12" t="inlineStr">
        <is>
          <t>credit_card</t>
        </is>
      </c>
      <c r="J12" t="n">
        <v>17</v>
      </c>
      <c r="K12" t="inlineStr">
        <is>
          <t>On Time</t>
        </is>
      </c>
      <c r="L12" t="n">
        <v>4</v>
      </c>
      <c r="M12">
        <f>VLOOKUP(D12,State_Lookup!$A$2:$B$28,2,FALSE)</f>
        <v/>
      </c>
    </row>
    <row r="13">
      <c r="A13" t="inlineStr">
        <is>
          <t>ce9840efc17fbec501472f7c784be1bf</t>
        </is>
      </c>
      <c r="B13" t="inlineStr">
        <is>
          <t>2016-10-06</t>
        </is>
      </c>
      <c r="C13" t="inlineStr">
        <is>
          <t>2016-10</t>
        </is>
      </c>
      <c r="D13" t="inlineStr">
        <is>
          <t>PR</t>
        </is>
      </c>
      <c r="E13" t="inlineStr">
        <is>
          <t>sports_leisure</t>
        </is>
      </c>
      <c r="F13" t="n">
        <v>1</v>
      </c>
      <c r="G13" t="n">
        <v>18.9</v>
      </c>
      <c r="H13" t="n">
        <v>14.52</v>
      </c>
      <c r="I13" t="inlineStr">
        <is>
          <t>credit_card</t>
        </is>
      </c>
      <c r="J13" t="n">
        <v>17</v>
      </c>
      <c r="K13" t="inlineStr">
        <is>
          <t>On Time</t>
        </is>
      </c>
      <c r="L13" t="n">
        <v>4</v>
      </c>
      <c r="M13">
        <f>VLOOKUP(D13,State_Lookup!$A$2:$B$28,2,FALSE)</f>
        <v/>
      </c>
    </row>
    <row r="14">
      <c r="A14" t="inlineStr">
        <is>
          <t>770d331c84e5b214bd9dc70a10b829d0</t>
        </is>
      </c>
      <c r="B14" t="inlineStr">
        <is>
          <t>2016-10-07</t>
        </is>
      </c>
      <c r="C14" t="inlineStr">
        <is>
          <t>2016-10</t>
        </is>
      </c>
      <c r="D14" t="inlineStr">
        <is>
          <t>RJ</t>
        </is>
      </c>
      <c r="E14" t="inlineStr">
        <is>
          <t>perfumery</t>
        </is>
      </c>
      <c r="F14" t="n">
        <v>1</v>
      </c>
      <c r="G14" t="n">
        <v>249.9</v>
      </c>
      <c r="H14" t="n">
        <v>14.03</v>
      </c>
      <c r="I14" t="inlineStr">
        <is>
          <t>credit_card</t>
        </is>
      </c>
      <c r="J14" t="n">
        <v>7</v>
      </c>
      <c r="K14" t="inlineStr">
        <is>
          <t>On Time</t>
        </is>
      </c>
      <c r="L14" t="n">
        <v>1</v>
      </c>
      <c r="M14">
        <f>VLOOKUP(D14,State_Lookup!$A$2:$B$28,2,FALSE)</f>
        <v/>
      </c>
    </row>
    <row r="15">
      <c r="A15" t="inlineStr">
        <is>
          <t>6b5e619dedba6d4297fb10dd5886912f</t>
        </is>
      </c>
      <c r="B15" t="inlineStr">
        <is>
          <t>2016-10-08</t>
        </is>
      </c>
      <c r="C15" t="inlineStr">
        <is>
          <t>2016-10</t>
        </is>
      </c>
      <c r="D15" t="inlineStr">
        <is>
          <t>SP</t>
        </is>
      </c>
      <c r="E15" t="inlineStr">
        <is>
          <t>industry_commerce_and_business</t>
        </is>
      </c>
      <c r="F15" t="n">
        <v>2</v>
      </c>
      <c r="G15" t="n">
        <v>179.8</v>
      </c>
      <c r="H15" t="n">
        <v>27.42</v>
      </c>
      <c r="I15" t="inlineStr">
        <is>
          <t>credit_card</t>
        </is>
      </c>
      <c r="J15" t="n">
        <v>12</v>
      </c>
      <c r="K15" t="inlineStr">
        <is>
          <t>On Time</t>
        </is>
      </c>
      <c r="L15" t="n">
        <v>4</v>
      </c>
      <c r="M15">
        <f>VLOOKUP(D15,State_Lookup!$A$2:$B$28,2,FALSE)</f>
        <v/>
      </c>
    </row>
    <row r="16">
      <c r="A16" t="inlineStr">
        <is>
          <t>89f586f0cbddc6428831c41c8c333c66</t>
        </is>
      </c>
      <c r="B16" t="inlineStr">
        <is>
          <t>2016-10-09</t>
        </is>
      </c>
      <c r="C16" t="inlineStr">
        <is>
          <t>2016-10</t>
        </is>
      </c>
      <c r="D16" t="inlineStr">
        <is>
          <t>SC</t>
        </is>
      </c>
      <c r="E16" t="inlineStr">
        <is>
          <t>health_beauty</t>
        </is>
      </c>
      <c r="F16" t="n">
        <v>1</v>
      </c>
      <c r="G16" t="n">
        <v>29.9</v>
      </c>
      <c r="H16" t="n">
        <v>14.59</v>
      </c>
      <c r="I16" t="inlineStr">
        <is>
          <t>credit_card</t>
        </is>
      </c>
      <c r="J16" t="n">
        <v>7</v>
      </c>
      <c r="K16" t="inlineStr">
        <is>
          <t>On Time</t>
        </is>
      </c>
      <c r="L16" t="n">
        <v>5</v>
      </c>
      <c r="M16">
        <f>VLOOKUP(D16,State_Lookup!$A$2:$B$28,2,FALSE)</f>
        <v/>
      </c>
    </row>
    <row r="17">
      <c r="A17" t="inlineStr">
        <is>
          <t>5c5c9fde60ffb741545cf2608e8c12ca</t>
        </is>
      </c>
      <c r="B17" t="inlineStr">
        <is>
          <t>2016-10-09</t>
        </is>
      </c>
      <c r="C17" t="inlineStr">
        <is>
          <t>2016-10</t>
        </is>
      </c>
      <c r="D17" t="inlineStr">
        <is>
          <t>SP</t>
        </is>
      </c>
      <c r="E17" t="inlineStr">
        <is>
          <t>toys</t>
        </is>
      </c>
      <c r="F17" t="n">
        <v>1</v>
      </c>
      <c r="G17" t="n">
        <v>549.99</v>
      </c>
      <c r="H17" t="n">
        <v>63.79</v>
      </c>
      <c r="I17" t="inlineStr">
        <is>
          <t>credit_card</t>
        </is>
      </c>
      <c r="J17" t="n">
        <v>9</v>
      </c>
      <c r="K17" t="inlineStr">
        <is>
          <t>On Time</t>
        </is>
      </c>
      <c r="L17" t="n">
        <v>4</v>
      </c>
      <c r="M17">
        <f>VLOOKUP(D17,State_Lookup!$A$2:$B$28,2,FALSE)</f>
        <v/>
      </c>
    </row>
    <row r="18">
      <c r="A18" t="inlineStr">
        <is>
          <t>09dd83f72b2516179cd46b81121fad23</t>
        </is>
      </c>
      <c r="B18" t="inlineStr">
        <is>
          <t>2016-10-10</t>
        </is>
      </c>
      <c r="C18" t="inlineStr">
        <is>
          <t>2016-10</t>
        </is>
      </c>
      <c r="D18" t="inlineStr">
        <is>
          <t>SE</t>
        </is>
      </c>
      <c r="E18" t="inlineStr">
        <is>
          <t>consoles_games</t>
        </is>
      </c>
      <c r="F18" t="n">
        <v>1</v>
      </c>
      <c r="G18" t="n">
        <v>58</v>
      </c>
      <c r="H18" t="n">
        <v>21.99</v>
      </c>
      <c r="I18" t="inlineStr">
        <is>
          <t>boleto</t>
        </is>
      </c>
      <c r="J18" t="n">
        <v>48</v>
      </c>
      <c r="K18" t="inlineStr">
        <is>
          <t>On Time</t>
        </is>
      </c>
      <c r="L18" t="n">
        <v>4</v>
      </c>
      <c r="M18">
        <f>VLOOKUP(D18,State_Lookup!$A$2:$B$28,2,FALSE)</f>
        <v/>
      </c>
    </row>
    <row r="19">
      <c r="A19" t="inlineStr">
        <is>
          <t>2f9d791088532b218b41f892cc16073b</t>
        </is>
      </c>
      <c r="B19" t="inlineStr">
        <is>
          <t>2017-01-05</t>
        </is>
      </c>
      <c r="C19" t="inlineStr">
        <is>
          <t>2017-01</t>
        </is>
      </c>
      <c r="D19" t="inlineStr">
        <is>
          <t>PR</t>
        </is>
      </c>
      <c r="E19" t="inlineStr">
        <is>
          <t>music</t>
        </is>
      </c>
      <c r="F19" t="n">
        <v>1</v>
      </c>
      <c r="G19" t="n">
        <v>9.9</v>
      </c>
      <c r="H19" t="n">
        <v>8.720000000000001</v>
      </c>
      <c r="I19" t="inlineStr">
        <is>
          <t>boleto</t>
        </is>
      </c>
      <c r="J19" t="n">
        <v>12</v>
      </c>
      <c r="K19" t="inlineStr">
        <is>
          <t>On Time</t>
        </is>
      </c>
      <c r="L19" t="n">
        <v>5</v>
      </c>
      <c r="M19">
        <f>VLOOKUP(D19,State_Lookup!$A$2:$B$28,2,FALSE)</f>
        <v/>
      </c>
    </row>
    <row r="20">
      <c r="A20" t="inlineStr">
        <is>
          <t>b174fa32929e4af3622213e835cfa84a</t>
        </is>
      </c>
      <c r="B20" t="inlineStr">
        <is>
          <t>2017-01-09</t>
        </is>
      </c>
      <c r="C20" t="inlineStr">
        <is>
          <t>2017-01</t>
        </is>
      </c>
      <c r="D20" t="inlineStr">
        <is>
          <t>SP</t>
        </is>
      </c>
      <c r="E20" t="inlineStr">
        <is>
          <t>sports_leisure</t>
        </is>
      </c>
      <c r="F20" t="n">
        <v>1</v>
      </c>
      <c r="G20" t="n">
        <v>129</v>
      </c>
      <c r="H20" t="n">
        <v>22.37</v>
      </c>
      <c r="I20" t="inlineStr">
        <is>
          <t>boleto</t>
        </is>
      </c>
      <c r="J20" t="n">
        <v>8</v>
      </c>
      <c r="K20" t="inlineStr">
        <is>
          <t>On Time</t>
        </is>
      </c>
      <c r="L20" t="n">
        <v>1</v>
      </c>
      <c r="M20">
        <f>VLOOKUP(D20,State_Lookup!$A$2:$B$28,2,FALSE)</f>
        <v/>
      </c>
    </row>
    <row r="21">
      <c r="A21" t="inlineStr">
        <is>
          <t>d730d8d0ea3149120703933fdf98b2d4</t>
        </is>
      </c>
      <c r="B21" t="inlineStr">
        <is>
          <t>2017-01-13</t>
        </is>
      </c>
      <c r="C21" t="inlineStr">
        <is>
          <t>2017-01</t>
        </is>
      </c>
      <c r="D21" t="inlineStr">
        <is>
          <t>SP</t>
        </is>
      </c>
      <c r="E21" t="inlineStr">
        <is>
          <t>health_beauty</t>
        </is>
      </c>
      <c r="F21" t="n">
        <v>1</v>
      </c>
      <c r="G21" t="n">
        <v>54.9</v>
      </c>
      <c r="H21" t="n">
        <v>12.96</v>
      </c>
      <c r="I21" t="inlineStr">
        <is>
          <t>credit_card</t>
        </is>
      </c>
      <c r="J21" t="inlineStr"/>
      <c r="K21" t="inlineStr">
        <is>
          <t>Not Delivered</t>
        </is>
      </c>
      <c r="L21" t="inlineStr"/>
      <c r="M21">
        <f>VLOOKUP(D21,State_Lookup!$A$2:$B$28,2,FALSE)</f>
        <v/>
      </c>
    </row>
    <row r="22">
      <c r="A22" t="inlineStr">
        <is>
          <t>6248b0a9b547366913fb67922a7a2b77</t>
        </is>
      </c>
      <c r="B22" t="inlineStr">
        <is>
          <t>2017-01-14</t>
        </is>
      </c>
      <c r="C22" t="inlineStr">
        <is>
          <t>2017-01</t>
        </is>
      </c>
      <c r="D22" t="inlineStr">
        <is>
          <t>RJ</t>
        </is>
      </c>
      <c r="E22" t="inlineStr">
        <is>
          <t>consoles_games</t>
        </is>
      </c>
      <c r="F22" t="n">
        <v>1</v>
      </c>
      <c r="G22" t="n">
        <v>109.9</v>
      </c>
      <c r="H22" t="n">
        <v>14.94</v>
      </c>
      <c r="I22" t="inlineStr">
        <is>
          <t>credit_card</t>
        </is>
      </c>
      <c r="J22" t="n">
        <v>19</v>
      </c>
      <c r="K22" t="inlineStr">
        <is>
          <t>On Time</t>
        </is>
      </c>
      <c r="L22" t="n">
        <v>4</v>
      </c>
      <c r="M22">
        <f>VLOOKUP(D22,State_Lookup!$A$2:$B$28,2,FALSE)</f>
        <v/>
      </c>
    </row>
    <row r="23">
      <c r="A23" t="inlineStr">
        <is>
          <t>3027797ce35841bf74917c0b0ea1a38d</t>
        </is>
      </c>
      <c r="B23" t="inlineStr">
        <is>
          <t>2017-01-15</t>
        </is>
      </c>
      <c r="C23" t="inlineStr">
        <is>
          <t>2017-01</t>
        </is>
      </c>
      <c r="D23" t="inlineStr">
        <is>
          <t>SP</t>
        </is>
      </c>
      <c r="E23" t="inlineStr">
        <is>
          <t>toys</t>
        </is>
      </c>
      <c r="F23" t="n">
        <v>1</v>
      </c>
      <c r="G23" t="n">
        <v>159.9</v>
      </c>
      <c r="H23" t="n">
        <v>16.33</v>
      </c>
      <c r="I23" t="inlineStr">
        <is>
          <t>credit_card</t>
        </is>
      </c>
      <c r="J23" t="n">
        <v>8</v>
      </c>
      <c r="K23" t="inlineStr">
        <is>
          <t>On Time</t>
        </is>
      </c>
      <c r="L23" t="n">
        <v>5</v>
      </c>
      <c r="M23">
        <f>VLOOKUP(D23,State_Lookup!$A$2:$B$28,2,FALSE)</f>
        <v/>
      </c>
    </row>
    <row r="24">
      <c r="A24" t="inlineStr">
        <is>
          <t>d2e9aead95751dd6bd0ce80e7d506c53</t>
        </is>
      </c>
      <c r="B24" t="inlineStr">
        <is>
          <t>2017-01-16</t>
        </is>
      </c>
      <c r="C24" t="inlineStr">
        <is>
          <t>2017-01</t>
        </is>
      </c>
      <c r="D24" t="inlineStr">
        <is>
          <t>MG</t>
        </is>
      </c>
      <c r="E24" t="inlineStr">
        <is>
          <t>telephony</t>
        </is>
      </c>
      <c r="F24" t="n">
        <v>1</v>
      </c>
      <c r="G24" t="n">
        <v>14.97</v>
      </c>
      <c r="H24" t="n">
        <v>14.52</v>
      </c>
      <c r="I24" t="inlineStr">
        <is>
          <t>credit_card</t>
        </is>
      </c>
      <c r="J24" t="n">
        <v>6</v>
      </c>
      <c r="K24" t="inlineStr">
        <is>
          <t>On Time</t>
        </is>
      </c>
      <c r="L24" t="n">
        <v>5</v>
      </c>
      <c r="M24">
        <f>VLOOKUP(D24,State_Lookup!$A$2:$B$28,2,FALSE)</f>
        <v/>
      </c>
    </row>
    <row r="25">
      <c r="A25" t="inlineStr">
        <is>
          <t>3c54678edd9d58abadd6af16d0bce506</t>
        </is>
      </c>
      <c r="B25" t="inlineStr">
        <is>
          <t>2017-01-17</t>
        </is>
      </c>
      <c r="C25" t="inlineStr">
        <is>
          <t>2017-01</t>
        </is>
      </c>
      <c r="D25" t="inlineStr">
        <is>
          <t>RJ</t>
        </is>
      </c>
      <c r="E25" t="inlineStr">
        <is>
          <t>small_appliances</t>
        </is>
      </c>
      <c r="F25" t="n">
        <v>1</v>
      </c>
      <c r="G25" t="n">
        <v>37.9</v>
      </c>
      <c r="H25" t="n">
        <v>15.56</v>
      </c>
      <c r="I25" t="inlineStr">
        <is>
          <t>credit_card</t>
        </is>
      </c>
      <c r="J25" t="n">
        <v>17</v>
      </c>
      <c r="K25" t="inlineStr">
        <is>
          <t>On Time</t>
        </is>
      </c>
      <c r="L25" t="n">
        <v>4</v>
      </c>
      <c r="M25">
        <f>VLOOKUP(D25,State_Lookup!$A$2:$B$28,2,FALSE)</f>
        <v/>
      </c>
    </row>
    <row r="26">
      <c r="A26" t="inlineStr">
        <is>
          <t>71f86189760ff1dec6805f4fc7c6f52f</t>
        </is>
      </c>
      <c r="B26" t="inlineStr">
        <is>
          <t>2017-01-18</t>
        </is>
      </c>
      <c r="C26" t="inlineStr">
        <is>
          <t>2017-01</t>
        </is>
      </c>
      <c r="D26" t="inlineStr">
        <is>
          <t>PE</t>
        </is>
      </c>
      <c r="E26" t="inlineStr">
        <is>
          <t>baby</t>
        </is>
      </c>
      <c r="F26" t="n">
        <v>1</v>
      </c>
      <c r="G26" t="n">
        <v>168</v>
      </c>
      <c r="H26" t="n">
        <v>27.44</v>
      </c>
      <c r="I26" t="inlineStr">
        <is>
          <t>credit_card</t>
        </is>
      </c>
      <c r="J26" t="n">
        <v>13</v>
      </c>
      <c r="K26" t="inlineStr">
        <is>
          <t>On Time</t>
        </is>
      </c>
      <c r="L26" t="n">
        <v>5</v>
      </c>
      <c r="M26">
        <f>VLOOKUP(D26,State_Lookup!$A$2:$B$28,2,FALSE)</f>
        <v/>
      </c>
    </row>
    <row r="27">
      <c r="A27" t="inlineStr">
        <is>
          <t>c1d4211b3dae76144deccd6c74144a88</t>
        </is>
      </c>
      <c r="B27" t="inlineStr">
        <is>
          <t>2017-01-19</t>
        </is>
      </c>
      <c r="C27" t="inlineStr">
        <is>
          <t>2017-01</t>
        </is>
      </c>
      <c r="D27" t="inlineStr">
        <is>
          <t>SP</t>
        </is>
      </c>
      <c r="E27" t="inlineStr">
        <is>
          <t>sports_leisure</t>
        </is>
      </c>
      <c r="F27" t="n">
        <v>1</v>
      </c>
      <c r="G27" t="n">
        <v>39.99</v>
      </c>
      <c r="H27" t="n">
        <v>14.52</v>
      </c>
      <c r="I27" t="inlineStr">
        <is>
          <t>boleto</t>
        </is>
      </c>
      <c r="J27" t="n">
        <v>11</v>
      </c>
      <c r="K27" t="inlineStr">
        <is>
          <t>On Time</t>
        </is>
      </c>
      <c r="L27" t="n">
        <v>4</v>
      </c>
      <c r="M27">
        <f>VLOOKUP(D27,State_Lookup!$A$2:$B$28,2,FALSE)</f>
        <v/>
      </c>
    </row>
    <row r="28">
      <c r="A28" t="inlineStr">
        <is>
          <t>e5ecfcbdbc07f8edf7ec0df1504a74a6</t>
        </is>
      </c>
      <c r="B28" t="inlineStr">
        <is>
          <t>2017-01-19</t>
        </is>
      </c>
      <c r="C28" t="inlineStr">
        <is>
          <t>2017-01</t>
        </is>
      </c>
      <c r="D28" t="inlineStr">
        <is>
          <t>RS</t>
        </is>
      </c>
      <c r="E28" t="inlineStr">
        <is>
          <t>auto</t>
        </is>
      </c>
      <c r="F28" t="n">
        <v>1</v>
      </c>
      <c r="G28" t="n">
        <v>87.90000000000001</v>
      </c>
      <c r="H28" t="n">
        <v>20.7</v>
      </c>
      <c r="I28" t="inlineStr">
        <is>
          <t>debit_card</t>
        </is>
      </c>
      <c r="J28" t="n">
        <v>18</v>
      </c>
      <c r="K28" t="inlineStr">
        <is>
          <t>On Time</t>
        </is>
      </c>
      <c r="L28" t="n">
        <v>5</v>
      </c>
      <c r="M28">
        <f>VLOOKUP(D28,State_Lookup!$A$2:$B$28,2,FALSE)</f>
        <v/>
      </c>
    </row>
    <row r="29">
      <c r="A29" t="inlineStr">
        <is>
          <t>6e4a67f3a94e46e6cc5af48093d14127</t>
        </is>
      </c>
      <c r="B29" t="inlineStr">
        <is>
          <t>2017-01-19</t>
        </is>
      </c>
      <c r="C29" t="inlineStr">
        <is>
          <t>2017-01</t>
        </is>
      </c>
      <c r="D29" t="inlineStr">
        <is>
          <t>SP</t>
        </is>
      </c>
      <c r="E29" t="inlineStr">
        <is>
          <t>bed_bath_table</t>
        </is>
      </c>
      <c r="F29" t="n">
        <v>1</v>
      </c>
      <c r="G29" t="n">
        <v>149.9</v>
      </c>
      <c r="H29" t="n">
        <v>17.2</v>
      </c>
      <c r="I29" t="inlineStr">
        <is>
          <t>credit_card</t>
        </is>
      </c>
      <c r="J29" t="n">
        <v>13</v>
      </c>
      <c r="K29" t="inlineStr">
        <is>
          <t>On Time</t>
        </is>
      </c>
      <c r="L29" t="n">
        <v>5</v>
      </c>
      <c r="M29">
        <f>VLOOKUP(D29,State_Lookup!$A$2:$B$28,2,FALSE)</f>
        <v/>
      </c>
    </row>
    <row r="30">
      <c r="A30" t="inlineStr">
        <is>
          <t>bab0a62e41a5f0abc7f04989cdd7a6fd</t>
        </is>
      </c>
      <c r="B30" t="inlineStr">
        <is>
          <t>2017-01-20</t>
        </is>
      </c>
      <c r="C30" t="inlineStr">
        <is>
          <t>2017-01</t>
        </is>
      </c>
      <c r="D30" t="inlineStr">
        <is>
          <t>PI</t>
        </is>
      </c>
      <c r="E30" t="inlineStr">
        <is>
          <t>consoles_games</t>
        </is>
      </c>
      <c r="F30" t="n">
        <v>1</v>
      </c>
      <c r="G30" t="n">
        <v>195.99</v>
      </c>
      <c r="H30" t="n">
        <v>25.86</v>
      </c>
      <c r="I30" t="inlineStr">
        <is>
          <t>credit_card</t>
        </is>
      </c>
      <c r="J30" t="n">
        <v>17</v>
      </c>
      <c r="K30" t="inlineStr">
        <is>
          <t>On Time</t>
        </is>
      </c>
      <c r="L30" t="n">
        <v>5</v>
      </c>
      <c r="M30">
        <f>VLOOKUP(D30,State_Lookup!$A$2:$B$28,2,FALSE)</f>
        <v/>
      </c>
    </row>
    <row r="31">
      <c r="A31" t="inlineStr">
        <is>
          <t>032bc75236a1cbaf410bb596a509e774</t>
        </is>
      </c>
      <c r="B31" t="inlineStr">
        <is>
          <t>2017-01-20</t>
        </is>
      </c>
      <c r="C31" t="inlineStr">
        <is>
          <t>2017-01</t>
        </is>
      </c>
      <c r="D31" t="inlineStr">
        <is>
          <t>SP</t>
        </is>
      </c>
      <c r="E31" t="inlineStr">
        <is>
          <t>furniture_decor</t>
        </is>
      </c>
      <c r="F31" t="n">
        <v>1</v>
      </c>
      <c r="G31" t="n">
        <v>39.9</v>
      </c>
      <c r="H31" t="n">
        <v>11.74</v>
      </c>
      <c r="I31" t="inlineStr">
        <is>
          <t>credit_card</t>
        </is>
      </c>
      <c r="J31" t="n">
        <v>9</v>
      </c>
      <c r="K31" t="inlineStr">
        <is>
          <t>On Time</t>
        </is>
      </c>
      <c r="L31" t="n">
        <v>4</v>
      </c>
      <c r="M31">
        <f>VLOOKUP(D31,State_Lookup!$A$2:$B$28,2,FALSE)</f>
        <v/>
      </c>
    </row>
    <row r="32">
      <c r="A32" t="inlineStr">
        <is>
          <t>8bef37e0a778afcdf32118f376beb9de</t>
        </is>
      </c>
      <c r="B32" t="inlineStr">
        <is>
          <t>2017-01-20</t>
        </is>
      </c>
      <c r="C32" t="inlineStr">
        <is>
          <t>2017-01</t>
        </is>
      </c>
      <c r="D32" t="inlineStr">
        <is>
          <t>SP</t>
        </is>
      </c>
      <c r="E32" t="inlineStr">
        <is>
          <t>furniture_decor</t>
        </is>
      </c>
      <c r="F32" t="n">
        <v>1</v>
      </c>
      <c r="G32" t="n">
        <v>47</v>
      </c>
      <c r="H32" t="n">
        <v>11.74</v>
      </c>
      <c r="I32" t="inlineStr">
        <is>
          <t>credit_card</t>
        </is>
      </c>
      <c r="J32" t="n">
        <v>9</v>
      </c>
      <c r="K32" t="inlineStr">
        <is>
          <t>On Time</t>
        </is>
      </c>
      <c r="L32" t="n">
        <v>5</v>
      </c>
      <c r="M32">
        <f>VLOOKUP(D32,State_Lookup!$A$2:$B$28,2,FALSE)</f>
        <v/>
      </c>
    </row>
    <row r="33">
      <c r="A33" t="inlineStr">
        <is>
          <t>f5d54f3d6cc2c7125dc1de8888ce8975</t>
        </is>
      </c>
      <c r="B33" t="inlineStr">
        <is>
          <t>2017-01-20</t>
        </is>
      </c>
      <c r="C33" t="inlineStr">
        <is>
          <t>2017-01</t>
        </is>
      </c>
      <c r="D33" t="inlineStr">
        <is>
          <t>SP</t>
        </is>
      </c>
      <c r="E33" t="inlineStr">
        <is>
          <t>garden_tools</t>
        </is>
      </c>
      <c r="F33" t="n">
        <v>1</v>
      </c>
      <c r="G33" t="n">
        <v>105.99</v>
      </c>
      <c r="H33" t="n">
        <v>15.85</v>
      </c>
      <c r="I33" t="inlineStr">
        <is>
          <t>boleto</t>
        </is>
      </c>
      <c r="J33" t="n">
        <v>9</v>
      </c>
      <c r="K33" t="inlineStr">
        <is>
          <t>On Time</t>
        </is>
      </c>
      <c r="L33" t="n">
        <v>5</v>
      </c>
      <c r="M33">
        <f>VLOOKUP(D33,State_Lookup!$A$2:$B$28,2,FALSE)</f>
        <v/>
      </c>
    </row>
    <row r="34">
      <c r="A34" t="inlineStr">
        <is>
          <t>66f1a7baf73c12eb3af95058da54b6f8</t>
        </is>
      </c>
      <c r="B34" t="inlineStr">
        <is>
          <t>2017-01-20</t>
        </is>
      </c>
      <c r="C34" t="inlineStr">
        <is>
          <t>2017-01</t>
        </is>
      </c>
      <c r="D34" t="inlineStr">
        <is>
          <t>SP</t>
        </is>
      </c>
      <c r="E34" t="inlineStr">
        <is>
          <t>fashion_shoes</t>
        </is>
      </c>
      <c r="F34" t="n">
        <v>1</v>
      </c>
      <c r="G34" t="n">
        <v>34.9</v>
      </c>
      <c r="H34" t="n">
        <v>14.11</v>
      </c>
      <c r="I34" t="inlineStr">
        <is>
          <t>credit_card</t>
        </is>
      </c>
      <c r="J34" t="n">
        <v>7</v>
      </c>
      <c r="K34" t="inlineStr">
        <is>
          <t>On Time</t>
        </is>
      </c>
      <c r="L34" t="n">
        <v>5</v>
      </c>
      <c r="M34">
        <f>VLOOKUP(D34,State_Lookup!$A$2:$B$28,2,FALSE)</f>
        <v/>
      </c>
    </row>
    <row r="35">
      <c r="A35" t="inlineStr">
        <is>
          <t>e9df4254faf2fe70bfbff4c0abe4fb7c</t>
        </is>
      </c>
      <c r="B35" t="inlineStr">
        <is>
          <t>2017-01-21</t>
        </is>
      </c>
      <c r="C35" t="inlineStr">
        <is>
          <t>2017-01</t>
        </is>
      </c>
      <c r="D35" t="inlineStr">
        <is>
          <t>SC</t>
        </is>
      </c>
      <c r="E35" t="inlineStr">
        <is>
          <t>furniture_decor</t>
        </is>
      </c>
      <c r="F35" t="n">
        <v>1</v>
      </c>
      <c r="G35" t="n">
        <v>31.5</v>
      </c>
      <c r="H35" t="n">
        <v>14.52</v>
      </c>
      <c r="I35" t="inlineStr">
        <is>
          <t>boleto</t>
        </is>
      </c>
      <c r="J35" t="n">
        <v>16</v>
      </c>
      <c r="K35" t="inlineStr">
        <is>
          <t>On Time</t>
        </is>
      </c>
      <c r="L35" t="n">
        <v>4</v>
      </c>
      <c r="M35">
        <f>VLOOKUP(D35,State_Lookup!$A$2:$B$28,2,FALSE)</f>
        <v/>
      </c>
    </row>
    <row r="36">
      <c r="A36" t="inlineStr">
        <is>
          <t>73558fe683b9ce228381cf2ca678d322</t>
        </is>
      </c>
      <c r="B36" t="inlineStr">
        <is>
          <t>2017-01-21</t>
        </is>
      </c>
      <c r="C36" t="inlineStr">
        <is>
          <t>2017-01</t>
        </is>
      </c>
      <c r="D36" t="inlineStr">
        <is>
          <t>PA</t>
        </is>
      </c>
      <c r="E36" t="inlineStr">
        <is>
          <t>fashion_male_clothing</t>
        </is>
      </c>
      <c r="F36" t="n">
        <v>1</v>
      </c>
      <c r="G36" t="n">
        <v>126.9</v>
      </c>
      <c r="H36" t="n">
        <v>32.21</v>
      </c>
      <c r="I36" t="inlineStr">
        <is>
          <t>credit_card</t>
        </is>
      </c>
      <c r="J36" t="n">
        <v>18</v>
      </c>
      <c r="K36" t="inlineStr">
        <is>
          <t>On Time</t>
        </is>
      </c>
      <c r="L36" t="n">
        <v>5</v>
      </c>
      <c r="M36">
        <f>VLOOKUP(D36,State_Lookup!$A$2:$B$28,2,FALSE)</f>
        <v/>
      </c>
    </row>
    <row r="37">
      <c r="A37" t="inlineStr">
        <is>
          <t>81251f18621a822ad5b09593dfee4fc9</t>
        </is>
      </c>
      <c r="B37" t="inlineStr">
        <is>
          <t>2017-01-21</t>
        </is>
      </c>
      <c r="C37" t="inlineStr">
        <is>
          <t>2017-01</t>
        </is>
      </c>
      <c r="D37" t="inlineStr">
        <is>
          <t>SP</t>
        </is>
      </c>
      <c r="E37" t="inlineStr">
        <is>
          <t>electronics</t>
        </is>
      </c>
      <c r="F37" t="n">
        <v>1</v>
      </c>
      <c r="G37" t="n">
        <v>11.5</v>
      </c>
      <c r="H37" t="n">
        <v>10.96</v>
      </c>
      <c r="I37" t="inlineStr">
        <is>
          <t>credit_card</t>
        </is>
      </c>
      <c r="J37" t="n">
        <v>5</v>
      </c>
      <c r="K37" t="inlineStr">
        <is>
          <t>On Time</t>
        </is>
      </c>
      <c r="L37" t="n">
        <v>5</v>
      </c>
      <c r="M37">
        <f>VLOOKUP(D37,State_Lookup!$A$2:$B$28,2,FALSE)</f>
        <v/>
      </c>
    </row>
    <row r="38">
      <c r="A38" t="inlineStr">
        <is>
          <t>6cf5d7a6b6eb9cad292da0b65d6c010e</t>
        </is>
      </c>
      <c r="B38" t="inlineStr">
        <is>
          <t>2017-01-22</t>
        </is>
      </c>
      <c r="C38" t="inlineStr">
        <is>
          <t>2017-01</t>
        </is>
      </c>
      <c r="D38" t="inlineStr">
        <is>
          <t>CE</t>
        </is>
      </c>
      <c r="E38" t="inlineStr">
        <is>
          <t>furniture_decor</t>
        </is>
      </c>
      <c r="F38" t="n">
        <v>1</v>
      </c>
      <c r="G38" t="n">
        <v>47</v>
      </c>
      <c r="H38" t="n">
        <v>26.61</v>
      </c>
      <c r="I38" t="inlineStr">
        <is>
          <t>credit_card</t>
        </is>
      </c>
      <c r="J38" t="n">
        <v>14</v>
      </c>
      <c r="K38" t="inlineStr">
        <is>
          <t>On Time</t>
        </is>
      </c>
      <c r="L38" t="n">
        <v>3</v>
      </c>
      <c r="M38">
        <f>VLOOKUP(D38,State_Lookup!$A$2:$B$28,2,FALSE)</f>
        <v/>
      </c>
    </row>
    <row r="39">
      <c r="A39" t="inlineStr">
        <is>
          <t>07d13d352c85dfbfa60dc56dea818335</t>
        </is>
      </c>
      <c r="B39" t="inlineStr">
        <is>
          <t>2017-01-22</t>
        </is>
      </c>
      <c r="C39" t="inlineStr">
        <is>
          <t>2017-01</t>
        </is>
      </c>
      <c r="D39" t="inlineStr">
        <is>
          <t>SP</t>
        </is>
      </c>
      <c r="E39" t="inlineStr">
        <is>
          <t>health_beauty</t>
        </is>
      </c>
      <c r="F39" t="n">
        <v>1</v>
      </c>
      <c r="G39" t="n">
        <v>23.9</v>
      </c>
      <c r="H39" t="n">
        <v>8.720000000000001</v>
      </c>
      <c r="I39" t="inlineStr">
        <is>
          <t>boleto</t>
        </is>
      </c>
      <c r="J39" t="n">
        <v>9</v>
      </c>
      <c r="K39" t="inlineStr">
        <is>
          <t>On Time</t>
        </is>
      </c>
      <c r="L39" t="n">
        <v>1</v>
      </c>
      <c r="M39">
        <f>VLOOKUP(D39,State_Lookup!$A$2:$B$28,2,FALSE)</f>
        <v/>
      </c>
    </row>
    <row r="40">
      <c r="A40" t="inlineStr">
        <is>
          <t>035ab6fc3b7f9d16f714a337ee63b7be</t>
        </is>
      </c>
      <c r="B40" t="inlineStr">
        <is>
          <t>2017-01-23</t>
        </is>
      </c>
      <c r="C40" t="inlineStr">
        <is>
          <t>2017-01</t>
        </is>
      </c>
      <c r="D40" t="inlineStr">
        <is>
          <t>PA</t>
        </is>
      </c>
      <c r="E40" t="inlineStr">
        <is>
          <t>fashion_bags_accessories</t>
        </is>
      </c>
      <c r="F40" t="n">
        <v>1</v>
      </c>
      <c r="G40" t="n">
        <v>19.9</v>
      </c>
      <c r="H40" t="n">
        <v>24.84</v>
      </c>
      <c r="I40" t="inlineStr">
        <is>
          <t>voucher</t>
        </is>
      </c>
      <c r="J40" t="n">
        <v>14</v>
      </c>
      <c r="K40" t="inlineStr">
        <is>
          <t>On Time</t>
        </is>
      </c>
      <c r="L40" t="n">
        <v>5</v>
      </c>
      <c r="M40">
        <f>VLOOKUP(D40,State_Lookup!$A$2:$B$28,2,FALSE)</f>
        <v/>
      </c>
    </row>
    <row r="41">
      <c r="A41" t="inlineStr">
        <is>
          <t>46081612169925ef8882b3bbf1c5011d</t>
        </is>
      </c>
      <c r="B41" t="inlineStr">
        <is>
          <t>2017-01-23</t>
        </is>
      </c>
      <c r="C41" t="inlineStr">
        <is>
          <t>2017-01</t>
        </is>
      </c>
      <c r="D41" t="inlineStr">
        <is>
          <t>MG</t>
        </is>
      </c>
      <c r="E41" t="inlineStr">
        <is>
          <t>fashion_bags_accessories</t>
        </is>
      </c>
      <c r="F41" t="n">
        <v>2</v>
      </c>
      <c r="G41" t="n">
        <v>124.8</v>
      </c>
      <c r="H41" t="n">
        <v>22.13</v>
      </c>
      <c r="I41" t="inlineStr">
        <is>
          <t>credit_card</t>
        </is>
      </c>
      <c r="J41" t="n">
        <v>4</v>
      </c>
      <c r="K41" t="inlineStr">
        <is>
          <t>On Time</t>
        </is>
      </c>
      <c r="L41" t="n">
        <v>4</v>
      </c>
      <c r="M41">
        <f>VLOOKUP(D41,State_Lookup!$A$2:$B$28,2,FALSE)</f>
        <v/>
      </c>
    </row>
    <row r="42">
      <c r="A42" t="inlineStr">
        <is>
          <t>f30663edef2c5ccbd8ac1901275ecf64</t>
        </is>
      </c>
      <c r="B42" t="inlineStr">
        <is>
          <t>2017-01-24</t>
        </is>
      </c>
      <c r="C42" t="inlineStr">
        <is>
          <t>2017-01</t>
        </is>
      </c>
      <c r="D42" t="inlineStr">
        <is>
          <t>SP</t>
        </is>
      </c>
      <c r="E42" t="inlineStr">
        <is>
          <t>baby</t>
        </is>
      </c>
      <c r="F42" t="n">
        <v>1</v>
      </c>
      <c r="G42" t="n">
        <v>36.9</v>
      </c>
      <c r="H42" t="n">
        <v>8.720000000000001</v>
      </c>
      <c r="I42" t="inlineStr">
        <is>
          <t>credit_card</t>
        </is>
      </c>
      <c r="J42" t="n">
        <v>5</v>
      </c>
      <c r="K42" t="inlineStr">
        <is>
          <t>On Time</t>
        </is>
      </c>
      <c r="L42" t="n">
        <v>5</v>
      </c>
      <c r="M42">
        <f>VLOOKUP(D42,State_Lookup!$A$2:$B$28,2,FALSE)</f>
        <v/>
      </c>
    </row>
    <row r="43">
      <c r="A43" t="inlineStr">
        <is>
          <t>8cb07e7e810ad9e5f33062cb4735d488</t>
        </is>
      </c>
      <c r="B43" t="inlineStr">
        <is>
          <t>2017-01-24</t>
        </is>
      </c>
      <c r="C43" t="inlineStr">
        <is>
          <t>2017-01</t>
        </is>
      </c>
      <c r="D43" t="inlineStr">
        <is>
          <t>PR</t>
        </is>
      </c>
      <c r="E43" t="inlineStr">
        <is>
          <t>health_beauty</t>
        </is>
      </c>
      <c r="F43" t="n">
        <v>1</v>
      </c>
      <c r="G43" t="n">
        <v>23.9</v>
      </c>
      <c r="H43" t="n">
        <v>14.52</v>
      </c>
      <c r="I43" t="inlineStr">
        <is>
          <t>boleto</t>
        </is>
      </c>
      <c r="J43" t="n">
        <v>15</v>
      </c>
      <c r="K43" t="inlineStr">
        <is>
          <t>On Time</t>
        </is>
      </c>
      <c r="L43" t="n">
        <v>5</v>
      </c>
      <c r="M43">
        <f>VLOOKUP(D43,State_Lookup!$A$2:$B$28,2,FALSE)</f>
        <v/>
      </c>
    </row>
    <row r="44">
      <c r="A44" t="inlineStr">
        <is>
          <t>3b64ff25a4610fb5599e4fd09f907501</t>
        </is>
      </c>
      <c r="B44" t="inlineStr">
        <is>
          <t>2017-01-25</t>
        </is>
      </c>
      <c r="C44" t="inlineStr">
        <is>
          <t>2017-01</t>
        </is>
      </c>
      <c r="D44" t="inlineStr">
        <is>
          <t>SP</t>
        </is>
      </c>
      <c r="E44" t="inlineStr">
        <is>
          <t>auto</t>
        </is>
      </c>
      <c r="F44" t="n">
        <v>1</v>
      </c>
      <c r="G44" t="n">
        <v>143.8</v>
      </c>
      <c r="H44" t="n">
        <v>18.3</v>
      </c>
      <c r="I44" t="inlineStr">
        <is>
          <t>voucher</t>
        </is>
      </c>
      <c r="J44" t="n">
        <v>5</v>
      </c>
      <c r="K44" t="inlineStr">
        <is>
          <t>On Time</t>
        </is>
      </c>
      <c r="L44" t="n">
        <v>5</v>
      </c>
      <c r="M44">
        <f>VLOOKUP(D44,State_Lookup!$A$2:$B$28,2,FALSE)</f>
        <v/>
      </c>
    </row>
    <row r="45">
      <c r="A45" t="inlineStr">
        <is>
          <t>7d86c4aa9e59504b23f16c7ca68954a7</t>
        </is>
      </c>
      <c r="B45" t="inlineStr">
        <is>
          <t>2017-01-25</t>
        </is>
      </c>
      <c r="C45" t="inlineStr">
        <is>
          <t>2017-01</t>
        </is>
      </c>
      <c r="D45" t="inlineStr">
        <is>
          <t>MA</t>
        </is>
      </c>
      <c r="E45" t="inlineStr">
        <is>
          <t>housewares</t>
        </is>
      </c>
      <c r="F45" t="n">
        <v>1</v>
      </c>
      <c r="G45" t="n">
        <v>63.9</v>
      </c>
      <c r="H45" t="n">
        <v>26.71</v>
      </c>
      <c r="I45" t="inlineStr">
        <is>
          <t>credit_card</t>
        </is>
      </c>
      <c r="J45" t="n">
        <v>70</v>
      </c>
      <c r="K45" t="inlineStr">
        <is>
          <t>Late</t>
        </is>
      </c>
      <c r="L45" t="n">
        <v>1</v>
      </c>
      <c r="M45">
        <f>VLOOKUP(D45,State_Lookup!$A$2:$B$28,2,FALSE)</f>
        <v/>
      </c>
    </row>
    <row r="46">
      <c r="A46" t="inlineStr">
        <is>
          <t>5dccad03ac8016afdcdb7cc0227ec9d7</t>
        </is>
      </c>
      <c r="B46" t="inlineStr">
        <is>
          <t>2017-01-25</t>
        </is>
      </c>
      <c r="C46" t="inlineStr">
        <is>
          <t>2017-01</t>
        </is>
      </c>
      <c r="D46" t="inlineStr">
        <is>
          <t>PR</t>
        </is>
      </c>
      <c r="E46" t="inlineStr">
        <is>
          <t>furniture_decor</t>
        </is>
      </c>
      <c r="F46" t="n">
        <v>1</v>
      </c>
      <c r="G46" t="n">
        <v>66.90000000000001</v>
      </c>
      <c r="H46" t="n">
        <v>14.64</v>
      </c>
      <c r="I46" t="inlineStr">
        <is>
          <t>credit_card</t>
        </is>
      </c>
      <c r="J46" t="n">
        <v>4</v>
      </c>
      <c r="K46" t="inlineStr">
        <is>
          <t>On Time</t>
        </is>
      </c>
      <c r="L46" t="n">
        <v>5</v>
      </c>
      <c r="M46">
        <f>VLOOKUP(D46,State_Lookup!$A$2:$B$28,2,FALSE)</f>
        <v/>
      </c>
    </row>
    <row r="47">
      <c r="A47" t="inlineStr">
        <is>
          <t>c6be81e3c1e9e15e5893e19d7ce49647</t>
        </is>
      </c>
      <c r="B47" t="inlineStr">
        <is>
          <t>2017-01-26</t>
        </is>
      </c>
      <c r="C47" t="inlineStr">
        <is>
          <t>2017-01</t>
        </is>
      </c>
      <c r="D47" t="inlineStr">
        <is>
          <t>SP</t>
        </is>
      </c>
      <c r="E47" t="inlineStr">
        <is>
          <t>computers_accessories</t>
        </is>
      </c>
      <c r="F47" t="n">
        <v>1</v>
      </c>
      <c r="G47" t="n">
        <v>48.9</v>
      </c>
      <c r="H47" t="n">
        <v>14.11</v>
      </c>
      <c r="I47" t="inlineStr">
        <is>
          <t>boleto</t>
        </is>
      </c>
      <c r="J47" t="n">
        <v>6</v>
      </c>
      <c r="K47" t="inlineStr">
        <is>
          <t>On Time</t>
        </is>
      </c>
      <c r="L47" t="n">
        <v>1</v>
      </c>
      <c r="M47">
        <f>VLOOKUP(D47,State_Lookup!$A$2:$B$28,2,FALSE)</f>
        <v/>
      </c>
    </row>
    <row r="48">
      <c r="A48" t="inlineStr">
        <is>
          <t>2b98d5c9b1969095e65f74308ae2e861</t>
        </is>
      </c>
      <c r="B48" t="inlineStr">
        <is>
          <t>2017-01-26</t>
        </is>
      </c>
      <c r="C48" t="inlineStr">
        <is>
          <t>2017-01</t>
        </is>
      </c>
      <c r="D48" t="inlineStr">
        <is>
          <t>SP</t>
        </is>
      </c>
      <c r="E48" t="inlineStr">
        <is>
          <t>cool_stuff</t>
        </is>
      </c>
      <c r="F48" t="n">
        <v>1</v>
      </c>
      <c r="G48" t="n">
        <v>177</v>
      </c>
      <c r="H48" t="n">
        <v>18.53</v>
      </c>
      <c r="I48" t="inlineStr">
        <is>
          <t>credit_card</t>
        </is>
      </c>
      <c r="J48" t="n">
        <v>10</v>
      </c>
      <c r="K48" t="inlineStr">
        <is>
          <t>On Time</t>
        </is>
      </c>
      <c r="L48" t="n">
        <v>5</v>
      </c>
      <c r="M48">
        <f>VLOOKUP(D48,State_Lookup!$A$2:$B$28,2,FALSE)</f>
        <v/>
      </c>
    </row>
    <row r="49">
      <c r="A49" t="inlineStr">
        <is>
          <t>2363f4be725c1746c141cfe7e8432910</t>
        </is>
      </c>
      <c r="B49" t="inlineStr">
        <is>
          <t>2017-01-26</t>
        </is>
      </c>
      <c r="C49" t="inlineStr">
        <is>
          <t>2017-01</t>
        </is>
      </c>
      <c r="D49" t="inlineStr">
        <is>
          <t>MG</t>
        </is>
      </c>
      <c r="E49" t="inlineStr">
        <is>
          <t>baby</t>
        </is>
      </c>
      <c r="F49" t="n">
        <v>1</v>
      </c>
      <c r="G49" t="n">
        <v>127.9</v>
      </c>
      <c r="H49" t="n">
        <v>26.39</v>
      </c>
      <c r="I49" t="inlineStr">
        <is>
          <t>credit_card</t>
        </is>
      </c>
      <c r="J49" t="n">
        <v>7</v>
      </c>
      <c r="K49" t="inlineStr">
        <is>
          <t>On Time</t>
        </is>
      </c>
      <c r="L49" t="n">
        <v>5</v>
      </c>
      <c r="M49">
        <f>VLOOKUP(D49,State_Lookup!$A$2:$B$28,2,FALSE)</f>
        <v/>
      </c>
    </row>
    <row r="50">
      <c r="A50" t="inlineStr">
        <is>
          <t>042e247be09aeae88a74e35766aa03ca</t>
        </is>
      </c>
      <c r="B50" t="inlineStr">
        <is>
          <t>2017-01-26</t>
        </is>
      </c>
      <c r="C50" t="inlineStr">
        <is>
          <t>2017-01</t>
        </is>
      </c>
      <c r="D50" t="inlineStr">
        <is>
          <t>RJ</t>
        </is>
      </c>
      <c r="E50" t="inlineStr">
        <is>
          <t>bed_bath_table</t>
        </is>
      </c>
      <c r="F50" t="n">
        <v>2</v>
      </c>
      <c r="G50" t="n">
        <v>119</v>
      </c>
      <c r="H50" t="n">
        <v>34.32</v>
      </c>
      <c r="I50" t="inlineStr">
        <is>
          <t>credit_card</t>
        </is>
      </c>
      <c r="J50" t="n">
        <v>18</v>
      </c>
      <c r="K50" t="inlineStr">
        <is>
          <t>On Time</t>
        </is>
      </c>
      <c r="L50" t="n">
        <v>3</v>
      </c>
      <c r="M50">
        <f>VLOOKUP(D50,State_Lookup!$A$2:$B$28,2,FALSE)</f>
        <v/>
      </c>
    </row>
    <row r="51">
      <c r="A51" t="inlineStr">
        <is>
          <t>146bfe4003096bc16316672e59c6fb2e</t>
        </is>
      </c>
      <c r="B51" t="inlineStr">
        <is>
          <t>2017-01-26</t>
        </is>
      </c>
      <c r="C51" t="inlineStr">
        <is>
          <t>2017-01</t>
        </is>
      </c>
      <c r="D51" t="inlineStr">
        <is>
          <t>MG</t>
        </is>
      </c>
      <c r="E51" t="inlineStr">
        <is>
          <t>luggage_accessories</t>
        </is>
      </c>
      <c r="F51" t="n">
        <v>1</v>
      </c>
      <c r="G51" t="n">
        <v>54.9</v>
      </c>
      <c r="H51" t="n">
        <v>10.99</v>
      </c>
      <c r="I51" t="inlineStr">
        <is>
          <t>credit_card</t>
        </is>
      </c>
      <c r="J51" t="n">
        <v>5</v>
      </c>
      <c r="K51" t="inlineStr">
        <is>
          <t>On Time</t>
        </is>
      </c>
      <c r="L51" t="n">
        <v>5</v>
      </c>
      <c r="M51">
        <f>VLOOKUP(D51,State_Lookup!$A$2:$B$28,2,FALSE)</f>
        <v/>
      </c>
    </row>
    <row r="52">
      <c r="A52" t="inlineStr">
        <is>
          <t>126da462f642d99483c0691ac474c783</t>
        </is>
      </c>
      <c r="B52" t="inlineStr">
        <is>
          <t>2017-01-27</t>
        </is>
      </c>
      <c r="C52" t="inlineStr">
        <is>
          <t>2017-01</t>
        </is>
      </c>
      <c r="D52" t="inlineStr">
        <is>
          <t>SP</t>
        </is>
      </c>
      <c r="E52" t="inlineStr">
        <is>
          <t>toys</t>
        </is>
      </c>
      <c r="F52" t="n">
        <v>1</v>
      </c>
      <c r="G52" t="n">
        <v>129.9</v>
      </c>
      <c r="H52" t="n">
        <v>18</v>
      </c>
      <c r="I52" t="inlineStr">
        <is>
          <t>voucher</t>
        </is>
      </c>
      <c r="J52" t="n">
        <v>7</v>
      </c>
      <c r="K52" t="inlineStr">
        <is>
          <t>On Time</t>
        </is>
      </c>
      <c r="L52" t="n">
        <v>4</v>
      </c>
      <c r="M52">
        <f>VLOOKUP(D52,State_Lookup!$A$2:$B$28,2,FALSE)</f>
        <v/>
      </c>
    </row>
    <row r="53">
      <c r="A53" t="inlineStr">
        <is>
          <t>5d36e8ca3ccd1262b7641467fdba0b8e</t>
        </is>
      </c>
      <c r="B53" t="inlineStr">
        <is>
          <t>2017-01-27</t>
        </is>
      </c>
      <c r="C53" t="inlineStr">
        <is>
          <t>2017-01</t>
        </is>
      </c>
      <c r="D53" t="inlineStr">
        <is>
          <t>CE</t>
        </is>
      </c>
      <c r="E53" t="inlineStr">
        <is>
          <t>furniture_decor</t>
        </is>
      </c>
      <c r="F53" t="n">
        <v>1</v>
      </c>
      <c r="G53" t="n">
        <v>79.90000000000001</v>
      </c>
      <c r="H53" t="n">
        <v>23</v>
      </c>
      <c r="I53" t="inlineStr">
        <is>
          <t>credit_card</t>
        </is>
      </c>
      <c r="J53" t="n">
        <v>12</v>
      </c>
      <c r="K53" t="inlineStr">
        <is>
          <t>On Time</t>
        </is>
      </c>
      <c r="L53" t="n">
        <v>5</v>
      </c>
      <c r="M53">
        <f>VLOOKUP(D53,State_Lookup!$A$2:$B$28,2,FALSE)</f>
        <v/>
      </c>
    </row>
    <row r="54">
      <c r="A54" t="inlineStr">
        <is>
          <t>775eb0ae1891c8dd8f12c2f8c6850006</t>
        </is>
      </c>
      <c r="B54" t="inlineStr">
        <is>
          <t>2017-01-27</t>
        </is>
      </c>
      <c r="C54" t="inlineStr">
        <is>
          <t>2017-01</t>
        </is>
      </c>
      <c r="D54" t="inlineStr">
        <is>
          <t>GO</t>
        </is>
      </c>
      <c r="E54" t="inlineStr">
        <is>
          <t>watches_gifts</t>
        </is>
      </c>
      <c r="F54" t="n">
        <v>1</v>
      </c>
      <c r="G54" t="n">
        <v>1299</v>
      </c>
      <c r="H54" t="n">
        <v>27.79</v>
      </c>
      <c r="I54" t="inlineStr">
        <is>
          <t>credit_card</t>
        </is>
      </c>
      <c r="J54" t="n">
        <v>11</v>
      </c>
      <c r="K54" t="inlineStr">
        <is>
          <t>On Time</t>
        </is>
      </c>
      <c r="L54" t="n">
        <v>4</v>
      </c>
      <c r="M54">
        <f>VLOOKUP(D54,State_Lookup!$A$2:$B$28,2,FALSE)</f>
        <v/>
      </c>
    </row>
    <row r="55">
      <c r="A55" t="inlineStr">
        <is>
          <t>444ba35537c4a2b24c3bf2e576ee98ac</t>
        </is>
      </c>
      <c r="B55" t="inlineStr">
        <is>
          <t>2017-01-27</t>
        </is>
      </c>
      <c r="C55" t="inlineStr">
        <is>
          <t>2017-01</t>
        </is>
      </c>
      <c r="D55" t="inlineStr">
        <is>
          <t>MG</t>
        </is>
      </c>
      <c r="E55" t="inlineStr">
        <is>
          <t>bed_bath_table</t>
        </is>
      </c>
      <c r="F55" t="n">
        <v>1</v>
      </c>
      <c r="G55" t="n">
        <v>119.99</v>
      </c>
      <c r="H55" t="n">
        <v>20.92</v>
      </c>
      <c r="I55" t="inlineStr">
        <is>
          <t>boleto</t>
        </is>
      </c>
      <c r="J55" t="n">
        <v>10</v>
      </c>
      <c r="K55" t="inlineStr">
        <is>
          <t>On Time</t>
        </is>
      </c>
      <c r="L55" t="n">
        <v>5</v>
      </c>
      <c r="M55">
        <f>VLOOKUP(D55,State_Lookup!$A$2:$B$28,2,FALSE)</f>
        <v/>
      </c>
    </row>
    <row r="56">
      <c r="A56" t="inlineStr">
        <is>
          <t>8c10b4712b6c450e49bcfb6b1e48449f</t>
        </is>
      </c>
      <c r="B56" t="inlineStr">
        <is>
          <t>2017-01-27</t>
        </is>
      </c>
      <c r="C56" t="inlineStr">
        <is>
          <t>2017-01</t>
        </is>
      </c>
      <c r="D56" t="inlineStr">
        <is>
          <t>SP</t>
        </is>
      </c>
      <c r="E56" t="inlineStr">
        <is>
          <t>perfumery</t>
        </is>
      </c>
      <c r="F56" t="n">
        <v>1</v>
      </c>
      <c r="G56" t="n">
        <v>23.9</v>
      </c>
      <c r="H56" t="n">
        <v>18</v>
      </c>
      <c r="I56" t="inlineStr">
        <is>
          <t>boleto</t>
        </is>
      </c>
      <c r="J56" t="n">
        <v>10</v>
      </c>
      <c r="K56" t="inlineStr">
        <is>
          <t>On Time</t>
        </is>
      </c>
      <c r="L56" t="n">
        <v>4</v>
      </c>
      <c r="M56">
        <f>VLOOKUP(D56,State_Lookup!$A$2:$B$28,2,FALSE)</f>
        <v/>
      </c>
    </row>
    <row r="57">
      <c r="A57" t="inlineStr">
        <is>
          <t>c383ab7c64e3ee1503e3574b22e37dab</t>
        </is>
      </c>
      <c r="B57" t="inlineStr">
        <is>
          <t>2017-01-28</t>
        </is>
      </c>
      <c r="C57" t="inlineStr">
        <is>
          <t>2017-01</t>
        </is>
      </c>
      <c r="D57" t="inlineStr">
        <is>
          <t>PE</t>
        </is>
      </c>
      <c r="E57" t="inlineStr">
        <is>
          <t>electronics</t>
        </is>
      </c>
      <c r="F57" t="n">
        <v>1</v>
      </c>
      <c r="G57" t="n">
        <v>59.9</v>
      </c>
      <c r="H57" t="n">
        <v>27</v>
      </c>
      <c r="I57" t="inlineStr">
        <is>
          <t>boleto</t>
        </is>
      </c>
      <c r="J57" t="n">
        <v>22</v>
      </c>
      <c r="K57" t="inlineStr">
        <is>
          <t>On Time</t>
        </is>
      </c>
      <c r="L57" t="n">
        <v>4</v>
      </c>
      <c r="M57">
        <f>VLOOKUP(D57,State_Lookup!$A$2:$B$28,2,FALSE)</f>
        <v/>
      </c>
    </row>
    <row r="58">
      <c r="A58" t="inlineStr">
        <is>
          <t>e19721a12bc1caeb2095db14d8d6fc4e</t>
        </is>
      </c>
      <c r="B58" t="inlineStr">
        <is>
          <t>2017-01-29</t>
        </is>
      </c>
      <c r="C58" t="inlineStr">
        <is>
          <t>2017-01</t>
        </is>
      </c>
      <c r="D58" t="inlineStr">
        <is>
          <t>PR</t>
        </is>
      </c>
      <c r="E58" t="inlineStr">
        <is>
          <t>bed_bath_table</t>
        </is>
      </c>
      <c r="F58" t="n">
        <v>1</v>
      </c>
      <c r="G58" t="n">
        <v>69.90000000000001</v>
      </c>
      <c r="H58" t="n">
        <v>18</v>
      </c>
      <c r="I58" t="inlineStr">
        <is>
          <t>debit_card</t>
        </is>
      </c>
      <c r="J58" t="n">
        <v>16</v>
      </c>
      <c r="K58" t="inlineStr">
        <is>
          <t>On Time</t>
        </is>
      </c>
      <c r="L58" t="n">
        <v>5</v>
      </c>
      <c r="M58">
        <f>VLOOKUP(D58,State_Lookup!$A$2:$B$28,2,FALSE)</f>
        <v/>
      </c>
    </row>
    <row r="59">
      <c r="A59" t="inlineStr">
        <is>
          <t>9224db86cedf958891e1b1afb4ad570c</t>
        </is>
      </c>
      <c r="B59" t="inlineStr">
        <is>
          <t>2017-01-30</t>
        </is>
      </c>
      <c r="C59" t="inlineStr">
        <is>
          <t>2017-01</t>
        </is>
      </c>
      <c r="D59" t="inlineStr">
        <is>
          <t>MG</t>
        </is>
      </c>
      <c r="E59" t="inlineStr">
        <is>
          <t>telephony</t>
        </is>
      </c>
      <c r="F59" t="n">
        <v>2</v>
      </c>
      <c r="G59" t="n">
        <v>38.89</v>
      </c>
      <c r="H59" t="n">
        <v>50</v>
      </c>
      <c r="I59" t="inlineStr">
        <is>
          <t>credit_card</t>
        </is>
      </c>
      <c r="J59" t="n">
        <v>11</v>
      </c>
      <c r="K59" t="inlineStr">
        <is>
          <t>On Time</t>
        </is>
      </c>
      <c r="L59" t="n">
        <v>3</v>
      </c>
      <c r="M59">
        <f>VLOOKUP(D59,State_Lookup!$A$2:$B$28,2,FALSE)</f>
        <v/>
      </c>
    </row>
    <row r="60">
      <c r="A60" t="inlineStr">
        <is>
          <t>9843c2a66fe0afda6509bc4274f743de</t>
        </is>
      </c>
      <c r="B60" t="inlineStr">
        <is>
          <t>2017-01-30</t>
        </is>
      </c>
      <c r="C60" t="inlineStr">
        <is>
          <t>2017-01</t>
        </is>
      </c>
      <c r="D60" t="inlineStr">
        <is>
          <t>SP</t>
        </is>
      </c>
      <c r="E60" t="inlineStr">
        <is>
          <t>health_beauty</t>
        </is>
      </c>
      <c r="F60" t="n">
        <v>1</v>
      </c>
      <c r="G60" t="n">
        <v>129.9</v>
      </c>
      <c r="H60" t="n">
        <v>50</v>
      </c>
      <c r="I60" t="inlineStr">
        <is>
          <t>voucher</t>
        </is>
      </c>
      <c r="J60" t="n">
        <v>17</v>
      </c>
      <c r="K60" t="inlineStr">
        <is>
          <t>On Time</t>
        </is>
      </c>
      <c r="L60" t="n">
        <v>5</v>
      </c>
      <c r="M60">
        <f>VLOOKUP(D60,State_Lookup!$A$2:$B$28,2,FALSE)</f>
        <v/>
      </c>
    </row>
    <row r="61">
      <c r="A61" t="inlineStr">
        <is>
          <t>8d25f73f2fe9c225dff2232fd1e7c89b</t>
        </is>
      </c>
      <c r="B61" t="inlineStr">
        <is>
          <t>2017-01-30</t>
        </is>
      </c>
      <c r="C61" t="inlineStr">
        <is>
          <t>2017-01</t>
        </is>
      </c>
      <c r="D61" t="inlineStr">
        <is>
          <t>PA</t>
        </is>
      </c>
      <c r="E61" t="inlineStr">
        <is>
          <t>bed_bath_table</t>
        </is>
      </c>
      <c r="F61" t="n">
        <v>1</v>
      </c>
      <c r="G61" t="n">
        <v>119.9</v>
      </c>
      <c r="H61" t="n">
        <v>26</v>
      </c>
      <c r="I61" t="inlineStr">
        <is>
          <t>boleto</t>
        </is>
      </c>
      <c r="J61" t="n">
        <v>15</v>
      </c>
      <c r="K61" t="inlineStr">
        <is>
          <t>On Time</t>
        </is>
      </c>
      <c r="L61" t="n">
        <v>1</v>
      </c>
      <c r="M61">
        <f>VLOOKUP(D61,State_Lookup!$A$2:$B$28,2,FALSE)</f>
        <v/>
      </c>
    </row>
    <row r="62">
      <c r="A62" t="inlineStr">
        <is>
          <t>8a903d20555a91edeffd6eab45743f26</t>
        </is>
      </c>
      <c r="B62" t="inlineStr">
        <is>
          <t>2017-01-30</t>
        </is>
      </c>
      <c r="C62" t="inlineStr">
        <is>
          <t>2017-01</t>
        </is>
      </c>
      <c r="D62" t="inlineStr">
        <is>
          <t>PI</t>
        </is>
      </c>
      <c r="E62" t="inlineStr">
        <is>
          <t>health_beauty</t>
        </is>
      </c>
      <c r="F62" t="n">
        <v>1</v>
      </c>
      <c r="G62" t="n">
        <v>23.89</v>
      </c>
      <c r="H62" t="n">
        <v>20</v>
      </c>
      <c r="I62" t="inlineStr">
        <is>
          <t>credit_card</t>
        </is>
      </c>
      <c r="J62" t="n">
        <v>3</v>
      </c>
      <c r="K62" t="inlineStr">
        <is>
          <t>On Time</t>
        </is>
      </c>
      <c r="L62" t="n">
        <v>5</v>
      </c>
      <c r="M62">
        <f>VLOOKUP(D62,State_Lookup!$A$2:$B$28,2,FALSE)</f>
        <v/>
      </c>
    </row>
    <row r="63">
      <c r="A63" t="inlineStr">
        <is>
          <t>9e0ca19fb3cd696e318f58f0613ee8b1</t>
        </is>
      </c>
      <c r="B63" t="inlineStr">
        <is>
          <t>2017-01-30</t>
        </is>
      </c>
      <c r="C63" t="inlineStr">
        <is>
          <t>2017-01</t>
        </is>
      </c>
      <c r="D63" t="inlineStr">
        <is>
          <t>SP</t>
        </is>
      </c>
      <c r="E63" t="inlineStr">
        <is>
          <t>bed_bath_table</t>
        </is>
      </c>
      <c r="F63" t="n">
        <v>1</v>
      </c>
      <c r="G63" t="n">
        <v>109.9</v>
      </c>
      <c r="H63" t="n">
        <v>18</v>
      </c>
      <c r="I63" t="inlineStr">
        <is>
          <t>credit_card</t>
        </is>
      </c>
      <c r="J63" t="n">
        <v>7</v>
      </c>
      <c r="K63" t="inlineStr">
        <is>
          <t>On Time</t>
        </is>
      </c>
      <c r="L63" t="n">
        <v>3</v>
      </c>
      <c r="M63">
        <f>VLOOKUP(D63,State_Lookup!$A$2:$B$28,2,FALSE)</f>
        <v/>
      </c>
    </row>
    <row r="64">
      <c r="A64" t="inlineStr">
        <is>
          <t>26ba0c1bad97bbfdcc4419e3ca40d9a8</t>
        </is>
      </c>
      <c r="B64" t="inlineStr">
        <is>
          <t>2017-01-31</t>
        </is>
      </c>
      <c r="C64" t="inlineStr">
        <is>
          <t>2017-01</t>
        </is>
      </c>
      <c r="D64" t="inlineStr">
        <is>
          <t>SP</t>
        </is>
      </c>
      <c r="E64" t="inlineStr">
        <is>
          <t>cool_stuff</t>
        </is>
      </c>
      <c r="F64" t="n">
        <v>1</v>
      </c>
      <c r="G64" t="n">
        <v>76.05</v>
      </c>
      <c r="H64" t="n">
        <v>15.79</v>
      </c>
      <c r="I64" t="inlineStr">
        <is>
          <t>credit_card</t>
        </is>
      </c>
      <c r="J64" t="n">
        <v>6</v>
      </c>
      <c r="K64" t="inlineStr">
        <is>
          <t>On Time</t>
        </is>
      </c>
      <c r="L64" t="n">
        <v>5</v>
      </c>
      <c r="M64">
        <f>VLOOKUP(D64,State_Lookup!$A$2:$B$28,2,FALSE)</f>
        <v/>
      </c>
    </row>
    <row r="65">
      <c r="A65" t="inlineStr">
        <is>
          <t>9abb2627b40ff1591e62553894e6b312</t>
        </is>
      </c>
      <c r="B65" t="inlineStr">
        <is>
          <t>2017-01-31</t>
        </is>
      </c>
      <c r="C65" t="inlineStr">
        <is>
          <t>2017-01</t>
        </is>
      </c>
      <c r="D65" t="inlineStr">
        <is>
          <t>SP</t>
        </is>
      </c>
      <c r="E65" t="inlineStr">
        <is>
          <t>books_general_interest</t>
        </is>
      </c>
      <c r="F65" t="n">
        <v>1</v>
      </c>
      <c r="G65" t="n">
        <v>109.9</v>
      </c>
      <c r="H65" t="n">
        <v>17.51</v>
      </c>
      <c r="I65" t="inlineStr">
        <is>
          <t>credit_card</t>
        </is>
      </c>
      <c r="J65" t="n">
        <v>6</v>
      </c>
      <c r="K65" t="inlineStr">
        <is>
          <t>On Time</t>
        </is>
      </c>
      <c r="L65" t="n">
        <v>5</v>
      </c>
      <c r="M65">
        <f>VLOOKUP(D65,State_Lookup!$A$2:$B$28,2,FALSE)</f>
        <v/>
      </c>
    </row>
    <row r="66">
      <c r="A66" t="inlineStr">
        <is>
          <t>5f6b520cff06f23c77386b75976256e9</t>
        </is>
      </c>
      <c r="B66" t="inlineStr">
        <is>
          <t>2017-01-31</t>
        </is>
      </c>
      <c r="C66" t="inlineStr">
        <is>
          <t>2017-01</t>
        </is>
      </c>
      <c r="D66" t="inlineStr">
        <is>
          <t>SP</t>
        </is>
      </c>
      <c r="E66" t="inlineStr">
        <is>
          <t>consoles_games</t>
        </is>
      </c>
      <c r="F66" t="n">
        <v>1</v>
      </c>
      <c r="G66" t="n">
        <v>223.9</v>
      </c>
      <c r="H66" t="n">
        <v>15.74</v>
      </c>
      <c r="I66" t="inlineStr">
        <is>
          <t>boleto</t>
        </is>
      </c>
      <c r="J66" t="n">
        <v>7</v>
      </c>
      <c r="K66" t="inlineStr">
        <is>
          <t>On Time</t>
        </is>
      </c>
      <c r="L66" t="inlineStr"/>
      <c r="M66">
        <f>VLOOKUP(D66,State_Lookup!$A$2:$B$28,2,FALSE)</f>
        <v/>
      </c>
    </row>
    <row r="67">
      <c r="A67" t="inlineStr">
        <is>
          <t>faa1515e28c5d45a5bb6fa57bffcfb0b</t>
        </is>
      </c>
      <c r="B67" t="inlineStr">
        <is>
          <t>2017-02-01</t>
        </is>
      </c>
      <c r="C67" t="inlineStr">
        <is>
          <t>2017-02</t>
        </is>
      </c>
      <c r="D67" t="inlineStr">
        <is>
          <t>SP</t>
        </is>
      </c>
      <c r="E67" t="inlineStr">
        <is>
          <t>furniture_decor</t>
        </is>
      </c>
      <c r="F67" t="n">
        <v>1</v>
      </c>
      <c r="G67" t="n">
        <v>6.57</v>
      </c>
      <c r="H67" t="n">
        <v>8.720000000000001</v>
      </c>
      <c r="I67" t="inlineStr">
        <is>
          <t>credit_card</t>
        </is>
      </c>
      <c r="J67" t="n">
        <v>5</v>
      </c>
      <c r="K67" t="inlineStr">
        <is>
          <t>On Time</t>
        </is>
      </c>
      <c r="L67" t="n">
        <v>5</v>
      </c>
      <c r="M67">
        <f>VLOOKUP(D67,State_Lookup!$A$2:$B$28,2,FALSE)</f>
        <v/>
      </c>
    </row>
    <row r="68">
      <c r="A68" t="inlineStr">
        <is>
          <t>34605af753e44da907f983de0082faaf</t>
        </is>
      </c>
      <c r="B68" t="inlineStr">
        <is>
          <t>2017-02-01</t>
        </is>
      </c>
      <c r="C68" t="inlineStr">
        <is>
          <t>2017-02</t>
        </is>
      </c>
      <c r="D68" t="inlineStr">
        <is>
          <t>SC</t>
        </is>
      </c>
      <c r="E68" t="inlineStr">
        <is>
          <t>sports_leisure</t>
        </is>
      </c>
      <c r="F68" t="n">
        <v>1</v>
      </c>
      <c r="G68" t="n">
        <v>29.9</v>
      </c>
      <c r="H68" t="n">
        <v>17.78</v>
      </c>
      <c r="I68" t="inlineStr">
        <is>
          <t>credit_card</t>
        </is>
      </c>
      <c r="J68" t="n">
        <v>16</v>
      </c>
      <c r="K68" t="inlineStr">
        <is>
          <t>On Time</t>
        </is>
      </c>
      <c r="L68" t="n">
        <v>1</v>
      </c>
      <c r="M68">
        <f>VLOOKUP(D68,State_Lookup!$A$2:$B$28,2,FALSE)</f>
        <v/>
      </c>
    </row>
    <row r="69">
      <c r="A69" t="inlineStr">
        <is>
          <t>db1a3b6bc463c229abf2699244173f49</t>
        </is>
      </c>
      <c r="B69" t="inlineStr">
        <is>
          <t>2017-02-01</t>
        </is>
      </c>
      <c r="C69" t="inlineStr">
        <is>
          <t>2017-02</t>
        </is>
      </c>
      <c r="D69" t="inlineStr">
        <is>
          <t>SP</t>
        </is>
      </c>
      <c r="E69" t="inlineStr">
        <is>
          <t>books_general_interest</t>
        </is>
      </c>
      <c r="F69" t="n">
        <v>1</v>
      </c>
      <c r="G69" t="n">
        <v>49.9</v>
      </c>
      <c r="H69" t="n">
        <v>15.56</v>
      </c>
      <c r="I69" t="inlineStr">
        <is>
          <t>credit_card</t>
        </is>
      </c>
      <c r="J69" t="n">
        <v>7</v>
      </c>
      <c r="K69" t="inlineStr">
        <is>
          <t>On Time</t>
        </is>
      </c>
      <c r="L69" t="n">
        <v>5</v>
      </c>
      <c r="M69">
        <f>VLOOKUP(D69,State_Lookup!$A$2:$B$28,2,FALSE)</f>
        <v/>
      </c>
    </row>
    <row r="70">
      <c r="A70" t="inlineStr">
        <is>
          <t>fe9ff842f65047f5a82c48905a18cc98</t>
        </is>
      </c>
      <c r="B70" t="inlineStr">
        <is>
          <t>2017-02-01</t>
        </is>
      </c>
      <c r="C70" t="inlineStr">
        <is>
          <t>2017-02</t>
        </is>
      </c>
      <c r="D70" t="inlineStr">
        <is>
          <t>SP</t>
        </is>
      </c>
      <c r="E70" t="inlineStr">
        <is>
          <t>health_beauty</t>
        </is>
      </c>
      <c r="F70" t="n">
        <v>1</v>
      </c>
      <c r="G70" t="n">
        <v>9.5</v>
      </c>
      <c r="H70" t="n">
        <v>8.720000000000001</v>
      </c>
      <c r="I70" t="inlineStr">
        <is>
          <t>credit_card</t>
        </is>
      </c>
      <c r="J70" t="n">
        <v>4</v>
      </c>
      <c r="K70" t="inlineStr">
        <is>
          <t>On Time</t>
        </is>
      </c>
      <c r="L70" t="n">
        <v>5</v>
      </c>
      <c r="M70">
        <f>VLOOKUP(D70,State_Lookup!$A$2:$B$28,2,FALSE)</f>
        <v/>
      </c>
    </row>
    <row r="71">
      <c r="A71" t="inlineStr">
        <is>
          <t>f5147f84d290b6615104539af53179fd</t>
        </is>
      </c>
      <c r="B71" t="inlineStr">
        <is>
          <t>2017-02-01</t>
        </is>
      </c>
      <c r="C71" t="inlineStr">
        <is>
          <t>2017-02</t>
        </is>
      </c>
      <c r="D71" t="inlineStr">
        <is>
          <t>SP</t>
        </is>
      </c>
      <c r="E71" t="inlineStr">
        <is>
          <t>perfumery</t>
        </is>
      </c>
      <c r="F71" t="n">
        <v>1</v>
      </c>
      <c r="G71" t="n">
        <v>23.9</v>
      </c>
      <c r="H71" t="n">
        <v>14.52</v>
      </c>
      <c r="I71" t="inlineStr">
        <is>
          <t>credit_card</t>
        </is>
      </c>
      <c r="J71" t="n">
        <v>11</v>
      </c>
      <c r="K71" t="inlineStr">
        <is>
          <t>On Time</t>
        </is>
      </c>
      <c r="L71" t="n">
        <v>5</v>
      </c>
      <c r="M71">
        <f>VLOOKUP(D71,State_Lookup!$A$2:$B$28,2,FALSE)</f>
        <v/>
      </c>
    </row>
    <row r="72">
      <c r="A72" t="inlineStr">
        <is>
          <t>a65d4ac927fef29da1b58e60ebdbb1d7</t>
        </is>
      </c>
      <c r="B72" t="inlineStr">
        <is>
          <t>2017-02-01</t>
        </is>
      </c>
      <c r="C72" t="inlineStr">
        <is>
          <t>2017-02</t>
        </is>
      </c>
      <c r="D72" t="inlineStr">
        <is>
          <t>RJ</t>
        </is>
      </c>
      <c r="E72" t="inlineStr">
        <is>
          <t>sports_leisure</t>
        </is>
      </c>
      <c r="F72" t="n">
        <v>1</v>
      </c>
      <c r="G72" t="n">
        <v>355</v>
      </c>
      <c r="H72" t="n">
        <v>57.12</v>
      </c>
      <c r="I72" t="inlineStr">
        <is>
          <t>boleto</t>
        </is>
      </c>
      <c r="J72" t="n">
        <v>12</v>
      </c>
      <c r="K72" t="inlineStr">
        <is>
          <t>On Time</t>
        </is>
      </c>
      <c r="L72" t="n">
        <v>5</v>
      </c>
      <c r="M72">
        <f>VLOOKUP(D72,State_Lookup!$A$2:$B$28,2,FALSE)</f>
        <v/>
      </c>
    </row>
    <row r="73">
      <c r="A73" t="inlineStr">
        <is>
          <t>fe84ed29d87230c495cd2381857dba8e</t>
        </is>
      </c>
      <c r="B73" t="inlineStr">
        <is>
          <t>2017-02-02</t>
        </is>
      </c>
      <c r="C73" t="inlineStr">
        <is>
          <t>2017-02</t>
        </is>
      </c>
      <c r="D73" t="inlineStr">
        <is>
          <t>SP</t>
        </is>
      </c>
      <c r="E73" t="inlineStr">
        <is>
          <t>health_beauty</t>
        </is>
      </c>
      <c r="F73" t="n">
        <v>1</v>
      </c>
      <c r="G73" t="n">
        <v>38.99</v>
      </c>
      <c r="H73" t="n">
        <v>14.52</v>
      </c>
      <c r="I73" t="inlineStr">
        <is>
          <t>boleto</t>
        </is>
      </c>
      <c r="J73" t="n">
        <v>21</v>
      </c>
      <c r="K73" t="inlineStr">
        <is>
          <t>On Time</t>
        </is>
      </c>
      <c r="L73" t="n">
        <v>4</v>
      </c>
      <c r="M73">
        <f>VLOOKUP(D73,State_Lookup!$A$2:$B$28,2,FALSE)</f>
        <v/>
      </c>
    </row>
    <row r="74">
      <c r="A74" t="inlineStr">
        <is>
          <t>f349e78f52cb2d25cffd4cc44f168413</t>
        </is>
      </c>
      <c r="B74" t="inlineStr">
        <is>
          <t>2017-02-02</t>
        </is>
      </c>
      <c r="C74" t="inlineStr">
        <is>
          <t>2017-02</t>
        </is>
      </c>
      <c r="D74" t="inlineStr">
        <is>
          <t>RJ</t>
        </is>
      </c>
      <c r="E74" t="inlineStr">
        <is>
          <t>furniture_living_room</t>
        </is>
      </c>
      <c r="F74" t="n">
        <v>1</v>
      </c>
      <c r="G74" t="n">
        <v>103.99</v>
      </c>
      <c r="H74" t="n">
        <v>37.24</v>
      </c>
      <c r="I74" t="inlineStr">
        <is>
          <t>boleto</t>
        </is>
      </c>
      <c r="J74" t="inlineStr"/>
      <c r="K74" t="inlineStr">
        <is>
          <t>Not Delivered</t>
        </is>
      </c>
      <c r="L74" t="n">
        <v>5</v>
      </c>
      <c r="M74">
        <f>VLOOKUP(D74,State_Lookup!$A$2:$B$28,2,FALSE)</f>
        <v/>
      </c>
    </row>
    <row r="75">
      <c r="A75" t="inlineStr">
        <is>
          <t>d7d8ca5f25aac4f5efce2a0dc6133672</t>
        </is>
      </c>
      <c r="B75" t="inlineStr">
        <is>
          <t>2017-02-03</t>
        </is>
      </c>
      <c r="C75" t="inlineStr">
        <is>
          <t>2017-02</t>
        </is>
      </c>
      <c r="D75" t="inlineStr">
        <is>
          <t>SC</t>
        </is>
      </c>
      <c r="E75" t="inlineStr">
        <is>
          <t>fashion_bags_accessories</t>
        </is>
      </c>
      <c r="F75" t="n">
        <v>2</v>
      </c>
      <c r="G75" t="n">
        <v>159.8</v>
      </c>
      <c r="H75" t="n">
        <v>35.98</v>
      </c>
      <c r="I75" t="inlineStr">
        <is>
          <t>credit_card</t>
        </is>
      </c>
      <c r="J75" t="n">
        <v>16</v>
      </c>
      <c r="K75" t="inlineStr">
        <is>
          <t>On Time</t>
        </is>
      </c>
      <c r="L75" t="n">
        <v>3</v>
      </c>
      <c r="M75">
        <f>VLOOKUP(D75,State_Lookup!$A$2:$B$28,2,FALSE)</f>
        <v/>
      </c>
    </row>
    <row r="76">
      <c r="A76" t="inlineStr">
        <is>
          <t>ee793c80c58a6de488444dbb4e63374f</t>
        </is>
      </c>
      <c r="B76" t="inlineStr">
        <is>
          <t>2017-02-04</t>
        </is>
      </c>
      <c r="C76" t="inlineStr">
        <is>
          <t>2017-02</t>
        </is>
      </c>
      <c r="D76" t="inlineStr">
        <is>
          <t>SE</t>
        </is>
      </c>
      <c r="E76" t="inlineStr">
        <is>
          <t>furniture_living_room</t>
        </is>
      </c>
      <c r="F76" t="n">
        <v>2</v>
      </c>
      <c r="G76" t="n">
        <v>796</v>
      </c>
      <c r="H76" t="n">
        <v>251.32</v>
      </c>
      <c r="I76" t="inlineStr">
        <is>
          <t>credit_card</t>
        </is>
      </c>
      <c r="J76" t="n">
        <v>17</v>
      </c>
      <c r="K76" t="inlineStr">
        <is>
          <t>On Time</t>
        </is>
      </c>
      <c r="L76" t="n">
        <v>5</v>
      </c>
      <c r="M76">
        <f>VLOOKUP(D76,State_Lookup!$A$2:$B$28,2,FALSE)</f>
        <v/>
      </c>
    </row>
    <row r="77">
      <c r="A77" t="inlineStr">
        <is>
          <t>d5558a097766363b8e76b38c43332e8a</t>
        </is>
      </c>
      <c r="B77" t="inlineStr">
        <is>
          <t>2017-02-04</t>
        </is>
      </c>
      <c r="C77" t="inlineStr">
        <is>
          <t>2017-02</t>
        </is>
      </c>
      <c r="D77" t="inlineStr">
        <is>
          <t>SP</t>
        </is>
      </c>
      <c r="E77" t="inlineStr">
        <is>
          <t>pet_shop</t>
        </is>
      </c>
      <c r="F77" t="n">
        <v>2</v>
      </c>
      <c r="G77" t="n">
        <v>108.6</v>
      </c>
      <c r="H77" t="n">
        <v>20.51</v>
      </c>
      <c r="I77" t="inlineStr">
        <is>
          <t>credit_card</t>
        </is>
      </c>
      <c r="J77" t="n">
        <v>5</v>
      </c>
      <c r="K77" t="inlineStr">
        <is>
          <t>On Time</t>
        </is>
      </c>
      <c r="L77" t="n">
        <v>2</v>
      </c>
      <c r="M77">
        <f>VLOOKUP(D77,State_Lookup!$A$2:$B$28,2,FALSE)</f>
        <v/>
      </c>
    </row>
    <row r="78">
      <c r="A78" t="inlineStr">
        <is>
          <t>4d55408f3a98afa1d4f3087d4a24005d</t>
        </is>
      </c>
      <c r="B78" t="inlineStr">
        <is>
          <t>2017-02-04</t>
        </is>
      </c>
      <c r="C78" t="inlineStr">
        <is>
          <t>2017-02</t>
        </is>
      </c>
      <c r="D78" t="inlineStr">
        <is>
          <t>MS</t>
        </is>
      </c>
      <c r="E78" t="inlineStr">
        <is>
          <t>computers_accessories</t>
        </is>
      </c>
      <c r="F78" t="n">
        <v>1</v>
      </c>
      <c r="G78" t="n">
        <v>49.99</v>
      </c>
      <c r="H78" t="n">
        <v>15.65</v>
      </c>
      <c r="I78" t="inlineStr">
        <is>
          <t>credit_card</t>
        </is>
      </c>
      <c r="J78" t="n">
        <v>5</v>
      </c>
      <c r="K78" t="inlineStr">
        <is>
          <t>On Time</t>
        </is>
      </c>
      <c r="L78" t="n">
        <v>5</v>
      </c>
      <c r="M78">
        <f>VLOOKUP(D78,State_Lookup!$A$2:$B$28,2,FALSE)</f>
        <v/>
      </c>
    </row>
    <row r="79">
      <c r="A79" t="inlineStr">
        <is>
          <t>17eba629ec542978d1ea929d473d4f19</t>
        </is>
      </c>
      <c r="B79" t="inlineStr">
        <is>
          <t>2017-02-04</t>
        </is>
      </c>
      <c r="C79" t="inlineStr">
        <is>
          <t>2017-02</t>
        </is>
      </c>
      <c r="D79" t="inlineStr">
        <is>
          <t>RJ</t>
        </is>
      </c>
      <c r="E79" t="inlineStr">
        <is>
          <t>small_appliances</t>
        </is>
      </c>
      <c r="F79" t="n">
        <v>1</v>
      </c>
      <c r="G79" t="n">
        <v>163.9</v>
      </c>
      <c r="H79" t="n">
        <v>43.61</v>
      </c>
      <c r="I79" t="inlineStr">
        <is>
          <t>credit_card</t>
        </is>
      </c>
      <c r="J79" t="n">
        <v>9</v>
      </c>
      <c r="K79" t="inlineStr">
        <is>
          <t>On Time</t>
        </is>
      </c>
      <c r="L79" t="n">
        <v>1</v>
      </c>
      <c r="M79">
        <f>VLOOKUP(D79,State_Lookup!$A$2:$B$28,2,FALSE)</f>
        <v/>
      </c>
    </row>
    <row r="80">
      <c r="A80" t="inlineStr">
        <is>
          <t>e4b5eb77d6eca2730a7ed8e9abaf4db2</t>
        </is>
      </c>
      <c r="B80" t="inlineStr">
        <is>
          <t>2017-02-04</t>
        </is>
      </c>
      <c r="C80" t="inlineStr">
        <is>
          <t>2017-02</t>
        </is>
      </c>
      <c r="D80" t="inlineStr">
        <is>
          <t>RJ</t>
        </is>
      </c>
      <c r="E80" t="inlineStr">
        <is>
          <t>furniture_decor</t>
        </is>
      </c>
      <c r="F80" t="n">
        <v>1</v>
      </c>
      <c r="G80" t="n">
        <v>249.9</v>
      </c>
      <c r="H80" t="n">
        <v>71.48</v>
      </c>
      <c r="I80" t="inlineStr">
        <is>
          <t>credit_card</t>
        </is>
      </c>
      <c r="J80" t="n">
        <v>10</v>
      </c>
      <c r="K80" t="inlineStr">
        <is>
          <t>On Time</t>
        </is>
      </c>
      <c r="L80" t="n">
        <v>5</v>
      </c>
      <c r="M80">
        <f>VLOOKUP(D80,State_Lookup!$A$2:$B$28,2,FALSE)</f>
        <v/>
      </c>
    </row>
    <row r="81">
      <c r="A81" t="inlineStr">
        <is>
          <t>36f63f07e3c52585c8eb2795c466b3fa</t>
        </is>
      </c>
      <c r="B81" t="inlineStr">
        <is>
          <t>2017-02-05</t>
        </is>
      </c>
      <c r="C81" t="inlineStr">
        <is>
          <t>2017-02</t>
        </is>
      </c>
      <c r="D81" t="inlineStr">
        <is>
          <t>RJ</t>
        </is>
      </c>
      <c r="E81" t="inlineStr">
        <is>
          <t>unknown</t>
        </is>
      </c>
      <c r="F81" t="n">
        <v>1</v>
      </c>
      <c r="G81" t="n">
        <v>25</v>
      </c>
      <c r="H81" t="n">
        <v>12.93</v>
      </c>
      <c r="I81" t="inlineStr">
        <is>
          <t>credit_card</t>
        </is>
      </c>
      <c r="J81" t="n">
        <v>10</v>
      </c>
      <c r="K81" t="inlineStr">
        <is>
          <t>On Time</t>
        </is>
      </c>
      <c r="L81" t="n">
        <v>1</v>
      </c>
      <c r="M81">
        <f>VLOOKUP(D81,State_Lookup!$A$2:$B$28,2,FALSE)</f>
        <v/>
      </c>
    </row>
    <row r="82">
      <c r="A82" t="inlineStr">
        <is>
          <t>5d6a02cac99fa9799762b72352be69df</t>
        </is>
      </c>
      <c r="B82" t="inlineStr">
        <is>
          <t>2017-02-05</t>
        </is>
      </c>
      <c r="C82" t="inlineStr">
        <is>
          <t>2017-02</t>
        </is>
      </c>
      <c r="D82" t="inlineStr">
        <is>
          <t>SP</t>
        </is>
      </c>
      <c r="E82" t="inlineStr">
        <is>
          <t>luggage_accessories</t>
        </is>
      </c>
      <c r="F82" t="n">
        <v>1</v>
      </c>
      <c r="G82" t="n">
        <v>55.9</v>
      </c>
      <c r="H82" t="n">
        <v>14.15</v>
      </c>
      <c r="I82" t="inlineStr">
        <is>
          <t>credit_card</t>
        </is>
      </c>
      <c r="J82" t="n">
        <v>10</v>
      </c>
      <c r="K82" t="inlineStr">
        <is>
          <t>On Time</t>
        </is>
      </c>
      <c r="L82" t="n">
        <v>5</v>
      </c>
      <c r="M82">
        <f>VLOOKUP(D82,State_Lookup!$A$2:$B$28,2,FALSE)</f>
        <v/>
      </c>
    </row>
    <row r="83">
      <c r="A83" t="inlineStr">
        <is>
          <t>8c46c4b2bbf318ff31368bc87309662e</t>
        </is>
      </c>
      <c r="B83" t="inlineStr">
        <is>
          <t>2017-02-05</t>
        </is>
      </c>
      <c r="C83" t="inlineStr">
        <is>
          <t>2017-02</t>
        </is>
      </c>
      <c r="D83" t="inlineStr">
        <is>
          <t>PA</t>
        </is>
      </c>
      <c r="E83" t="inlineStr">
        <is>
          <t>sports_leisure</t>
        </is>
      </c>
      <c r="F83" t="n">
        <v>1</v>
      </c>
      <c r="G83" t="n">
        <v>159</v>
      </c>
      <c r="H83" t="n">
        <v>47.61</v>
      </c>
      <c r="I83" t="inlineStr">
        <is>
          <t>credit_card</t>
        </is>
      </c>
      <c r="J83" t="n">
        <v>10</v>
      </c>
      <c r="K83" t="inlineStr">
        <is>
          <t>On Time</t>
        </is>
      </c>
      <c r="L83" t="n">
        <v>5</v>
      </c>
      <c r="M83">
        <f>VLOOKUP(D83,State_Lookup!$A$2:$B$28,2,FALSE)</f>
        <v/>
      </c>
    </row>
    <row r="84">
      <c r="A84" t="inlineStr">
        <is>
          <t>8ca35ef9366e216446621215448b381a</t>
        </is>
      </c>
      <c r="B84" t="inlineStr">
        <is>
          <t>2017-02-05</t>
        </is>
      </c>
      <c r="C84" t="inlineStr">
        <is>
          <t>2017-02</t>
        </is>
      </c>
      <c r="D84" t="inlineStr">
        <is>
          <t>SP</t>
        </is>
      </c>
      <c r="E84" t="inlineStr">
        <is>
          <t>health_beauty</t>
        </is>
      </c>
      <c r="F84" t="n">
        <v>1</v>
      </c>
      <c r="G84" t="n">
        <v>49.9</v>
      </c>
      <c r="H84" t="n">
        <v>12.93</v>
      </c>
      <c r="I84" t="inlineStr">
        <is>
          <t>credit_card</t>
        </is>
      </c>
      <c r="J84" t="n">
        <v>10</v>
      </c>
      <c r="K84" t="inlineStr">
        <is>
          <t>On Time</t>
        </is>
      </c>
      <c r="L84" t="n">
        <v>5</v>
      </c>
      <c r="M84">
        <f>VLOOKUP(D84,State_Lookup!$A$2:$B$28,2,FALSE)</f>
        <v/>
      </c>
    </row>
    <row r="85">
      <c r="A85" t="inlineStr">
        <is>
          <t>31cb8821ab778cd23ebb6ce6f9e2bce0</t>
        </is>
      </c>
      <c r="B85" t="inlineStr">
        <is>
          <t>2017-02-05</t>
        </is>
      </c>
      <c r="C85" t="inlineStr">
        <is>
          <t>2017-02</t>
        </is>
      </c>
      <c r="D85" t="inlineStr">
        <is>
          <t>MG</t>
        </is>
      </c>
      <c r="E85" t="inlineStr">
        <is>
          <t>agro_industry_and_commerce</t>
        </is>
      </c>
      <c r="F85" t="n">
        <v>1</v>
      </c>
      <c r="G85" t="n">
        <v>21.99</v>
      </c>
      <c r="H85" t="n">
        <v>14.52</v>
      </c>
      <c r="I85" t="inlineStr">
        <is>
          <t>credit_card</t>
        </is>
      </c>
      <c r="J85" t="n">
        <v>4</v>
      </c>
      <c r="K85" t="inlineStr">
        <is>
          <t>On Time</t>
        </is>
      </c>
      <c r="L85" t="n">
        <v>3</v>
      </c>
      <c r="M85">
        <f>VLOOKUP(D85,State_Lookup!$A$2:$B$28,2,FALSE)</f>
        <v/>
      </c>
    </row>
    <row r="86">
      <c r="A86" t="inlineStr">
        <is>
          <t>88f2acef90e7ca305b8b5db51dd0be27</t>
        </is>
      </c>
      <c r="B86" t="inlineStr">
        <is>
          <t>2017-02-06</t>
        </is>
      </c>
      <c r="C86" t="inlineStr">
        <is>
          <t>2017-02</t>
        </is>
      </c>
      <c r="D86" t="inlineStr">
        <is>
          <t>RJ</t>
        </is>
      </c>
      <c r="E86" t="inlineStr">
        <is>
          <t>health_beauty</t>
        </is>
      </c>
      <c r="F86" t="n">
        <v>1</v>
      </c>
      <c r="G86" t="n">
        <v>69.90000000000001</v>
      </c>
      <c r="H86" t="n">
        <v>15.25</v>
      </c>
      <c r="I86" t="inlineStr">
        <is>
          <t>credit_card</t>
        </is>
      </c>
      <c r="J86" t="n">
        <v>6</v>
      </c>
      <c r="K86" t="inlineStr">
        <is>
          <t>On Time</t>
        </is>
      </c>
      <c r="L86" t="n">
        <v>4</v>
      </c>
      <c r="M86">
        <f>VLOOKUP(D86,State_Lookup!$A$2:$B$28,2,FALSE)</f>
        <v/>
      </c>
    </row>
    <row r="87">
      <c r="A87" t="inlineStr">
        <is>
          <t>fe590d6e861c13a9b394a9d3775b07d7</t>
        </is>
      </c>
      <c r="B87" t="inlineStr">
        <is>
          <t>2017-02-06</t>
        </is>
      </c>
      <c r="C87" t="inlineStr">
        <is>
          <t>2017-02</t>
        </is>
      </c>
      <c r="D87" t="inlineStr">
        <is>
          <t>MT</t>
        </is>
      </c>
      <c r="E87" t="inlineStr">
        <is>
          <t>cool_stuff</t>
        </is>
      </c>
      <c r="F87" t="n">
        <v>1</v>
      </c>
      <c r="G87" t="n">
        <v>239.99</v>
      </c>
      <c r="H87" t="n">
        <v>22.13</v>
      </c>
      <c r="I87" t="inlineStr">
        <is>
          <t>credit_card</t>
        </is>
      </c>
      <c r="J87" t="n">
        <v>14</v>
      </c>
      <c r="K87" t="inlineStr">
        <is>
          <t>On Time</t>
        </is>
      </c>
      <c r="L87" t="n">
        <v>5</v>
      </c>
      <c r="M87">
        <f>VLOOKUP(D87,State_Lookup!$A$2:$B$28,2,FALSE)</f>
        <v/>
      </c>
    </row>
    <row r="88">
      <c r="A88" t="inlineStr">
        <is>
          <t>033a79557b0d234035b38da3be948574</t>
        </is>
      </c>
      <c r="B88" t="inlineStr">
        <is>
          <t>2017-02-06</t>
        </is>
      </c>
      <c r="C88" t="inlineStr">
        <is>
          <t>2017-02</t>
        </is>
      </c>
      <c r="D88" t="inlineStr">
        <is>
          <t>AM</t>
        </is>
      </c>
      <c r="E88" t="inlineStr">
        <is>
          <t>garden_tools</t>
        </is>
      </c>
      <c r="F88" t="n">
        <v>1</v>
      </c>
      <c r="G88" t="n">
        <v>35</v>
      </c>
      <c r="H88" t="n">
        <v>24.35</v>
      </c>
      <c r="I88" t="inlineStr">
        <is>
          <t>credit_card</t>
        </is>
      </c>
      <c r="J88" t="n">
        <v>11</v>
      </c>
      <c r="K88" t="inlineStr">
        <is>
          <t>On Time</t>
        </is>
      </c>
      <c r="L88" t="n">
        <v>5</v>
      </c>
      <c r="M88">
        <f>VLOOKUP(D88,State_Lookup!$A$2:$B$28,2,FALSE)</f>
        <v/>
      </c>
    </row>
    <row r="89">
      <c r="A89" t="inlineStr">
        <is>
          <t>f21167a5141522821d54a766a2a54ce4</t>
        </is>
      </c>
      <c r="B89" t="inlineStr">
        <is>
          <t>2017-02-07</t>
        </is>
      </c>
      <c r="C89" t="inlineStr">
        <is>
          <t>2017-02</t>
        </is>
      </c>
      <c r="D89" t="inlineStr">
        <is>
          <t>SP</t>
        </is>
      </c>
      <c r="E89" t="inlineStr">
        <is>
          <t>sports_leisure</t>
        </is>
      </c>
      <c r="F89" t="n">
        <v>1</v>
      </c>
      <c r="G89" t="n">
        <v>44.99</v>
      </c>
      <c r="H89" t="n">
        <v>10.96</v>
      </c>
      <c r="I89" t="inlineStr">
        <is>
          <t>credit_card</t>
        </is>
      </c>
      <c r="J89" t="n">
        <v>10</v>
      </c>
      <c r="K89" t="inlineStr">
        <is>
          <t>On Time</t>
        </is>
      </c>
      <c r="L89" t="n">
        <v>1</v>
      </c>
      <c r="M89">
        <f>VLOOKUP(D89,State_Lookup!$A$2:$B$28,2,FALSE)</f>
        <v/>
      </c>
    </row>
    <row r="90">
      <c r="A90" t="inlineStr">
        <is>
          <t>a6254817fe719457b22250e3cd2eb2ad</t>
        </is>
      </c>
      <c r="B90" t="inlineStr">
        <is>
          <t>2017-02-07</t>
        </is>
      </c>
      <c r="C90" t="inlineStr">
        <is>
          <t>2017-02</t>
        </is>
      </c>
      <c r="D90" t="inlineStr">
        <is>
          <t>SP</t>
        </is>
      </c>
      <c r="E90" t="inlineStr">
        <is>
          <t>health_beauty</t>
        </is>
      </c>
      <c r="F90" t="n">
        <v>1</v>
      </c>
      <c r="G90" t="n">
        <v>23.9</v>
      </c>
      <c r="H90" t="n">
        <v>8.720000000000001</v>
      </c>
      <c r="I90" t="inlineStr">
        <is>
          <t>credit_card</t>
        </is>
      </c>
      <c r="J90" t="n">
        <v>7</v>
      </c>
      <c r="K90" t="inlineStr">
        <is>
          <t>On Time</t>
        </is>
      </c>
      <c r="L90" t="n">
        <v>5</v>
      </c>
      <c r="M90">
        <f>VLOOKUP(D90,State_Lookup!$A$2:$B$28,2,FALSE)</f>
        <v/>
      </c>
    </row>
    <row r="91">
      <c r="A91" t="inlineStr">
        <is>
          <t>64682ca1db0a46065072f31a87b390f8</t>
        </is>
      </c>
      <c r="B91" t="inlineStr">
        <is>
          <t>2017-02-07</t>
        </is>
      </c>
      <c r="C91" t="inlineStr">
        <is>
          <t>2017-02</t>
        </is>
      </c>
      <c r="D91" t="inlineStr">
        <is>
          <t>MS</t>
        </is>
      </c>
      <c r="E91" t="inlineStr">
        <is>
          <t>sports_leisure</t>
        </is>
      </c>
      <c r="F91" t="n">
        <v>1</v>
      </c>
      <c r="G91" t="n">
        <v>113</v>
      </c>
      <c r="H91" t="n">
        <v>19.38</v>
      </c>
      <c r="I91" t="inlineStr">
        <is>
          <t>credit_card</t>
        </is>
      </c>
      <c r="J91" t="n">
        <v>16</v>
      </c>
      <c r="K91" t="inlineStr">
        <is>
          <t>On Time</t>
        </is>
      </c>
      <c r="L91" t="n">
        <v>5</v>
      </c>
      <c r="M91">
        <f>VLOOKUP(D91,State_Lookup!$A$2:$B$28,2,FALSE)</f>
        <v/>
      </c>
    </row>
    <row r="92">
      <c r="A92" t="inlineStr">
        <is>
          <t>3d24c492f9555a79d4d6fd3a22fbee1f</t>
        </is>
      </c>
      <c r="B92" t="inlineStr">
        <is>
          <t>2017-02-07</t>
        </is>
      </c>
      <c r="C92" t="inlineStr">
        <is>
          <t>2017-02</t>
        </is>
      </c>
      <c r="D92" t="inlineStr">
        <is>
          <t>MG</t>
        </is>
      </c>
      <c r="E92" t="inlineStr">
        <is>
          <t>luggage_accessories</t>
        </is>
      </c>
      <c r="F92" t="n">
        <v>1</v>
      </c>
      <c r="G92" t="n">
        <v>55.9</v>
      </c>
      <c r="H92" t="n">
        <v>11</v>
      </c>
      <c r="I92" t="inlineStr">
        <is>
          <t>voucher</t>
        </is>
      </c>
      <c r="J92" t="n">
        <v>6</v>
      </c>
      <c r="K92" t="inlineStr">
        <is>
          <t>On Time</t>
        </is>
      </c>
      <c r="L92" t="n">
        <v>5</v>
      </c>
      <c r="M92">
        <f>VLOOKUP(D92,State_Lookup!$A$2:$B$28,2,FALSE)</f>
        <v/>
      </c>
    </row>
    <row r="93">
      <c r="A93" t="inlineStr">
        <is>
          <t>7f14c64f7f48c0243c290e47dd51cfeb</t>
        </is>
      </c>
      <c r="B93" t="inlineStr">
        <is>
          <t>2017-02-07</t>
        </is>
      </c>
      <c r="C93" t="inlineStr">
        <is>
          <t>2017-02</t>
        </is>
      </c>
      <c r="D93" t="inlineStr">
        <is>
          <t>MG</t>
        </is>
      </c>
      <c r="E93" t="inlineStr">
        <is>
          <t>computers_accessories</t>
        </is>
      </c>
      <c r="F93" t="n">
        <v>1</v>
      </c>
      <c r="G93" t="n">
        <v>20.9</v>
      </c>
      <c r="H93" t="n">
        <v>10.96</v>
      </c>
      <c r="I93" t="inlineStr">
        <is>
          <t>boleto</t>
        </is>
      </c>
      <c r="J93" t="n">
        <v>13</v>
      </c>
      <c r="K93" t="inlineStr">
        <is>
          <t>On Time</t>
        </is>
      </c>
      <c r="L93" t="n">
        <v>1</v>
      </c>
      <c r="M93">
        <f>VLOOKUP(D93,State_Lookup!$A$2:$B$28,2,FALSE)</f>
        <v/>
      </c>
    </row>
    <row r="94">
      <c r="A94" t="inlineStr">
        <is>
          <t>25e4af6ebff2dfb6213c8cc7e36ecbed</t>
        </is>
      </c>
      <c r="B94" t="inlineStr">
        <is>
          <t>2017-02-07</t>
        </is>
      </c>
      <c r="C94" t="inlineStr">
        <is>
          <t>2017-02</t>
        </is>
      </c>
      <c r="D94" t="inlineStr">
        <is>
          <t>MG</t>
        </is>
      </c>
      <c r="E94" t="inlineStr">
        <is>
          <t>furniture_decor</t>
        </is>
      </c>
      <c r="F94" t="n">
        <v>2</v>
      </c>
      <c r="G94" t="n">
        <v>198</v>
      </c>
      <c r="H94" t="n">
        <v>74.18000000000001</v>
      </c>
      <c r="I94" t="inlineStr">
        <is>
          <t>credit_card</t>
        </is>
      </c>
      <c r="J94" t="n">
        <v>23</v>
      </c>
      <c r="K94" t="inlineStr">
        <is>
          <t>On Time</t>
        </is>
      </c>
      <c r="L94" t="n">
        <v>5</v>
      </c>
      <c r="M94">
        <f>VLOOKUP(D94,State_Lookup!$A$2:$B$28,2,FALSE)</f>
        <v/>
      </c>
    </row>
    <row r="95">
      <c r="A95" t="inlineStr">
        <is>
          <t>18eb75d1fa1fc1168de2bb0c4aa6dfd6</t>
        </is>
      </c>
      <c r="B95" t="inlineStr">
        <is>
          <t>2017-02-07</t>
        </is>
      </c>
      <c r="C95" t="inlineStr">
        <is>
          <t>2017-02</t>
        </is>
      </c>
      <c r="D95" t="inlineStr">
        <is>
          <t>RO</t>
        </is>
      </c>
      <c r="E95" t="inlineStr">
        <is>
          <t>office_furniture</t>
        </is>
      </c>
      <c r="F95" t="n">
        <v>1</v>
      </c>
      <c r="G95" t="n">
        <v>119.99</v>
      </c>
      <c r="H95" t="n">
        <v>50</v>
      </c>
      <c r="I95" t="inlineStr">
        <is>
          <t>credit_card</t>
        </is>
      </c>
      <c r="J95" t="n">
        <v>15</v>
      </c>
      <c r="K95" t="inlineStr">
        <is>
          <t>On Time</t>
        </is>
      </c>
      <c r="L95" t="n">
        <v>5</v>
      </c>
      <c r="M95">
        <f>VLOOKUP(D95,State_Lookup!$A$2:$B$28,2,FALSE)</f>
        <v/>
      </c>
    </row>
    <row r="96">
      <c r="A96" t="inlineStr">
        <is>
          <t>ef923bbb28876cc2a8e00a7ebc1a52f8</t>
        </is>
      </c>
      <c r="B96" t="inlineStr">
        <is>
          <t>2017-02-07</t>
        </is>
      </c>
      <c r="C96" t="inlineStr">
        <is>
          <t>2017-02</t>
        </is>
      </c>
      <c r="D96" t="inlineStr">
        <is>
          <t>MG</t>
        </is>
      </c>
      <c r="E96" t="inlineStr">
        <is>
          <t>telephony</t>
        </is>
      </c>
      <c r="F96" t="n">
        <v>1</v>
      </c>
      <c r="G96" t="n">
        <v>142.99</v>
      </c>
      <c r="H96" t="n">
        <v>18.52</v>
      </c>
      <c r="I96" t="inlineStr">
        <is>
          <t>credit_card</t>
        </is>
      </c>
      <c r="J96" t="n">
        <v>8</v>
      </c>
      <c r="K96" t="inlineStr">
        <is>
          <t>On Time</t>
        </is>
      </c>
      <c r="L96" t="n">
        <v>5</v>
      </c>
      <c r="M96">
        <f>VLOOKUP(D96,State_Lookup!$A$2:$B$28,2,FALSE)</f>
        <v/>
      </c>
    </row>
    <row r="97">
      <c r="A97" t="inlineStr">
        <is>
          <t>ca254c5904f6a9a9063eef5239c54197</t>
        </is>
      </c>
      <c r="B97" t="inlineStr">
        <is>
          <t>2017-02-07</t>
        </is>
      </c>
      <c r="C97" t="inlineStr">
        <is>
          <t>2017-02</t>
        </is>
      </c>
      <c r="D97" t="inlineStr">
        <is>
          <t>MG</t>
        </is>
      </c>
      <c r="E97" t="inlineStr">
        <is>
          <t>baby</t>
        </is>
      </c>
      <c r="F97" t="n">
        <v>1</v>
      </c>
      <c r="G97" t="n">
        <v>64.90000000000001</v>
      </c>
      <c r="H97" t="n">
        <v>14.62</v>
      </c>
      <c r="I97" t="inlineStr">
        <is>
          <t>credit_card</t>
        </is>
      </c>
      <c r="J97" t="n">
        <v>9</v>
      </c>
      <c r="K97" t="inlineStr">
        <is>
          <t>On Time</t>
        </is>
      </c>
      <c r="L97" t="n">
        <v>4</v>
      </c>
      <c r="M97">
        <f>VLOOKUP(D97,State_Lookup!$A$2:$B$28,2,FALSE)</f>
        <v/>
      </c>
    </row>
    <row r="98">
      <c r="A98" t="inlineStr">
        <is>
          <t>195070d2d0eb1da7d93b958bce36d1ef</t>
        </is>
      </c>
      <c r="B98" t="inlineStr">
        <is>
          <t>2017-02-08</t>
        </is>
      </c>
      <c r="C98" t="inlineStr">
        <is>
          <t>2017-02</t>
        </is>
      </c>
      <c r="D98" t="inlineStr">
        <is>
          <t>SP</t>
        </is>
      </c>
      <c r="E98" t="inlineStr">
        <is>
          <t>health_beauty</t>
        </is>
      </c>
      <c r="F98" t="n">
        <v>1</v>
      </c>
      <c r="G98" t="n">
        <v>19.99</v>
      </c>
      <c r="H98" t="n">
        <v>10.96</v>
      </c>
      <c r="I98" t="inlineStr">
        <is>
          <t>boleto</t>
        </is>
      </c>
      <c r="J98" t="inlineStr"/>
      <c r="K98" t="inlineStr">
        <is>
          <t>Not Delivered</t>
        </is>
      </c>
      <c r="L98" t="n">
        <v>1</v>
      </c>
      <c r="M98">
        <f>VLOOKUP(D98,State_Lookup!$A$2:$B$28,2,FALSE)</f>
        <v/>
      </c>
    </row>
    <row r="99">
      <c r="A99" t="inlineStr">
        <is>
          <t>fb520e46696d1669a96549c252ed177d</t>
        </is>
      </c>
      <c r="B99" t="inlineStr">
        <is>
          <t>2017-02-08</t>
        </is>
      </c>
      <c r="C99" t="inlineStr">
        <is>
          <t>2017-02</t>
        </is>
      </c>
      <c r="D99" t="inlineStr">
        <is>
          <t>RS</t>
        </is>
      </c>
      <c r="E99" t="inlineStr">
        <is>
          <t>health_beauty</t>
        </is>
      </c>
      <c r="F99" t="n">
        <v>1</v>
      </c>
      <c r="G99" t="n">
        <v>69.98999999999999</v>
      </c>
      <c r="H99" t="n">
        <v>16.19</v>
      </c>
      <c r="I99" t="inlineStr">
        <is>
          <t>credit_card</t>
        </is>
      </c>
      <c r="J99" t="inlineStr"/>
      <c r="K99" t="inlineStr">
        <is>
          <t>Not Delivered</t>
        </is>
      </c>
      <c r="L99" t="n">
        <v>2</v>
      </c>
      <c r="M99">
        <f>VLOOKUP(D99,State_Lookup!$A$2:$B$28,2,FALSE)</f>
        <v/>
      </c>
    </row>
    <row r="100">
      <c r="A100" t="inlineStr">
        <is>
          <t>2140d49aa405c7c344212e78351fef98</t>
        </is>
      </c>
      <c r="B100" t="inlineStr">
        <is>
          <t>2017-02-08</t>
        </is>
      </c>
      <c r="C100" t="inlineStr">
        <is>
          <t>2017-02</t>
        </is>
      </c>
      <c r="D100" t="inlineStr">
        <is>
          <t>PR</t>
        </is>
      </c>
      <c r="E100" t="inlineStr">
        <is>
          <t>telephony</t>
        </is>
      </c>
      <c r="F100" t="n">
        <v>1</v>
      </c>
      <c r="G100" t="n">
        <v>9.880000000000001</v>
      </c>
      <c r="H100" t="n">
        <v>14.11</v>
      </c>
      <c r="I100" t="inlineStr">
        <is>
          <t>credit_card</t>
        </is>
      </c>
      <c r="J100" t="n">
        <v>12</v>
      </c>
      <c r="K100" t="inlineStr">
        <is>
          <t>On Time</t>
        </is>
      </c>
      <c r="L100" t="n">
        <v>5</v>
      </c>
      <c r="M100">
        <f>VLOOKUP(D100,State_Lookup!$A$2:$B$28,2,FALSE)</f>
        <v/>
      </c>
    </row>
    <row r="101">
      <c r="A101" t="inlineStr">
        <is>
          <t>c7b2b75e4013ba825f8617a06936a014</t>
        </is>
      </c>
      <c r="B101" t="inlineStr">
        <is>
          <t>2017-02-08</t>
        </is>
      </c>
      <c r="C101" t="inlineStr">
        <is>
          <t>2017-02</t>
        </is>
      </c>
      <c r="D101" t="inlineStr">
        <is>
          <t>RJ</t>
        </is>
      </c>
      <c r="E101" t="inlineStr">
        <is>
          <t>small_appliances</t>
        </is>
      </c>
      <c r="F101" t="n">
        <v>1</v>
      </c>
      <c r="G101" t="n">
        <v>169.9</v>
      </c>
      <c r="H101" t="n">
        <v>31.93</v>
      </c>
      <c r="I101" t="inlineStr">
        <is>
          <t>boleto</t>
        </is>
      </c>
      <c r="J101" t="n">
        <v>12</v>
      </c>
      <c r="K101" t="inlineStr">
        <is>
          <t>On Time</t>
        </is>
      </c>
      <c r="L101" t="n">
        <v>5</v>
      </c>
      <c r="M101">
        <f>VLOOKUP(D101,State_Lookup!$A$2:$B$28,2,FALSE)</f>
        <v/>
      </c>
    </row>
    <row r="102">
      <c r="A102" t="inlineStr">
        <is>
          <t>e11dead0c183b7b8da09f6b3039ea730</t>
        </is>
      </c>
      <c r="B102" t="inlineStr">
        <is>
          <t>2017-02-09</t>
        </is>
      </c>
      <c r="C102" t="inlineStr">
        <is>
          <t>2017-02</t>
        </is>
      </c>
      <c r="D102" t="inlineStr">
        <is>
          <t>MG</t>
        </is>
      </c>
      <c r="E102" t="inlineStr">
        <is>
          <t>garden_tools</t>
        </is>
      </c>
      <c r="F102" t="n">
        <v>1</v>
      </c>
      <c r="G102" t="n">
        <v>157</v>
      </c>
      <c r="H102" t="n">
        <v>18.85</v>
      </c>
      <c r="I102" t="inlineStr">
        <is>
          <t>credit_card</t>
        </is>
      </c>
      <c r="J102" t="n">
        <v>5</v>
      </c>
      <c r="K102" t="inlineStr">
        <is>
          <t>On Time</t>
        </is>
      </c>
      <c r="L102" t="n">
        <v>3</v>
      </c>
      <c r="M102">
        <f>VLOOKUP(D102,State_Lookup!$A$2:$B$28,2,FALSE)</f>
        <v/>
      </c>
    </row>
    <row r="103">
      <c r="A103" t="inlineStr">
        <is>
          <t>188e8c3184383f5eee9e40255048191b</t>
        </is>
      </c>
      <c r="B103" t="inlineStr">
        <is>
          <t>2017-02-09</t>
        </is>
      </c>
      <c r="C103" t="inlineStr">
        <is>
          <t>2017-02</t>
        </is>
      </c>
      <c r="D103" t="inlineStr">
        <is>
          <t>SP</t>
        </is>
      </c>
      <c r="E103" t="inlineStr">
        <is>
          <t>unknown</t>
        </is>
      </c>
      <c r="F103" t="n">
        <v>1</v>
      </c>
      <c r="G103" t="n">
        <v>104.9</v>
      </c>
      <c r="H103" t="n">
        <v>15.94</v>
      </c>
      <c r="I103" t="inlineStr">
        <is>
          <t>credit_card</t>
        </is>
      </c>
      <c r="J103" t="n">
        <v>3</v>
      </c>
      <c r="K103" t="inlineStr">
        <is>
          <t>On Time</t>
        </is>
      </c>
      <c r="L103" t="n">
        <v>4</v>
      </c>
      <c r="M103">
        <f>VLOOKUP(D103,State_Lookup!$A$2:$B$28,2,FALSE)</f>
        <v/>
      </c>
    </row>
    <row r="104">
      <c r="A104" t="inlineStr">
        <is>
          <t>e85c92ee6a3ba1ef47e41c23286314d9</t>
        </is>
      </c>
      <c r="B104" t="inlineStr">
        <is>
          <t>2017-02-10</t>
        </is>
      </c>
      <c r="C104" t="inlineStr">
        <is>
          <t>2017-02</t>
        </is>
      </c>
      <c r="D104" t="inlineStr">
        <is>
          <t>DF</t>
        </is>
      </c>
      <c r="E104" t="inlineStr">
        <is>
          <t>computers_accessories</t>
        </is>
      </c>
      <c r="F104" t="n">
        <v>1</v>
      </c>
      <c r="G104" t="n">
        <v>3699.99</v>
      </c>
      <c r="H104" t="n">
        <v>36.23</v>
      </c>
      <c r="I104" t="inlineStr">
        <is>
          <t>credit_card</t>
        </is>
      </c>
      <c r="J104" t="n">
        <v>12</v>
      </c>
      <c r="K104" t="inlineStr">
        <is>
          <t>On Time</t>
        </is>
      </c>
      <c r="L104" t="n">
        <v>4</v>
      </c>
      <c r="M104">
        <f>VLOOKUP(D104,State_Lookup!$A$2:$B$28,2,FALSE)</f>
        <v/>
      </c>
    </row>
    <row r="105">
      <c r="A105" t="inlineStr">
        <is>
          <t>768b4cf8bec9afe5a1f39b8e3c3e8cc0</t>
        </is>
      </c>
      <c r="B105" t="inlineStr">
        <is>
          <t>2017-02-10</t>
        </is>
      </c>
      <c r="C105" t="inlineStr">
        <is>
          <t>2017-02</t>
        </is>
      </c>
      <c r="D105" t="inlineStr">
        <is>
          <t>MG</t>
        </is>
      </c>
      <c r="E105" t="inlineStr">
        <is>
          <t>office_furniture</t>
        </is>
      </c>
      <c r="F105" t="n">
        <v>1</v>
      </c>
      <c r="G105" t="n">
        <v>119.99</v>
      </c>
      <c r="H105" t="n">
        <v>15.01</v>
      </c>
      <c r="I105" t="inlineStr">
        <is>
          <t>credit_card</t>
        </is>
      </c>
      <c r="J105" t="n">
        <v>21</v>
      </c>
      <c r="K105" t="inlineStr">
        <is>
          <t>On Time</t>
        </is>
      </c>
      <c r="L105" t="n">
        <v>5</v>
      </c>
      <c r="M105">
        <f>VLOOKUP(D105,State_Lookup!$A$2:$B$28,2,FALSE)</f>
        <v/>
      </c>
    </row>
    <row r="106">
      <c r="A106" t="inlineStr">
        <is>
          <t>bca58807bbe0c11fa3099e2328f62647</t>
        </is>
      </c>
      <c r="B106" t="inlineStr">
        <is>
          <t>2017-02-10</t>
        </is>
      </c>
      <c r="C106" t="inlineStr">
        <is>
          <t>2017-02</t>
        </is>
      </c>
      <c r="D106" t="inlineStr">
        <is>
          <t>AC</t>
        </is>
      </c>
      <c r="E106" t="inlineStr">
        <is>
          <t>computers_accessories</t>
        </is>
      </c>
      <c r="F106" t="n">
        <v>1</v>
      </c>
      <c r="G106" t="n">
        <v>20.9</v>
      </c>
      <c r="H106" t="n">
        <v>24.35</v>
      </c>
      <c r="I106" t="inlineStr">
        <is>
          <t>credit_card</t>
        </is>
      </c>
      <c r="J106" t="n">
        <v>27</v>
      </c>
      <c r="K106" t="inlineStr">
        <is>
          <t>On Time</t>
        </is>
      </c>
      <c r="L106" t="n">
        <v>5</v>
      </c>
      <c r="M106">
        <f>VLOOKUP(D106,State_Lookup!$A$2:$B$28,2,FALSE)</f>
        <v/>
      </c>
    </row>
    <row r="107">
      <c r="A107" t="inlineStr">
        <is>
          <t>f8ff98a36706c66da3a3f060a0ec3141</t>
        </is>
      </c>
      <c r="B107" t="inlineStr">
        <is>
          <t>2017-02-10</t>
        </is>
      </c>
      <c r="C107" t="inlineStr">
        <is>
          <t>2017-02</t>
        </is>
      </c>
      <c r="D107" t="inlineStr">
        <is>
          <t>MG</t>
        </is>
      </c>
      <c r="E107" t="inlineStr">
        <is>
          <t>bed_bath_table</t>
        </is>
      </c>
      <c r="F107" t="n">
        <v>2</v>
      </c>
      <c r="G107" t="n">
        <v>419.8</v>
      </c>
      <c r="H107" t="n">
        <v>44.49</v>
      </c>
      <c r="I107" t="inlineStr">
        <is>
          <t>credit_card</t>
        </is>
      </c>
      <c r="J107" t="n">
        <v>12</v>
      </c>
      <c r="K107" t="inlineStr">
        <is>
          <t>On Time</t>
        </is>
      </c>
      <c r="L107" t="n">
        <v>4</v>
      </c>
      <c r="M107">
        <f>VLOOKUP(D107,State_Lookup!$A$2:$B$28,2,FALSE)</f>
        <v/>
      </c>
    </row>
    <row r="108">
      <c r="A108" t="inlineStr">
        <is>
          <t>27863884193fa88ed79c356f4f568fe7</t>
        </is>
      </c>
      <c r="B108" t="inlineStr">
        <is>
          <t>2017-02-10</t>
        </is>
      </c>
      <c r="C108" t="inlineStr">
        <is>
          <t>2017-02</t>
        </is>
      </c>
      <c r="D108" t="inlineStr">
        <is>
          <t>SP</t>
        </is>
      </c>
      <c r="E108" t="inlineStr">
        <is>
          <t>health_beauty</t>
        </is>
      </c>
      <c r="F108" t="n">
        <v>1</v>
      </c>
      <c r="G108" t="n">
        <v>67.90000000000001</v>
      </c>
      <c r="H108" t="n">
        <v>11.09</v>
      </c>
      <c r="I108" t="inlineStr">
        <is>
          <t>boleto</t>
        </is>
      </c>
      <c r="J108" t="n">
        <v>9</v>
      </c>
      <c r="K108" t="inlineStr">
        <is>
          <t>On Time</t>
        </is>
      </c>
      <c r="L108" t="n">
        <v>5</v>
      </c>
      <c r="M108">
        <f>VLOOKUP(D108,State_Lookup!$A$2:$B$28,2,FALSE)</f>
        <v/>
      </c>
    </row>
    <row r="109">
      <c r="A109" t="inlineStr">
        <is>
          <t>f5c948dcc066017d10fd2dd3d01cea6d</t>
        </is>
      </c>
      <c r="B109" t="inlineStr">
        <is>
          <t>2017-02-11</t>
        </is>
      </c>
      <c r="C109" t="inlineStr">
        <is>
          <t>2017-02</t>
        </is>
      </c>
      <c r="D109" t="inlineStr">
        <is>
          <t>SP</t>
        </is>
      </c>
      <c r="E109" t="inlineStr">
        <is>
          <t>computers_accessories</t>
        </is>
      </c>
      <c r="F109" t="n">
        <v>1</v>
      </c>
      <c r="G109" t="n">
        <v>51.9</v>
      </c>
      <c r="H109" t="n">
        <v>11.75</v>
      </c>
      <c r="I109" t="inlineStr">
        <is>
          <t>credit_card</t>
        </is>
      </c>
      <c r="J109" t="n">
        <v>8</v>
      </c>
      <c r="K109" t="inlineStr">
        <is>
          <t>On Time</t>
        </is>
      </c>
      <c r="L109" t="n">
        <v>5</v>
      </c>
      <c r="M109">
        <f>VLOOKUP(D109,State_Lookup!$A$2:$B$28,2,FALSE)</f>
        <v/>
      </c>
    </row>
    <row r="110">
      <c r="A110" t="inlineStr">
        <is>
          <t>48275cf565f4ea4f291da07bbbc7d330</t>
        </is>
      </c>
      <c r="B110" t="inlineStr">
        <is>
          <t>2017-02-12</t>
        </is>
      </c>
      <c r="C110" t="inlineStr">
        <is>
          <t>2017-02</t>
        </is>
      </c>
      <c r="D110" t="inlineStr">
        <is>
          <t>RJ</t>
        </is>
      </c>
      <c r="E110" t="inlineStr">
        <is>
          <t>toys</t>
        </is>
      </c>
      <c r="F110" t="n">
        <v>1</v>
      </c>
      <c r="G110" t="n">
        <v>84.98999999999999</v>
      </c>
      <c r="H110" t="n">
        <v>16.29</v>
      </c>
      <c r="I110" t="inlineStr">
        <is>
          <t>boleto</t>
        </is>
      </c>
      <c r="J110" t="n">
        <v>8</v>
      </c>
      <c r="K110" t="inlineStr">
        <is>
          <t>On Time</t>
        </is>
      </c>
      <c r="L110" t="n">
        <v>4</v>
      </c>
      <c r="M110">
        <f>VLOOKUP(D110,State_Lookup!$A$2:$B$28,2,FALSE)</f>
        <v/>
      </c>
    </row>
    <row r="111">
      <c r="A111" t="inlineStr">
        <is>
          <t>b58c726e8f5ba3196c593b1837d25744</t>
        </is>
      </c>
      <c r="B111" t="inlineStr">
        <is>
          <t>2017-02-13</t>
        </is>
      </c>
      <c r="C111" t="inlineStr">
        <is>
          <t>2017-02</t>
        </is>
      </c>
      <c r="D111" t="inlineStr">
        <is>
          <t>MG</t>
        </is>
      </c>
      <c r="E111" t="inlineStr">
        <is>
          <t>stationery</t>
        </is>
      </c>
      <c r="F111" t="n">
        <v>1</v>
      </c>
      <c r="G111" t="n">
        <v>35</v>
      </c>
      <c r="H111" t="n">
        <v>14.52</v>
      </c>
      <c r="I111" t="inlineStr">
        <is>
          <t>credit_card</t>
        </is>
      </c>
      <c r="J111" t="n">
        <v>7</v>
      </c>
      <c r="K111" t="inlineStr">
        <is>
          <t>On Time</t>
        </is>
      </c>
      <c r="L111" t="n">
        <v>1</v>
      </c>
      <c r="M111">
        <f>VLOOKUP(D111,State_Lookup!$A$2:$B$28,2,FALSE)</f>
        <v/>
      </c>
    </row>
    <row r="112">
      <c r="A112" t="inlineStr">
        <is>
          <t>edcae211fcaaccf2cfd426f297ebd700</t>
        </is>
      </c>
      <c r="B112" t="inlineStr">
        <is>
          <t>2017-02-13</t>
        </is>
      </c>
      <c r="C112" t="inlineStr">
        <is>
          <t>2017-02</t>
        </is>
      </c>
      <c r="D112" t="inlineStr">
        <is>
          <t>SP</t>
        </is>
      </c>
      <c r="E112" t="inlineStr">
        <is>
          <t>sports_leisure</t>
        </is>
      </c>
      <c r="F112" t="n">
        <v>1</v>
      </c>
      <c r="G112" t="n">
        <v>1299.99</v>
      </c>
      <c r="H112" t="n">
        <v>67.51000000000001</v>
      </c>
      <c r="I112" t="inlineStr">
        <is>
          <t>credit_card</t>
        </is>
      </c>
      <c r="J112" t="n">
        <v>8</v>
      </c>
      <c r="K112" t="inlineStr">
        <is>
          <t>On Time</t>
        </is>
      </c>
      <c r="L112" t="n">
        <v>5</v>
      </c>
      <c r="M112">
        <f>VLOOKUP(D112,State_Lookup!$A$2:$B$28,2,FALSE)</f>
        <v/>
      </c>
    </row>
    <row r="113">
      <c r="A113" t="inlineStr">
        <is>
          <t>dc81a7a14a9502b15d6e1791eaa4ade6</t>
        </is>
      </c>
      <c r="B113" t="inlineStr">
        <is>
          <t>2017-02-13</t>
        </is>
      </c>
      <c r="C113" t="inlineStr">
        <is>
          <t>2017-02</t>
        </is>
      </c>
      <c r="D113" t="inlineStr">
        <is>
          <t>SP</t>
        </is>
      </c>
      <c r="E113" t="inlineStr">
        <is>
          <t>computers_accessories</t>
        </is>
      </c>
      <c r="F113" t="n">
        <v>1</v>
      </c>
      <c r="G113" t="n">
        <v>22</v>
      </c>
      <c r="H113" t="n">
        <v>10.96</v>
      </c>
      <c r="I113" t="inlineStr">
        <is>
          <t>boleto</t>
        </is>
      </c>
      <c r="J113" t="n">
        <v>8</v>
      </c>
      <c r="K113" t="inlineStr">
        <is>
          <t>On Time</t>
        </is>
      </c>
      <c r="L113" t="n">
        <v>1</v>
      </c>
      <c r="M113">
        <f>VLOOKUP(D113,State_Lookup!$A$2:$B$28,2,FALSE)</f>
        <v/>
      </c>
    </row>
    <row r="114">
      <c r="A114" t="inlineStr">
        <is>
          <t>46d2062e8a19cb5473491cf07b5d4629</t>
        </is>
      </c>
      <c r="B114" t="inlineStr">
        <is>
          <t>2017-02-13</t>
        </is>
      </c>
      <c r="C114" t="inlineStr">
        <is>
          <t>2017-02</t>
        </is>
      </c>
      <c r="D114" t="inlineStr">
        <is>
          <t>RJ</t>
        </is>
      </c>
      <c r="E114" t="inlineStr">
        <is>
          <t>unknown</t>
        </is>
      </c>
      <c r="F114" t="n">
        <v>1</v>
      </c>
      <c r="G114" t="n">
        <v>89.90000000000001</v>
      </c>
      <c r="H114" t="n">
        <v>37.03</v>
      </c>
      <c r="I114" t="inlineStr">
        <is>
          <t>credit_card</t>
        </is>
      </c>
      <c r="J114" t="n">
        <v>8</v>
      </c>
      <c r="K114" t="inlineStr">
        <is>
          <t>On Time</t>
        </is>
      </c>
      <c r="L114" t="n">
        <v>5</v>
      </c>
      <c r="M114">
        <f>VLOOKUP(D114,State_Lookup!$A$2:$B$28,2,FALSE)</f>
        <v/>
      </c>
    </row>
    <row r="115">
      <c r="A115" t="inlineStr">
        <is>
          <t>170f94ae030b06759974c36f29faf658</t>
        </is>
      </c>
      <c r="B115" t="inlineStr">
        <is>
          <t>2017-02-13</t>
        </is>
      </c>
      <c r="C115" t="inlineStr">
        <is>
          <t>2017-02</t>
        </is>
      </c>
      <c r="D115" t="inlineStr">
        <is>
          <t>TO</t>
        </is>
      </c>
      <c r="E115" t="inlineStr">
        <is>
          <t>office_furniture</t>
        </is>
      </c>
      <c r="F115" t="n">
        <v>1</v>
      </c>
      <c r="G115" t="n">
        <v>176.96</v>
      </c>
      <c r="H115" t="n">
        <v>42.83</v>
      </c>
      <c r="I115" t="inlineStr">
        <is>
          <t>credit_card</t>
        </is>
      </c>
      <c r="J115" t="n">
        <v>23</v>
      </c>
      <c r="K115" t="inlineStr">
        <is>
          <t>On Time</t>
        </is>
      </c>
      <c r="L115" t="n">
        <v>5</v>
      </c>
      <c r="M115">
        <f>VLOOKUP(D115,State_Lookup!$A$2:$B$28,2,FALSE)</f>
        <v/>
      </c>
    </row>
    <row r="116">
      <c r="A116" t="inlineStr">
        <is>
          <t>9574b288490bcda13e1fd8f75a319bc3</t>
        </is>
      </c>
      <c r="B116" t="inlineStr">
        <is>
          <t>2017-02-13</t>
        </is>
      </c>
      <c r="C116" t="inlineStr">
        <is>
          <t>2017-02</t>
        </is>
      </c>
      <c r="D116" t="inlineStr">
        <is>
          <t>MG</t>
        </is>
      </c>
      <c r="E116" t="inlineStr">
        <is>
          <t>furniture_decor</t>
        </is>
      </c>
      <c r="F116" t="n">
        <v>1</v>
      </c>
      <c r="G116" t="n">
        <v>109.99</v>
      </c>
      <c r="H116" t="n">
        <v>17.51</v>
      </c>
      <c r="I116" t="inlineStr">
        <is>
          <t>credit_card</t>
        </is>
      </c>
      <c r="J116" t="n">
        <v>10</v>
      </c>
      <c r="K116" t="inlineStr">
        <is>
          <t>On Time</t>
        </is>
      </c>
      <c r="L116" t="n">
        <v>1</v>
      </c>
      <c r="M116">
        <f>VLOOKUP(D116,State_Lookup!$A$2:$B$28,2,FALSE)</f>
        <v/>
      </c>
    </row>
    <row r="117">
      <c r="A117" t="inlineStr">
        <is>
          <t>bbca89624572b1532cc19840d3ad81c8</t>
        </is>
      </c>
      <c r="B117" t="inlineStr">
        <is>
          <t>2017-02-14</t>
        </is>
      </c>
      <c r="C117" t="inlineStr">
        <is>
          <t>2017-02</t>
        </is>
      </c>
      <c r="D117" t="inlineStr">
        <is>
          <t>RJ</t>
        </is>
      </c>
      <c r="E117" t="inlineStr">
        <is>
          <t>unknown</t>
        </is>
      </c>
      <c r="F117" t="n">
        <v>1</v>
      </c>
      <c r="G117" t="n">
        <v>25</v>
      </c>
      <c r="H117" t="n">
        <v>12.93</v>
      </c>
      <c r="I117" t="inlineStr">
        <is>
          <t>credit_card</t>
        </is>
      </c>
      <c r="J117" t="n">
        <v>3</v>
      </c>
      <c r="K117" t="inlineStr">
        <is>
          <t>On Time</t>
        </is>
      </c>
      <c r="L117" t="n">
        <v>1</v>
      </c>
      <c r="M117">
        <f>VLOOKUP(D117,State_Lookup!$A$2:$B$28,2,FALSE)</f>
        <v/>
      </c>
    </row>
    <row r="118">
      <c r="A118" t="inlineStr">
        <is>
          <t>88a385737ede49900eeccbcd1d16fa00</t>
        </is>
      </c>
      <c r="B118" t="inlineStr">
        <is>
          <t>2017-02-15</t>
        </is>
      </c>
      <c r="C118" t="inlineStr">
        <is>
          <t>2017-02</t>
        </is>
      </c>
      <c r="D118" t="inlineStr">
        <is>
          <t>RJ</t>
        </is>
      </c>
      <c r="E118" t="inlineStr">
        <is>
          <t>furniture_decor</t>
        </is>
      </c>
      <c r="F118" t="n">
        <v>1</v>
      </c>
      <c r="G118" t="n">
        <v>99.90000000000001</v>
      </c>
      <c r="H118" t="n">
        <v>17.54</v>
      </c>
      <c r="I118" t="inlineStr">
        <is>
          <t>credit_card</t>
        </is>
      </c>
      <c r="J118" t="n">
        <v>15</v>
      </c>
      <c r="K118" t="inlineStr">
        <is>
          <t>On Time</t>
        </is>
      </c>
      <c r="L118" t="n">
        <v>5</v>
      </c>
      <c r="M118">
        <f>VLOOKUP(D118,State_Lookup!$A$2:$B$28,2,FALSE)</f>
        <v/>
      </c>
    </row>
    <row r="119">
      <c r="A119" t="inlineStr">
        <is>
          <t>c475a9d8286befc2ceecf1bd07f03a25</t>
        </is>
      </c>
      <c r="B119" t="inlineStr">
        <is>
          <t>2017-02-16</t>
        </is>
      </c>
      <c r="C119" t="inlineStr">
        <is>
          <t>2017-02</t>
        </is>
      </c>
      <c r="D119" t="inlineStr">
        <is>
          <t>RJ</t>
        </is>
      </c>
      <c r="E119" t="inlineStr">
        <is>
          <t>health_beauty</t>
        </is>
      </c>
      <c r="F119" t="n">
        <v>1</v>
      </c>
      <c r="G119" t="n">
        <v>97.06999999999999</v>
      </c>
      <c r="H119" t="n">
        <v>14.85</v>
      </c>
      <c r="I119" t="inlineStr">
        <is>
          <t>credit_card</t>
        </is>
      </c>
      <c r="J119" t="n">
        <v>21</v>
      </c>
      <c r="K119" t="inlineStr">
        <is>
          <t>On Time</t>
        </is>
      </c>
      <c r="L119" t="n">
        <v>5</v>
      </c>
      <c r="M119">
        <f>VLOOKUP(D119,State_Lookup!$A$2:$B$28,2,FALSE)</f>
        <v/>
      </c>
    </row>
    <row r="120">
      <c r="A120" t="inlineStr">
        <is>
          <t>80341e701b91f4e9f068a3ec40fb0440</t>
        </is>
      </c>
      <c r="B120" t="inlineStr">
        <is>
          <t>2017-02-16</t>
        </is>
      </c>
      <c r="C120" t="inlineStr">
        <is>
          <t>2017-02</t>
        </is>
      </c>
      <c r="D120" t="inlineStr">
        <is>
          <t>SP</t>
        </is>
      </c>
      <c r="E120" t="inlineStr">
        <is>
          <t>housewares</t>
        </is>
      </c>
      <c r="F120" t="n">
        <v>1</v>
      </c>
      <c r="G120" t="n">
        <v>453.7</v>
      </c>
      <c r="H120" t="n">
        <v>17.35</v>
      </c>
      <c r="I120" t="inlineStr">
        <is>
          <t>boleto</t>
        </is>
      </c>
      <c r="J120" t="n">
        <v>8</v>
      </c>
      <c r="K120" t="inlineStr">
        <is>
          <t>On Time</t>
        </is>
      </c>
      <c r="L120" t="n">
        <v>5</v>
      </c>
      <c r="M120">
        <f>VLOOKUP(D120,State_Lookup!$A$2:$B$28,2,FALSE)</f>
        <v/>
      </c>
    </row>
    <row r="121">
      <c r="A121" t="inlineStr">
        <is>
          <t>efd2c0c31366671a99bb3eba61b5459a</t>
        </is>
      </c>
      <c r="B121" t="inlineStr">
        <is>
          <t>2017-02-16</t>
        </is>
      </c>
      <c r="C121" t="inlineStr">
        <is>
          <t>2017-02</t>
        </is>
      </c>
      <c r="D121" t="inlineStr">
        <is>
          <t>SP</t>
        </is>
      </c>
      <c r="E121" t="inlineStr">
        <is>
          <t>sports_leisure</t>
        </is>
      </c>
      <c r="F121" t="n">
        <v>1</v>
      </c>
      <c r="G121" t="n">
        <v>340</v>
      </c>
      <c r="H121" t="n">
        <v>18.53</v>
      </c>
      <c r="I121" t="inlineStr">
        <is>
          <t>credit_card</t>
        </is>
      </c>
      <c r="J121" t="n">
        <v>40</v>
      </c>
      <c r="K121" t="inlineStr">
        <is>
          <t>Late</t>
        </is>
      </c>
      <c r="L121" t="n">
        <v>1</v>
      </c>
      <c r="M121">
        <f>VLOOKUP(D121,State_Lookup!$A$2:$B$28,2,FALSE)</f>
        <v/>
      </c>
    </row>
    <row r="122">
      <c r="A122" t="inlineStr">
        <is>
          <t>e57564c2c135df8c91da6037bd79e137</t>
        </is>
      </c>
      <c r="B122" t="inlineStr">
        <is>
          <t>2017-02-16</t>
        </is>
      </c>
      <c r="C122" t="inlineStr">
        <is>
          <t>2017-02</t>
        </is>
      </c>
      <c r="D122" t="inlineStr">
        <is>
          <t>BA</t>
        </is>
      </c>
      <c r="E122" t="inlineStr">
        <is>
          <t>food</t>
        </is>
      </c>
      <c r="F122" t="n">
        <v>1</v>
      </c>
      <c r="G122" t="n">
        <v>149.9</v>
      </c>
      <c r="H122" t="n">
        <v>27.48</v>
      </c>
      <c r="I122" t="inlineStr">
        <is>
          <t>credit_card</t>
        </is>
      </c>
      <c r="J122" t="n">
        <v>19</v>
      </c>
      <c r="K122" t="inlineStr">
        <is>
          <t>On Time</t>
        </is>
      </c>
      <c r="L122" t="n">
        <v>5</v>
      </c>
      <c r="M122">
        <f>VLOOKUP(D122,State_Lookup!$A$2:$B$28,2,FALSE)</f>
        <v/>
      </c>
    </row>
    <row r="123">
      <c r="A123" t="inlineStr">
        <is>
          <t>c8d355d9b0027d16b4f22804df2bbc2d</t>
        </is>
      </c>
      <c r="B123" t="inlineStr">
        <is>
          <t>2017-02-17</t>
        </is>
      </c>
      <c r="C123" t="inlineStr">
        <is>
          <t>2017-02</t>
        </is>
      </c>
      <c r="D123" t="inlineStr">
        <is>
          <t>BA</t>
        </is>
      </c>
      <c r="E123" t="inlineStr">
        <is>
          <t>garden_tools</t>
        </is>
      </c>
      <c r="F123" t="n">
        <v>1</v>
      </c>
      <c r="G123" t="n">
        <v>96.98999999999999</v>
      </c>
      <c r="H123" t="n">
        <v>22.18</v>
      </c>
      <c r="I123" t="inlineStr">
        <is>
          <t>voucher</t>
        </is>
      </c>
      <c r="J123" t="n">
        <v>68</v>
      </c>
      <c r="K123" t="inlineStr">
        <is>
          <t>Late</t>
        </is>
      </c>
      <c r="L123" t="n">
        <v>1</v>
      </c>
      <c r="M123">
        <f>VLOOKUP(D123,State_Lookup!$A$2:$B$28,2,FALSE)</f>
        <v/>
      </c>
    </row>
    <row r="124">
      <c r="A124" t="inlineStr">
        <is>
          <t>32b808465502f4cc7e17777151e294ce</t>
        </is>
      </c>
      <c r="B124" t="inlineStr">
        <is>
          <t>2017-02-17</t>
        </is>
      </c>
      <c r="C124" t="inlineStr">
        <is>
          <t>2017-02</t>
        </is>
      </c>
      <c r="D124" t="inlineStr">
        <is>
          <t>DF</t>
        </is>
      </c>
      <c r="E124" t="inlineStr">
        <is>
          <t>luggage_accessories</t>
        </is>
      </c>
      <c r="F124" t="n">
        <v>1</v>
      </c>
      <c r="G124" t="n">
        <v>109.9</v>
      </c>
      <c r="H124" t="n">
        <v>14.53</v>
      </c>
      <c r="I124" t="inlineStr">
        <is>
          <t>credit_card</t>
        </is>
      </c>
      <c r="J124" t="n">
        <v>18</v>
      </c>
      <c r="K124" t="inlineStr">
        <is>
          <t>On Time</t>
        </is>
      </c>
      <c r="L124" t="n">
        <v>4</v>
      </c>
      <c r="M124">
        <f>VLOOKUP(D124,State_Lookup!$A$2:$B$28,2,FALSE)</f>
        <v/>
      </c>
    </row>
    <row r="125">
      <c r="A125" t="inlineStr">
        <is>
          <t>5dc4353ecb73877d7222007f37958d82</t>
        </is>
      </c>
      <c r="B125" t="inlineStr">
        <is>
          <t>2017-02-17</t>
        </is>
      </c>
      <c r="C125" t="inlineStr">
        <is>
          <t>2017-02</t>
        </is>
      </c>
      <c r="D125" t="inlineStr">
        <is>
          <t>MG</t>
        </is>
      </c>
      <c r="E125" t="inlineStr">
        <is>
          <t>bed_bath_table</t>
        </is>
      </c>
      <c r="F125" t="n">
        <v>1</v>
      </c>
      <c r="G125" t="n">
        <v>154.9</v>
      </c>
      <c r="H125" t="n">
        <v>22.69</v>
      </c>
      <c r="I125" t="inlineStr">
        <is>
          <t>credit_card</t>
        </is>
      </c>
      <c r="J125" t="n">
        <v>11</v>
      </c>
      <c r="K125" t="inlineStr">
        <is>
          <t>On Time</t>
        </is>
      </c>
      <c r="L125" t="n">
        <v>5</v>
      </c>
      <c r="M125">
        <f>VLOOKUP(D125,State_Lookup!$A$2:$B$28,2,FALSE)</f>
        <v/>
      </c>
    </row>
    <row r="126">
      <c r="A126" t="inlineStr">
        <is>
          <t>e2e85885a15f712ba00eb35cf5be7cfd</t>
        </is>
      </c>
      <c r="B126" t="inlineStr">
        <is>
          <t>2017-02-18</t>
        </is>
      </c>
      <c r="C126" t="inlineStr">
        <is>
          <t>2017-02</t>
        </is>
      </c>
      <c r="D126" t="inlineStr">
        <is>
          <t>ES</t>
        </is>
      </c>
      <c r="E126" t="inlineStr">
        <is>
          <t>air_conditioning</t>
        </is>
      </c>
      <c r="F126" t="n">
        <v>1</v>
      </c>
      <c r="G126" t="n">
        <v>187.9</v>
      </c>
      <c r="H126" t="n">
        <v>23.61</v>
      </c>
      <c r="I126" t="inlineStr">
        <is>
          <t>credit_card</t>
        </is>
      </c>
      <c r="J126" t="n">
        <v>6</v>
      </c>
      <c r="K126" t="inlineStr">
        <is>
          <t>On Time</t>
        </is>
      </c>
      <c r="L126" t="n">
        <v>1</v>
      </c>
      <c r="M126">
        <f>VLOOKUP(D126,State_Lookup!$A$2:$B$28,2,FALSE)</f>
        <v/>
      </c>
    </row>
    <row r="127">
      <c r="A127" t="inlineStr">
        <is>
          <t>74016effecaa79d592487f6a4ee47d4b</t>
        </is>
      </c>
      <c r="B127" t="inlineStr">
        <is>
          <t>2017-02-18</t>
        </is>
      </c>
      <c r="C127" t="inlineStr">
        <is>
          <t>2017-02</t>
        </is>
      </c>
      <c r="D127" t="inlineStr">
        <is>
          <t>RJ</t>
        </is>
      </c>
      <c r="E127" t="inlineStr">
        <is>
          <t>construction_tools_construction</t>
        </is>
      </c>
      <c r="F127" t="n">
        <v>1</v>
      </c>
      <c r="G127" t="n">
        <v>36.99</v>
      </c>
      <c r="H127" t="n">
        <v>14.52</v>
      </c>
      <c r="I127" t="inlineStr">
        <is>
          <t>credit_card</t>
        </is>
      </c>
      <c r="J127" t="n">
        <v>30</v>
      </c>
      <c r="K127" t="inlineStr">
        <is>
          <t>Late</t>
        </is>
      </c>
      <c r="L127" t="n">
        <v>5</v>
      </c>
      <c r="M127">
        <f>VLOOKUP(D127,State_Lookup!$A$2:$B$28,2,FALSE)</f>
        <v/>
      </c>
    </row>
    <row r="128">
      <c r="A128" t="inlineStr">
        <is>
          <t>8c53283eca3bc0e603a48f2b8725e96f</t>
        </is>
      </c>
      <c r="B128" t="inlineStr">
        <is>
          <t>2017-02-18</t>
        </is>
      </c>
      <c r="C128" t="inlineStr">
        <is>
          <t>2017-02</t>
        </is>
      </c>
      <c r="D128" t="inlineStr">
        <is>
          <t>SP</t>
        </is>
      </c>
      <c r="E128" t="inlineStr">
        <is>
          <t>telephony</t>
        </is>
      </c>
      <c r="F128" t="n">
        <v>1</v>
      </c>
      <c r="G128" t="n">
        <v>6.9</v>
      </c>
      <c r="H128" t="n">
        <v>10.96</v>
      </c>
      <c r="I128" t="inlineStr">
        <is>
          <t>credit_card</t>
        </is>
      </c>
      <c r="J128" t="n">
        <v>10</v>
      </c>
      <c r="K128" t="inlineStr">
        <is>
          <t>On Time</t>
        </is>
      </c>
      <c r="L128" t="n">
        <v>3</v>
      </c>
      <c r="M128">
        <f>VLOOKUP(D128,State_Lookup!$A$2:$B$28,2,FALSE)</f>
        <v/>
      </c>
    </row>
    <row r="129">
      <c r="A129" t="inlineStr">
        <is>
          <t>bb5f5dd023eabf15e5d178f887f37cb5</t>
        </is>
      </c>
      <c r="B129" t="inlineStr">
        <is>
          <t>2017-02-18</t>
        </is>
      </c>
      <c r="C129" t="inlineStr">
        <is>
          <t>2017-02</t>
        </is>
      </c>
      <c r="D129" t="inlineStr">
        <is>
          <t>SP</t>
        </is>
      </c>
      <c r="E129" t="inlineStr">
        <is>
          <t>telephony</t>
        </is>
      </c>
      <c r="F129" t="n">
        <v>2</v>
      </c>
      <c r="G129" t="n">
        <v>37.98</v>
      </c>
      <c r="H129" t="n">
        <v>21.92</v>
      </c>
      <c r="I129" t="inlineStr">
        <is>
          <t>credit_card</t>
        </is>
      </c>
      <c r="J129" t="n">
        <v>10</v>
      </c>
      <c r="K129" t="inlineStr">
        <is>
          <t>On Time</t>
        </is>
      </c>
      <c r="L129" t="n">
        <v>5</v>
      </c>
      <c r="M129">
        <f>VLOOKUP(D129,State_Lookup!$A$2:$B$28,2,FALSE)</f>
        <v/>
      </c>
    </row>
    <row r="130">
      <c r="A130" t="inlineStr">
        <is>
          <t>d788d36048b59fbe35707de56c2fe939</t>
        </is>
      </c>
      <c r="B130" t="inlineStr">
        <is>
          <t>2017-02-19</t>
        </is>
      </c>
      <c r="C130" t="inlineStr">
        <is>
          <t>2017-02</t>
        </is>
      </c>
      <c r="D130" t="inlineStr">
        <is>
          <t>RS</t>
        </is>
      </c>
      <c r="E130" t="inlineStr">
        <is>
          <t>telephony</t>
        </is>
      </c>
      <c r="F130" t="n">
        <v>1</v>
      </c>
      <c r="G130" t="n">
        <v>69</v>
      </c>
      <c r="H130" t="n">
        <v>16.42</v>
      </c>
      <c r="I130" t="inlineStr">
        <is>
          <t>credit_card</t>
        </is>
      </c>
      <c r="J130" t="n">
        <v>23</v>
      </c>
      <c r="K130" t="inlineStr">
        <is>
          <t>On Time</t>
        </is>
      </c>
      <c r="L130" t="n">
        <v>5</v>
      </c>
      <c r="M130">
        <f>VLOOKUP(D130,State_Lookup!$A$2:$B$28,2,FALSE)</f>
        <v/>
      </c>
    </row>
    <row r="131">
      <c r="A131" t="inlineStr">
        <is>
          <t>3f35b92ed8249125038852a2742bd514</t>
        </is>
      </c>
      <c r="B131" t="inlineStr">
        <is>
          <t>2017-02-19</t>
        </is>
      </c>
      <c r="C131" t="inlineStr">
        <is>
          <t>2017-02</t>
        </is>
      </c>
      <c r="D131" t="inlineStr">
        <is>
          <t>MG</t>
        </is>
      </c>
      <c r="E131" t="inlineStr">
        <is>
          <t>housewares</t>
        </is>
      </c>
      <c r="F131" t="n">
        <v>1</v>
      </c>
      <c r="G131" t="n">
        <v>95.17</v>
      </c>
      <c r="H131" t="n">
        <v>16.82</v>
      </c>
      <c r="I131" t="inlineStr">
        <is>
          <t>credit_card</t>
        </is>
      </c>
      <c r="J131" t="inlineStr"/>
      <c r="K131" t="inlineStr">
        <is>
          <t>Not Delivered</t>
        </is>
      </c>
      <c r="L131" t="n">
        <v>1</v>
      </c>
      <c r="M131">
        <f>VLOOKUP(D131,State_Lookup!$A$2:$B$28,2,FALSE)</f>
        <v/>
      </c>
    </row>
    <row r="132">
      <c r="A132" t="inlineStr">
        <is>
          <t>98c927d938727c3ea7afd9a8f96c14bc</t>
        </is>
      </c>
      <c r="B132" t="inlineStr">
        <is>
          <t>2017-02-20</t>
        </is>
      </c>
      <c r="C132" t="inlineStr">
        <is>
          <t>2017-02</t>
        </is>
      </c>
      <c r="D132" t="inlineStr">
        <is>
          <t>MG</t>
        </is>
      </c>
      <c r="E132" t="inlineStr">
        <is>
          <t>telephony</t>
        </is>
      </c>
      <c r="F132" t="n">
        <v>1</v>
      </c>
      <c r="G132" t="n">
        <v>119.99</v>
      </c>
      <c r="H132" t="n">
        <v>18.27</v>
      </c>
      <c r="I132" t="inlineStr">
        <is>
          <t>credit_card</t>
        </is>
      </c>
      <c r="J132" t="n">
        <v>9</v>
      </c>
      <c r="K132" t="inlineStr">
        <is>
          <t>On Time</t>
        </is>
      </c>
      <c r="L132" t="n">
        <v>3</v>
      </c>
      <c r="M132">
        <f>VLOOKUP(D132,State_Lookup!$A$2:$B$28,2,FALSE)</f>
        <v/>
      </c>
    </row>
    <row r="133">
      <c r="A133" t="inlineStr">
        <is>
          <t>aceb6154fb83d13825344189f5682606</t>
        </is>
      </c>
      <c r="B133" t="inlineStr">
        <is>
          <t>2017-02-20</t>
        </is>
      </c>
      <c r="C133" t="inlineStr">
        <is>
          <t>2017-02</t>
        </is>
      </c>
      <c r="D133" t="inlineStr">
        <is>
          <t>BA</t>
        </is>
      </c>
      <c r="E133" t="inlineStr">
        <is>
          <t>bed_bath_table</t>
        </is>
      </c>
      <c r="F133" t="n">
        <v>1</v>
      </c>
      <c r="G133" t="n">
        <v>69.90000000000001</v>
      </c>
      <c r="H133" t="n">
        <v>18.73</v>
      </c>
      <c r="I133" t="inlineStr">
        <is>
          <t>voucher</t>
        </is>
      </c>
      <c r="J133" t="n">
        <v>15</v>
      </c>
      <c r="K133" t="inlineStr">
        <is>
          <t>On Time</t>
        </is>
      </c>
      <c r="L133" t="n">
        <v>5</v>
      </c>
      <c r="M133">
        <f>VLOOKUP(D133,State_Lookup!$A$2:$B$28,2,FALSE)</f>
        <v/>
      </c>
    </row>
    <row r="134">
      <c r="A134" t="inlineStr">
        <is>
          <t>7122fa45d10437278bab815f67002798</t>
        </is>
      </c>
      <c r="B134" t="inlineStr">
        <is>
          <t>2017-02-20</t>
        </is>
      </c>
      <c r="C134" t="inlineStr">
        <is>
          <t>2017-02</t>
        </is>
      </c>
      <c r="D134" t="inlineStr">
        <is>
          <t>SP</t>
        </is>
      </c>
      <c r="E134" t="inlineStr">
        <is>
          <t>computers_accessories</t>
        </is>
      </c>
      <c r="F134" t="n">
        <v>1</v>
      </c>
      <c r="G134" t="n">
        <v>29.9</v>
      </c>
      <c r="H134" t="n">
        <v>10.96</v>
      </c>
      <c r="I134" t="inlineStr">
        <is>
          <t>credit_card</t>
        </is>
      </c>
      <c r="J134" t="n">
        <v>2</v>
      </c>
      <c r="K134" t="inlineStr">
        <is>
          <t>On Time</t>
        </is>
      </c>
      <c r="L134" t="n">
        <v>3</v>
      </c>
      <c r="M134">
        <f>VLOOKUP(D134,State_Lookup!$A$2:$B$28,2,FALSE)</f>
        <v/>
      </c>
    </row>
    <row r="135">
      <c r="A135" t="inlineStr">
        <is>
          <t>523d7597c0c82db94fd16b4213e2f0ab</t>
        </is>
      </c>
      <c r="B135" t="inlineStr">
        <is>
          <t>2017-02-20</t>
        </is>
      </c>
      <c r="C135" t="inlineStr">
        <is>
          <t>2017-02</t>
        </is>
      </c>
      <c r="D135" t="inlineStr">
        <is>
          <t>MG</t>
        </is>
      </c>
      <c r="E135" t="inlineStr">
        <is>
          <t>telephony</t>
        </is>
      </c>
      <c r="F135" t="n">
        <v>1</v>
      </c>
      <c r="G135" t="n">
        <v>15.9</v>
      </c>
      <c r="H135" t="n">
        <v>14.52</v>
      </c>
      <c r="I135" t="inlineStr">
        <is>
          <t>boleto</t>
        </is>
      </c>
      <c r="J135" t="n">
        <v>45</v>
      </c>
      <c r="K135" t="inlineStr">
        <is>
          <t>Late</t>
        </is>
      </c>
      <c r="L135" t="n">
        <v>1</v>
      </c>
      <c r="M135">
        <f>VLOOKUP(D135,State_Lookup!$A$2:$B$28,2,FALSE)</f>
        <v/>
      </c>
    </row>
    <row r="136">
      <c r="A136" t="inlineStr">
        <is>
          <t>d19f9c665eb2f26335e4e69e5965a84f</t>
        </is>
      </c>
      <c r="B136" t="inlineStr">
        <is>
          <t>2017-02-20</t>
        </is>
      </c>
      <c r="C136" t="inlineStr">
        <is>
          <t>2017-02</t>
        </is>
      </c>
      <c r="D136" t="inlineStr">
        <is>
          <t>MG</t>
        </is>
      </c>
      <c r="E136" t="inlineStr">
        <is>
          <t>sports_leisure</t>
        </is>
      </c>
      <c r="F136" t="n">
        <v>1</v>
      </c>
      <c r="G136" t="n">
        <v>169.99</v>
      </c>
      <c r="H136" t="n">
        <v>21.51</v>
      </c>
      <c r="I136" t="inlineStr">
        <is>
          <t>credit_card</t>
        </is>
      </c>
      <c r="J136" t="n">
        <v>13</v>
      </c>
      <c r="K136" t="inlineStr">
        <is>
          <t>On Time</t>
        </is>
      </c>
      <c r="L136" t="n">
        <v>5</v>
      </c>
      <c r="M136">
        <f>VLOOKUP(D136,State_Lookup!$A$2:$B$28,2,FALSE)</f>
        <v/>
      </c>
    </row>
    <row r="137">
      <c r="A137" t="inlineStr">
        <is>
          <t>ed81c7d735a856f576d22a5b9717b5c2</t>
        </is>
      </c>
      <c r="B137" t="inlineStr">
        <is>
          <t>2017-02-21</t>
        </is>
      </c>
      <c r="C137" t="inlineStr">
        <is>
          <t>2017-02</t>
        </is>
      </c>
      <c r="D137" t="inlineStr">
        <is>
          <t>RJ</t>
        </is>
      </c>
      <c r="E137" t="inlineStr">
        <is>
          <t>furniture_decor</t>
        </is>
      </c>
      <c r="F137" t="n">
        <v>1</v>
      </c>
      <c r="G137" t="n">
        <v>73.34999999999999</v>
      </c>
      <c r="H137" t="n">
        <v>15.72</v>
      </c>
      <c r="I137" t="inlineStr">
        <is>
          <t>credit_card</t>
        </is>
      </c>
      <c r="J137" t="n">
        <v>9</v>
      </c>
      <c r="K137" t="inlineStr">
        <is>
          <t>On Time</t>
        </is>
      </c>
      <c r="L137" t="n">
        <v>5</v>
      </c>
      <c r="M137">
        <f>VLOOKUP(D137,State_Lookup!$A$2:$B$28,2,FALSE)</f>
        <v/>
      </c>
    </row>
    <row r="138">
      <c r="A138" t="inlineStr">
        <is>
          <t>bd3137fd711a2c0ff1765bafbae489a8</t>
        </is>
      </c>
      <c r="B138" t="inlineStr">
        <is>
          <t>2017-02-21</t>
        </is>
      </c>
      <c r="C138" t="inlineStr">
        <is>
          <t>2017-02</t>
        </is>
      </c>
      <c r="D138" t="inlineStr">
        <is>
          <t>MG</t>
        </is>
      </c>
      <c r="E138" t="inlineStr">
        <is>
          <t>health_beauty</t>
        </is>
      </c>
      <c r="F138" t="n">
        <v>1</v>
      </c>
      <c r="G138" t="n">
        <v>636</v>
      </c>
      <c r="H138" t="n">
        <v>50</v>
      </c>
      <c r="I138" t="inlineStr">
        <is>
          <t>credit_card</t>
        </is>
      </c>
      <c r="J138" t="n">
        <v>10</v>
      </c>
      <c r="K138" t="inlineStr">
        <is>
          <t>On Time</t>
        </is>
      </c>
      <c r="L138" t="n">
        <v>5</v>
      </c>
      <c r="M138">
        <f>VLOOKUP(D138,State_Lookup!$A$2:$B$28,2,FALSE)</f>
        <v/>
      </c>
    </row>
    <row r="139">
      <c r="A139" t="inlineStr">
        <is>
          <t>5ea599a9a67fae7fd7120b2b9add8a60</t>
        </is>
      </c>
      <c r="B139" t="inlineStr">
        <is>
          <t>2017-02-22</t>
        </is>
      </c>
      <c r="C139" t="inlineStr">
        <is>
          <t>2017-02</t>
        </is>
      </c>
      <c r="D139" t="inlineStr">
        <is>
          <t>RS</t>
        </is>
      </c>
      <c r="E139" t="inlineStr">
        <is>
          <t>furniture_decor</t>
        </is>
      </c>
      <c r="F139" t="n">
        <v>1</v>
      </c>
      <c r="G139" t="n">
        <v>7.8</v>
      </c>
      <c r="H139" t="n">
        <v>16.05</v>
      </c>
      <c r="I139" t="inlineStr">
        <is>
          <t>credit_card</t>
        </is>
      </c>
      <c r="J139" t="n">
        <v>9</v>
      </c>
      <c r="K139" t="inlineStr">
        <is>
          <t>On Time</t>
        </is>
      </c>
      <c r="L139" t="n">
        <v>5</v>
      </c>
      <c r="M139">
        <f>VLOOKUP(D139,State_Lookup!$A$2:$B$28,2,FALSE)</f>
        <v/>
      </c>
    </row>
    <row r="140">
      <c r="A140" t="inlineStr">
        <is>
          <t>78cd965d0bc0388d390404eee6490c5b</t>
        </is>
      </c>
      <c r="B140" t="inlineStr">
        <is>
          <t>2017-02-22</t>
        </is>
      </c>
      <c r="C140" t="inlineStr">
        <is>
          <t>2017-02</t>
        </is>
      </c>
      <c r="D140" t="inlineStr">
        <is>
          <t>MG</t>
        </is>
      </c>
      <c r="E140" t="inlineStr">
        <is>
          <t>bed_bath_table</t>
        </is>
      </c>
      <c r="F140" t="n">
        <v>1</v>
      </c>
      <c r="G140" t="n">
        <v>169.9</v>
      </c>
      <c r="H140" t="n">
        <v>19.47</v>
      </c>
      <c r="I140" t="inlineStr">
        <is>
          <t>credit_card</t>
        </is>
      </c>
      <c r="J140" t="n">
        <v>15</v>
      </c>
      <c r="K140" t="inlineStr">
        <is>
          <t>On Time</t>
        </is>
      </c>
      <c r="L140" t="n">
        <v>5</v>
      </c>
      <c r="M140">
        <f>VLOOKUP(D140,State_Lookup!$A$2:$B$28,2,FALSE)</f>
        <v/>
      </c>
    </row>
    <row r="141">
      <c r="A141" t="inlineStr">
        <is>
          <t>d4bf4c2cae2256d8e92b6ec8f1fd248b</t>
        </is>
      </c>
      <c r="B141" t="inlineStr">
        <is>
          <t>2017-02-22</t>
        </is>
      </c>
      <c r="C141" t="inlineStr">
        <is>
          <t>2017-02</t>
        </is>
      </c>
      <c r="D141" t="inlineStr">
        <is>
          <t>SP</t>
        </is>
      </c>
      <c r="E141" t="inlineStr">
        <is>
          <t>sports_leisure</t>
        </is>
      </c>
      <c r="F141" t="n">
        <v>2</v>
      </c>
      <c r="G141" t="n">
        <v>59.8</v>
      </c>
      <c r="H141" t="n">
        <v>21.92</v>
      </c>
      <c r="I141" t="inlineStr">
        <is>
          <t>credit_card</t>
        </is>
      </c>
      <c r="J141" t="inlineStr"/>
      <c r="K141" t="inlineStr">
        <is>
          <t>Not Delivered</t>
        </is>
      </c>
      <c r="L141" t="n">
        <v>1</v>
      </c>
      <c r="M141">
        <f>VLOOKUP(D141,State_Lookup!$A$2:$B$28,2,FALSE)</f>
        <v/>
      </c>
    </row>
    <row r="142">
      <c r="A142" t="inlineStr">
        <is>
          <t>d5499e385aef94ea76d2ea5e6a73e60a</t>
        </is>
      </c>
      <c r="B142" t="inlineStr">
        <is>
          <t>2017-02-22</t>
        </is>
      </c>
      <c r="C142" t="inlineStr">
        <is>
          <t>2017-02</t>
        </is>
      </c>
      <c r="D142" t="inlineStr">
        <is>
          <t>SP</t>
        </is>
      </c>
      <c r="E142" t="inlineStr">
        <is>
          <t>consoles_games</t>
        </is>
      </c>
      <c r="F142" t="n">
        <v>1</v>
      </c>
      <c r="G142" t="n">
        <v>55.9</v>
      </c>
      <c r="H142" t="n">
        <v>24.88</v>
      </c>
      <c r="I142" t="inlineStr">
        <is>
          <t>credit_card</t>
        </is>
      </c>
      <c r="J142" t="n">
        <v>8</v>
      </c>
      <c r="K142" t="inlineStr">
        <is>
          <t>On Time</t>
        </is>
      </c>
      <c r="L142" t="n">
        <v>5</v>
      </c>
      <c r="M142">
        <f>VLOOKUP(D142,State_Lookup!$A$2:$B$28,2,FALSE)</f>
        <v/>
      </c>
    </row>
    <row r="143">
      <c r="A143" t="inlineStr">
        <is>
          <t>44851597b52d19f80a0b05ff48be5530</t>
        </is>
      </c>
      <c r="B143" t="inlineStr">
        <is>
          <t>2017-02-23</t>
        </is>
      </c>
      <c r="C143" t="inlineStr">
        <is>
          <t>2017-02</t>
        </is>
      </c>
      <c r="D143" t="inlineStr">
        <is>
          <t>SP</t>
        </is>
      </c>
      <c r="E143" t="inlineStr">
        <is>
          <t>garden_tools</t>
        </is>
      </c>
      <c r="F143" t="n">
        <v>1</v>
      </c>
      <c r="G143" t="n">
        <v>99.98999999999999</v>
      </c>
      <c r="H143" t="n">
        <v>28.89</v>
      </c>
      <c r="I143" t="inlineStr">
        <is>
          <t>credit_card</t>
        </is>
      </c>
      <c r="J143" t="n">
        <v>11</v>
      </c>
      <c r="K143" t="inlineStr">
        <is>
          <t>On Time</t>
        </is>
      </c>
      <c r="L143" t="n">
        <v>5</v>
      </c>
      <c r="M143">
        <f>VLOOKUP(D143,State_Lookup!$A$2:$B$28,2,FALSE)</f>
        <v/>
      </c>
    </row>
    <row r="144">
      <c r="A144" t="inlineStr">
        <is>
          <t>fd85297a862adfe046d2d8793daa5647</t>
        </is>
      </c>
      <c r="B144" t="inlineStr">
        <is>
          <t>2017-02-23</t>
        </is>
      </c>
      <c r="C144" t="inlineStr">
        <is>
          <t>2017-02</t>
        </is>
      </c>
      <c r="D144" t="inlineStr">
        <is>
          <t>MG</t>
        </is>
      </c>
      <c r="E144" t="inlineStr">
        <is>
          <t>sports_leisure</t>
        </is>
      </c>
      <c r="F144" t="n">
        <v>1</v>
      </c>
      <c r="G144" t="n">
        <v>59.9</v>
      </c>
      <c r="H144" t="n">
        <v>17.85</v>
      </c>
      <c r="I144" t="inlineStr">
        <is>
          <t>credit_card</t>
        </is>
      </c>
      <c r="J144" t="n">
        <v>13</v>
      </c>
      <c r="K144" t="inlineStr">
        <is>
          <t>On Time</t>
        </is>
      </c>
      <c r="L144" t="n">
        <v>5</v>
      </c>
      <c r="M144">
        <f>VLOOKUP(D144,State_Lookup!$A$2:$B$28,2,FALSE)</f>
        <v/>
      </c>
    </row>
    <row r="145">
      <c r="A145" t="inlineStr">
        <is>
          <t>749b689efad761f8c94941fa3adfb702</t>
        </is>
      </c>
      <c r="B145" t="inlineStr">
        <is>
          <t>2017-02-24</t>
        </is>
      </c>
      <c r="C145" t="inlineStr">
        <is>
          <t>2017-02</t>
        </is>
      </c>
      <c r="D145" t="inlineStr">
        <is>
          <t>SP</t>
        </is>
      </c>
      <c r="E145" t="inlineStr">
        <is>
          <t>baby</t>
        </is>
      </c>
      <c r="F145" t="n">
        <v>1</v>
      </c>
      <c r="G145" t="n">
        <v>39.9</v>
      </c>
      <c r="H145" t="n">
        <v>10.96</v>
      </c>
      <c r="I145" t="inlineStr">
        <is>
          <t>credit_card</t>
        </is>
      </c>
      <c r="J145" t="n">
        <v>5</v>
      </c>
      <c r="K145" t="inlineStr">
        <is>
          <t>On Time</t>
        </is>
      </c>
      <c r="L145" t="n">
        <v>4</v>
      </c>
      <c r="M145">
        <f>VLOOKUP(D145,State_Lookup!$A$2:$B$28,2,FALSE)</f>
        <v/>
      </c>
    </row>
    <row r="146">
      <c r="A146" t="inlineStr">
        <is>
          <t>e26f52b2a37b0ce41ba38979221bf39d</t>
        </is>
      </c>
      <c r="B146" t="inlineStr">
        <is>
          <t>2017-02-24</t>
        </is>
      </c>
      <c r="C146" t="inlineStr">
        <is>
          <t>2017-02</t>
        </is>
      </c>
      <c r="D146" t="inlineStr">
        <is>
          <t>SP</t>
        </is>
      </c>
      <c r="E146" t="inlineStr">
        <is>
          <t>baby</t>
        </is>
      </c>
      <c r="F146" t="n">
        <v>1</v>
      </c>
      <c r="G146" t="n">
        <v>20</v>
      </c>
      <c r="H146" t="n">
        <v>16.05</v>
      </c>
      <c r="I146" t="inlineStr">
        <is>
          <t>credit_card</t>
        </is>
      </c>
      <c r="J146" t="n">
        <v>6</v>
      </c>
      <c r="K146" t="inlineStr">
        <is>
          <t>On Time</t>
        </is>
      </c>
      <c r="L146" t="n">
        <v>5</v>
      </c>
      <c r="M146">
        <f>VLOOKUP(D146,State_Lookup!$A$2:$B$28,2,FALSE)</f>
        <v/>
      </c>
    </row>
    <row r="147">
      <c r="A147" t="inlineStr">
        <is>
          <t>8f4b23c6040b8a6b6e1621f378e220ee</t>
        </is>
      </c>
      <c r="B147" t="inlineStr">
        <is>
          <t>2017-02-25</t>
        </is>
      </c>
      <c r="C147" t="inlineStr">
        <is>
          <t>2017-02</t>
        </is>
      </c>
      <c r="D147" t="inlineStr">
        <is>
          <t>SP</t>
        </is>
      </c>
      <c r="E147" t="inlineStr">
        <is>
          <t>health_beauty</t>
        </is>
      </c>
      <c r="F147" t="n">
        <v>1</v>
      </c>
      <c r="G147" t="n">
        <v>198</v>
      </c>
      <c r="H147" t="n">
        <v>16.5</v>
      </c>
      <c r="I147" t="inlineStr">
        <is>
          <t>credit_card</t>
        </is>
      </c>
      <c r="J147" t="n">
        <v>13</v>
      </c>
      <c r="K147" t="inlineStr">
        <is>
          <t>On Time</t>
        </is>
      </c>
      <c r="L147" t="n">
        <v>4</v>
      </c>
      <c r="M147">
        <f>VLOOKUP(D147,State_Lookup!$A$2:$B$28,2,FALSE)</f>
        <v/>
      </c>
    </row>
    <row r="148">
      <c r="A148" t="inlineStr">
        <is>
          <t>08a9634db941b72179ed30feeaac2541</t>
        </is>
      </c>
      <c r="B148" t="inlineStr">
        <is>
          <t>2017-02-27</t>
        </is>
      </c>
      <c r="C148" t="inlineStr">
        <is>
          <t>2017-02</t>
        </is>
      </c>
      <c r="D148" t="inlineStr">
        <is>
          <t>SP</t>
        </is>
      </c>
      <c r="E148" t="inlineStr">
        <is>
          <t>electronics</t>
        </is>
      </c>
      <c r="F148" t="n">
        <v>1</v>
      </c>
      <c r="G148" t="n">
        <v>42</v>
      </c>
      <c r="H148" t="n">
        <v>11.73</v>
      </c>
      <c r="I148" t="inlineStr">
        <is>
          <t>credit_card</t>
        </is>
      </c>
      <c r="J148" t="n">
        <v>6</v>
      </c>
      <c r="K148" t="inlineStr">
        <is>
          <t>On Time</t>
        </is>
      </c>
      <c r="L148" t="n">
        <v>5</v>
      </c>
      <c r="M148">
        <f>VLOOKUP(D148,State_Lookup!$A$2:$B$28,2,FALSE)</f>
        <v/>
      </c>
    </row>
    <row r="149">
      <c r="A149" t="inlineStr">
        <is>
          <t>b5e8d13478ad66ec57d480c9e00abb39</t>
        </is>
      </c>
      <c r="B149" t="inlineStr">
        <is>
          <t>2017-02-28</t>
        </is>
      </c>
      <c r="C149" t="inlineStr">
        <is>
          <t>2017-02</t>
        </is>
      </c>
      <c r="D149" t="inlineStr">
        <is>
          <t>PR</t>
        </is>
      </c>
      <c r="E149" t="inlineStr">
        <is>
          <t>cool_stuff</t>
        </is>
      </c>
      <c r="F149" t="n">
        <v>1</v>
      </c>
      <c r="G149" t="n">
        <v>1169</v>
      </c>
      <c r="H149" t="n">
        <v>59.73</v>
      </c>
      <c r="I149" t="inlineStr">
        <is>
          <t>credit_card</t>
        </is>
      </c>
      <c r="J149" t="n">
        <v>13</v>
      </c>
      <c r="K149" t="inlineStr">
        <is>
          <t>On Time</t>
        </is>
      </c>
      <c r="L149" t="n">
        <v>1</v>
      </c>
      <c r="M149">
        <f>VLOOKUP(D149,State_Lookup!$A$2:$B$28,2,FALSE)</f>
        <v/>
      </c>
    </row>
    <row r="150">
      <c r="A150" t="inlineStr">
        <is>
          <t>94e43121a0232434f1ee7c1888f2cce5</t>
        </is>
      </c>
      <c r="B150" t="inlineStr">
        <is>
          <t>2017-02-28</t>
        </is>
      </c>
      <c r="C150" t="inlineStr">
        <is>
          <t>2017-02</t>
        </is>
      </c>
      <c r="D150" t="inlineStr">
        <is>
          <t>PA</t>
        </is>
      </c>
      <c r="E150" t="inlineStr">
        <is>
          <t>musical_instruments</t>
        </is>
      </c>
      <c r="F150" t="n">
        <v>1</v>
      </c>
      <c r="G150" t="n">
        <v>38.86</v>
      </c>
      <c r="H150" t="n">
        <v>24.84</v>
      </c>
      <c r="I150" t="inlineStr">
        <is>
          <t>credit_card</t>
        </is>
      </c>
      <c r="J150" t="n">
        <v>12</v>
      </c>
      <c r="K150" t="inlineStr">
        <is>
          <t>On Time</t>
        </is>
      </c>
      <c r="L150" t="n">
        <v>5</v>
      </c>
      <c r="M150">
        <f>VLOOKUP(D150,State_Lookup!$A$2:$B$28,2,FALSE)</f>
        <v/>
      </c>
    </row>
    <row r="151">
      <c r="A151" t="inlineStr">
        <is>
          <t>855e1b20c8aa2964bb871fd9cb5458f5</t>
        </is>
      </c>
      <c r="B151" t="inlineStr">
        <is>
          <t>2017-02-28</t>
        </is>
      </c>
      <c r="C151" t="inlineStr">
        <is>
          <t>2017-02</t>
        </is>
      </c>
      <c r="D151" t="inlineStr">
        <is>
          <t>MG</t>
        </is>
      </c>
      <c r="E151" t="inlineStr">
        <is>
          <t>perfumery</t>
        </is>
      </c>
      <c r="F151" t="n">
        <v>1</v>
      </c>
      <c r="G151" t="n">
        <v>389.9</v>
      </c>
      <c r="H151" t="n">
        <v>16.97</v>
      </c>
      <c r="I151" t="inlineStr">
        <is>
          <t>credit_card</t>
        </is>
      </c>
      <c r="J151" t="n">
        <v>13</v>
      </c>
      <c r="K151" t="inlineStr">
        <is>
          <t>On Time</t>
        </is>
      </c>
      <c r="L151" t="n">
        <v>4</v>
      </c>
      <c r="M151">
        <f>VLOOKUP(D151,State_Lookup!$A$2:$B$28,2,FALSE)</f>
        <v/>
      </c>
    </row>
    <row r="152">
      <c r="A152" t="inlineStr">
        <is>
          <t>f6ed483455295c6e7544f141244cd981</t>
        </is>
      </c>
      <c r="B152" t="inlineStr">
        <is>
          <t>2017-03-01</t>
        </is>
      </c>
      <c r="C152" t="inlineStr">
        <is>
          <t>2017-03</t>
        </is>
      </c>
      <c r="D152" t="inlineStr">
        <is>
          <t>SP</t>
        </is>
      </c>
      <c r="E152" t="inlineStr">
        <is>
          <t>sports_leisure</t>
        </is>
      </c>
      <c r="F152" t="n">
        <v>1</v>
      </c>
      <c r="G152" t="n">
        <v>129</v>
      </c>
      <c r="H152" t="n">
        <v>22.51</v>
      </c>
      <c r="I152" t="inlineStr">
        <is>
          <t>credit_card</t>
        </is>
      </c>
      <c r="J152" t="n">
        <v>4</v>
      </c>
      <c r="K152" t="inlineStr">
        <is>
          <t>On Time</t>
        </is>
      </c>
      <c r="L152" t="n">
        <v>5</v>
      </c>
      <c r="M152">
        <f>VLOOKUP(D152,State_Lookup!$A$2:$B$28,2,FALSE)</f>
        <v/>
      </c>
    </row>
    <row r="153">
      <c r="A153" t="inlineStr">
        <is>
          <t>c881f8c42d20430b008bf5ea6abe4405</t>
        </is>
      </c>
      <c r="B153" t="inlineStr">
        <is>
          <t>2017-03-01</t>
        </is>
      </c>
      <c r="C153" t="inlineStr">
        <is>
          <t>2017-03</t>
        </is>
      </c>
      <c r="D153" t="inlineStr">
        <is>
          <t>RJ</t>
        </is>
      </c>
      <c r="E153" t="inlineStr">
        <is>
          <t>health_beauty</t>
        </is>
      </c>
      <c r="F153" t="n">
        <v>1</v>
      </c>
      <c r="G153" t="n">
        <v>349</v>
      </c>
      <c r="H153" t="n">
        <v>16.2</v>
      </c>
      <c r="I153" t="inlineStr">
        <is>
          <t>credit_card</t>
        </is>
      </c>
      <c r="J153" t="n">
        <v>4</v>
      </c>
      <c r="K153" t="inlineStr">
        <is>
          <t>On Time</t>
        </is>
      </c>
      <c r="L153" t="n">
        <v>5</v>
      </c>
      <c r="M153">
        <f>VLOOKUP(D153,State_Lookup!$A$2:$B$28,2,FALSE)</f>
        <v/>
      </c>
    </row>
    <row r="154">
      <c r="A154" t="inlineStr">
        <is>
          <t>933a4d6f0739efd8aa68decea5b411c6</t>
        </is>
      </c>
      <c r="B154" t="inlineStr">
        <is>
          <t>2017-03-01</t>
        </is>
      </c>
      <c r="C154" t="inlineStr">
        <is>
          <t>2017-03</t>
        </is>
      </c>
      <c r="D154" t="inlineStr">
        <is>
          <t>ES</t>
        </is>
      </c>
      <c r="E154" t="inlineStr">
        <is>
          <t>toys</t>
        </is>
      </c>
      <c r="F154" t="n">
        <v>2</v>
      </c>
      <c r="G154" t="n">
        <v>129.8</v>
      </c>
      <c r="H154" t="n">
        <v>38.3</v>
      </c>
      <c r="I154" t="inlineStr">
        <is>
          <t>boleto</t>
        </is>
      </c>
      <c r="J154" t="n">
        <v>8</v>
      </c>
      <c r="K154" t="inlineStr">
        <is>
          <t>On Time</t>
        </is>
      </c>
      <c r="L154" t="n">
        <v>5</v>
      </c>
      <c r="M154">
        <f>VLOOKUP(D154,State_Lookup!$A$2:$B$28,2,FALSE)</f>
        <v/>
      </c>
    </row>
    <row r="155">
      <c r="A155" t="inlineStr">
        <is>
          <t>e9e2effacedebc11741ec26027686fe9</t>
        </is>
      </c>
      <c r="B155" t="inlineStr">
        <is>
          <t>2017-03-01</t>
        </is>
      </c>
      <c r="C155" t="inlineStr">
        <is>
          <t>2017-03</t>
        </is>
      </c>
      <c r="D155" t="inlineStr">
        <is>
          <t>SP</t>
        </is>
      </c>
      <c r="E155" t="inlineStr">
        <is>
          <t>furniture_decor</t>
        </is>
      </c>
      <c r="F155" t="n">
        <v>1</v>
      </c>
      <c r="G155" t="n">
        <v>29.99</v>
      </c>
      <c r="H155" t="n">
        <v>10.96</v>
      </c>
      <c r="I155" t="inlineStr">
        <is>
          <t>credit_card</t>
        </is>
      </c>
      <c r="J155" t="n">
        <v>13</v>
      </c>
      <c r="K155" t="inlineStr">
        <is>
          <t>On Time</t>
        </is>
      </c>
      <c r="L155" t="n">
        <v>3</v>
      </c>
      <c r="M155">
        <f>VLOOKUP(D155,State_Lookup!$A$2:$B$28,2,FALSE)</f>
        <v/>
      </c>
    </row>
    <row r="156">
      <c r="A156" t="inlineStr">
        <is>
          <t>c7b0be5584c50efa8a9d95d3eecbece3</t>
        </is>
      </c>
      <c r="B156" t="inlineStr">
        <is>
          <t>2017-03-01</t>
        </is>
      </c>
      <c r="C156" t="inlineStr">
        <is>
          <t>2017-03</t>
        </is>
      </c>
      <c r="D156" t="inlineStr">
        <is>
          <t>SP</t>
        </is>
      </c>
      <c r="E156" t="inlineStr">
        <is>
          <t>sports_leisure</t>
        </is>
      </c>
      <c r="F156" t="n">
        <v>1</v>
      </c>
      <c r="G156" t="n">
        <v>1800</v>
      </c>
      <c r="H156" t="n">
        <v>26.07</v>
      </c>
      <c r="I156" t="inlineStr">
        <is>
          <t>boleto</t>
        </is>
      </c>
      <c r="J156" t="n">
        <v>18</v>
      </c>
      <c r="K156" t="inlineStr">
        <is>
          <t>On Time</t>
        </is>
      </c>
      <c r="L156" t="n">
        <v>5</v>
      </c>
      <c r="M156">
        <f>VLOOKUP(D156,State_Lookup!$A$2:$B$28,2,FALSE)</f>
        <v/>
      </c>
    </row>
    <row r="157">
      <c r="A157" t="inlineStr">
        <is>
          <t>fb81538ad88f59a4eb26ec0627825830</t>
        </is>
      </c>
      <c r="B157" t="inlineStr">
        <is>
          <t>2017-03-02</t>
        </is>
      </c>
      <c r="C157" t="inlineStr">
        <is>
          <t>2017-03</t>
        </is>
      </c>
      <c r="D157" t="inlineStr">
        <is>
          <t>CE</t>
        </is>
      </c>
      <c r="E157" t="inlineStr">
        <is>
          <t>computers_accessories</t>
        </is>
      </c>
      <c r="F157" t="n">
        <v>1</v>
      </c>
      <c r="G157" t="n">
        <v>42</v>
      </c>
      <c r="H157" t="n">
        <v>20.8</v>
      </c>
      <c r="I157" t="inlineStr">
        <is>
          <t>credit_card</t>
        </is>
      </c>
      <c r="J157" t="n">
        <v>17</v>
      </c>
      <c r="K157" t="inlineStr">
        <is>
          <t>On Time</t>
        </is>
      </c>
      <c r="L157" t="n">
        <v>5</v>
      </c>
      <c r="M157">
        <f>VLOOKUP(D157,State_Lookup!$A$2:$B$28,2,FALSE)</f>
        <v/>
      </c>
    </row>
    <row r="158">
      <c r="A158" t="inlineStr">
        <is>
          <t>2973501c740d29c4ad13c14b660e2472</t>
        </is>
      </c>
      <c r="B158" t="inlineStr">
        <is>
          <t>2017-03-02</t>
        </is>
      </c>
      <c r="C158" t="inlineStr">
        <is>
          <t>2017-03</t>
        </is>
      </c>
      <c r="D158" t="inlineStr">
        <is>
          <t>SP</t>
        </is>
      </c>
      <c r="E158" t="inlineStr">
        <is>
          <t>construction_tools_construction</t>
        </is>
      </c>
      <c r="F158" t="n">
        <v>1</v>
      </c>
      <c r="G158" t="n">
        <v>38.9</v>
      </c>
      <c r="H158" t="n">
        <v>14.52</v>
      </c>
      <c r="I158" t="inlineStr">
        <is>
          <t>credit_card</t>
        </is>
      </c>
      <c r="J158" t="n">
        <v>11</v>
      </c>
      <c r="K158" t="inlineStr">
        <is>
          <t>On Time</t>
        </is>
      </c>
      <c r="L158" t="n">
        <v>4</v>
      </c>
      <c r="M158">
        <f>VLOOKUP(D158,State_Lookup!$A$2:$B$28,2,FALSE)</f>
        <v/>
      </c>
    </row>
    <row r="159">
      <c r="A159" t="inlineStr">
        <is>
          <t>72da473ce9c065b6b7120da52ad4ac02</t>
        </is>
      </c>
      <c r="B159" t="inlineStr">
        <is>
          <t>2017-03-02</t>
        </is>
      </c>
      <c r="C159" t="inlineStr">
        <is>
          <t>2017-03</t>
        </is>
      </c>
      <c r="D159" t="inlineStr">
        <is>
          <t>SP</t>
        </is>
      </c>
      <c r="E159" t="inlineStr">
        <is>
          <t>furniture_decor</t>
        </is>
      </c>
      <c r="F159" t="n">
        <v>2</v>
      </c>
      <c r="G159" t="n">
        <v>123.8</v>
      </c>
      <c r="H159" t="n">
        <v>23.65</v>
      </c>
      <c r="I159" t="inlineStr">
        <is>
          <t>credit_card</t>
        </is>
      </c>
      <c r="J159" t="n">
        <v>4</v>
      </c>
      <c r="K159" t="inlineStr">
        <is>
          <t>On Time</t>
        </is>
      </c>
      <c r="L159" t="n">
        <v>5</v>
      </c>
      <c r="M159">
        <f>VLOOKUP(D159,State_Lookup!$A$2:$B$28,2,FALSE)</f>
        <v/>
      </c>
    </row>
    <row r="160">
      <c r="A160" t="inlineStr">
        <is>
          <t>c7ab73e7c26ff800c76b703fae63c467</t>
        </is>
      </c>
      <c r="B160" t="inlineStr">
        <is>
          <t>2017-03-02</t>
        </is>
      </c>
      <c r="C160" t="inlineStr">
        <is>
          <t>2017-03</t>
        </is>
      </c>
      <c r="D160" t="inlineStr">
        <is>
          <t>ES</t>
        </is>
      </c>
      <c r="E160" t="inlineStr">
        <is>
          <t>air_conditioning</t>
        </is>
      </c>
      <c r="F160" t="n">
        <v>1</v>
      </c>
      <c r="G160" t="n">
        <v>95</v>
      </c>
      <c r="H160" t="n">
        <v>16.37</v>
      </c>
      <c r="I160" t="inlineStr">
        <is>
          <t>boleto</t>
        </is>
      </c>
      <c r="J160" t="n">
        <v>7</v>
      </c>
      <c r="K160" t="inlineStr">
        <is>
          <t>On Time</t>
        </is>
      </c>
      <c r="L160" t="n">
        <v>4</v>
      </c>
      <c r="M160">
        <f>VLOOKUP(D160,State_Lookup!$A$2:$B$28,2,FALSE)</f>
        <v/>
      </c>
    </row>
    <row r="161">
      <c r="A161" t="inlineStr">
        <is>
          <t>efd5f6d335841ef212ce657580faf95d</t>
        </is>
      </c>
      <c r="B161" t="inlineStr">
        <is>
          <t>2017-03-03</t>
        </is>
      </c>
      <c r="C161" t="inlineStr">
        <is>
          <t>2017-03</t>
        </is>
      </c>
      <c r="D161" t="inlineStr">
        <is>
          <t>PA</t>
        </is>
      </c>
      <c r="E161" t="inlineStr">
        <is>
          <t>computers_accessories</t>
        </is>
      </c>
      <c r="F161" t="n">
        <v>1</v>
      </c>
      <c r="G161" t="n">
        <v>580.27</v>
      </c>
      <c r="H161" t="n">
        <v>30.32</v>
      </c>
      <c r="I161" t="inlineStr">
        <is>
          <t>credit_card</t>
        </is>
      </c>
      <c r="J161" t="n">
        <v>16</v>
      </c>
      <c r="K161" t="inlineStr">
        <is>
          <t>On Time</t>
        </is>
      </c>
      <c r="L161" t="n">
        <v>4</v>
      </c>
      <c r="M161">
        <f>VLOOKUP(D161,State_Lookup!$A$2:$B$28,2,FALSE)</f>
        <v/>
      </c>
    </row>
    <row r="162">
      <c r="A162" t="inlineStr">
        <is>
          <t>c1bffb64e9e46207fa132a9a4f4e1307</t>
        </is>
      </c>
      <c r="B162" t="inlineStr">
        <is>
          <t>2017-03-03</t>
        </is>
      </c>
      <c r="C162" t="inlineStr">
        <is>
          <t>2017-03</t>
        </is>
      </c>
      <c r="D162" t="inlineStr">
        <is>
          <t>PE</t>
        </is>
      </c>
      <c r="E162" t="inlineStr">
        <is>
          <t>bed_bath_table</t>
        </is>
      </c>
      <c r="F162" t="n">
        <v>1</v>
      </c>
      <c r="G162" t="n">
        <v>69.90000000000001</v>
      </c>
      <c r="H162" t="n">
        <v>22.42</v>
      </c>
      <c r="I162" t="inlineStr">
        <is>
          <t>credit_card</t>
        </is>
      </c>
      <c r="J162" t="n">
        <v>18</v>
      </c>
      <c r="K162" t="inlineStr">
        <is>
          <t>On Time</t>
        </is>
      </c>
      <c r="L162" t="n">
        <v>5</v>
      </c>
      <c r="M162">
        <f>VLOOKUP(D162,State_Lookup!$A$2:$B$28,2,FALSE)</f>
        <v/>
      </c>
    </row>
    <row r="163">
      <c r="A163" t="inlineStr">
        <is>
          <t>0493cfcda1fbe4c59f584aeffa96c098</t>
        </is>
      </c>
      <c r="B163" t="inlineStr">
        <is>
          <t>2017-03-03</t>
        </is>
      </c>
      <c r="C163" t="inlineStr">
        <is>
          <t>2017-03</t>
        </is>
      </c>
      <c r="D163" t="inlineStr">
        <is>
          <t>RJ</t>
        </is>
      </c>
      <c r="E163" t="inlineStr">
        <is>
          <t>stationery</t>
        </is>
      </c>
      <c r="F163" t="n">
        <v>1</v>
      </c>
      <c r="G163" t="n">
        <v>89</v>
      </c>
      <c r="H163" t="n">
        <v>17.36</v>
      </c>
      <c r="I163" t="inlineStr">
        <is>
          <t>credit_card</t>
        </is>
      </c>
      <c r="J163" t="n">
        <v>4</v>
      </c>
      <c r="K163" t="inlineStr">
        <is>
          <t>On Time</t>
        </is>
      </c>
      <c r="L163" t="n">
        <v>5</v>
      </c>
      <c r="M163">
        <f>VLOOKUP(D163,State_Lookup!$A$2:$B$28,2,FALSE)</f>
        <v/>
      </c>
    </row>
    <row r="164">
      <c r="A164" t="inlineStr">
        <is>
          <t>6120dca54b9adfd072f8fd9574161063</t>
        </is>
      </c>
      <c r="B164" t="inlineStr">
        <is>
          <t>2017-03-03</t>
        </is>
      </c>
      <c r="C164" t="inlineStr">
        <is>
          <t>2017-03</t>
        </is>
      </c>
      <c r="D164" t="inlineStr">
        <is>
          <t>RJ</t>
        </is>
      </c>
      <c r="E164" t="inlineStr">
        <is>
          <t>sports_leisure</t>
        </is>
      </c>
      <c r="F164" t="n">
        <v>1</v>
      </c>
      <c r="G164" t="n">
        <v>119.99</v>
      </c>
      <c r="H164" t="n">
        <v>17.58</v>
      </c>
      <c r="I164" t="inlineStr">
        <is>
          <t>boleto</t>
        </is>
      </c>
      <c r="J164" t="n">
        <v>10</v>
      </c>
      <c r="K164" t="inlineStr">
        <is>
          <t>On Time</t>
        </is>
      </c>
      <c r="L164" t="n">
        <v>5</v>
      </c>
      <c r="M164">
        <f>VLOOKUP(D164,State_Lookup!$A$2:$B$28,2,FALSE)</f>
        <v/>
      </c>
    </row>
    <row r="165">
      <c r="A165" t="inlineStr">
        <is>
          <t>e943e3e10c10f28b98d9f5737793c267</t>
        </is>
      </c>
      <c r="B165" t="inlineStr">
        <is>
          <t>2017-03-04</t>
        </is>
      </c>
      <c r="C165" t="inlineStr">
        <is>
          <t>2017-03</t>
        </is>
      </c>
      <c r="D165" t="inlineStr">
        <is>
          <t>SC</t>
        </is>
      </c>
      <c r="E165" t="inlineStr">
        <is>
          <t>telephony</t>
        </is>
      </c>
      <c r="F165" t="n">
        <v>1</v>
      </c>
      <c r="G165" t="n">
        <v>39.99</v>
      </c>
      <c r="H165" t="n">
        <v>14.52</v>
      </c>
      <c r="I165" t="inlineStr">
        <is>
          <t>credit_card</t>
        </is>
      </c>
      <c r="J165" t="n">
        <v>18</v>
      </c>
      <c r="K165" t="inlineStr">
        <is>
          <t>On Time</t>
        </is>
      </c>
      <c r="L165" t="n">
        <v>5</v>
      </c>
      <c r="M165">
        <f>VLOOKUP(D165,State_Lookup!$A$2:$B$28,2,FALSE)</f>
        <v/>
      </c>
    </row>
    <row r="166">
      <c r="A166" t="inlineStr">
        <is>
          <t>3241db830366645e6a88f6384ee36cc7</t>
        </is>
      </c>
      <c r="B166" t="inlineStr">
        <is>
          <t>2017-03-04</t>
        </is>
      </c>
      <c r="C166" t="inlineStr">
        <is>
          <t>2017-03</t>
        </is>
      </c>
      <c r="D166" t="inlineStr">
        <is>
          <t>ES</t>
        </is>
      </c>
      <c r="E166" t="inlineStr">
        <is>
          <t>housewares</t>
        </is>
      </c>
      <c r="F166" t="n">
        <v>1</v>
      </c>
      <c r="G166" t="n">
        <v>98.3</v>
      </c>
      <c r="H166" t="n">
        <v>50.17</v>
      </c>
      <c r="I166" t="inlineStr">
        <is>
          <t>credit_card</t>
        </is>
      </c>
      <c r="J166" t="n">
        <v>9</v>
      </c>
      <c r="K166" t="inlineStr">
        <is>
          <t>On Time</t>
        </is>
      </c>
      <c r="L166" t="n">
        <v>4</v>
      </c>
      <c r="M166">
        <f>VLOOKUP(D166,State_Lookup!$A$2:$B$28,2,FALSE)</f>
        <v/>
      </c>
    </row>
    <row r="167">
      <c r="A167" t="inlineStr">
        <is>
          <t>0cfb04a3e59f3ce319891d208135885b</t>
        </is>
      </c>
      <c r="B167" t="inlineStr">
        <is>
          <t>2017-03-04</t>
        </is>
      </c>
      <c r="C167" t="inlineStr">
        <is>
          <t>2017-03</t>
        </is>
      </c>
      <c r="D167" t="inlineStr">
        <is>
          <t>RJ</t>
        </is>
      </c>
      <c r="E167" t="inlineStr">
        <is>
          <t>computers_accessories</t>
        </is>
      </c>
      <c r="F167" t="n">
        <v>1</v>
      </c>
      <c r="G167" t="n">
        <v>195.9</v>
      </c>
      <c r="H167" t="n">
        <v>19.96</v>
      </c>
      <c r="I167" t="inlineStr">
        <is>
          <t>credit_card</t>
        </is>
      </c>
      <c r="J167" t="n">
        <v>9</v>
      </c>
      <c r="K167" t="inlineStr">
        <is>
          <t>On Time</t>
        </is>
      </c>
      <c r="L167" t="n">
        <v>5</v>
      </c>
      <c r="M167">
        <f>VLOOKUP(D167,State_Lookup!$A$2:$B$28,2,FALSE)</f>
        <v/>
      </c>
    </row>
    <row r="168">
      <c r="A168" t="inlineStr">
        <is>
          <t>c216922ad3d667fb17d7c7b6843efaab</t>
        </is>
      </c>
      <c r="B168" t="inlineStr">
        <is>
          <t>2017-03-05</t>
        </is>
      </c>
      <c r="C168" t="inlineStr">
        <is>
          <t>2017-03</t>
        </is>
      </c>
      <c r="D168" t="inlineStr">
        <is>
          <t>RJ</t>
        </is>
      </c>
      <c r="E168" t="inlineStr">
        <is>
          <t>garden_tools</t>
        </is>
      </c>
      <c r="F168" t="n">
        <v>1</v>
      </c>
      <c r="G168" t="n">
        <v>48</v>
      </c>
      <c r="H168" t="n">
        <v>15.11</v>
      </c>
      <c r="I168" t="inlineStr">
        <is>
          <t>credit_card</t>
        </is>
      </c>
      <c r="J168" t="n">
        <v>7</v>
      </c>
      <c r="K168" t="inlineStr">
        <is>
          <t>On Time</t>
        </is>
      </c>
      <c r="L168" t="n">
        <v>5</v>
      </c>
      <c r="M168">
        <f>VLOOKUP(D168,State_Lookup!$A$2:$B$28,2,FALSE)</f>
        <v/>
      </c>
    </row>
    <row r="169">
      <c r="A169" t="inlineStr">
        <is>
          <t>fd766da8b074a9d9399eee9b28525f83</t>
        </is>
      </c>
      <c r="B169" t="inlineStr">
        <is>
          <t>2017-03-05</t>
        </is>
      </c>
      <c r="C169" t="inlineStr">
        <is>
          <t>2017-03</t>
        </is>
      </c>
      <c r="D169" t="inlineStr">
        <is>
          <t>RJ</t>
        </is>
      </c>
      <c r="E169" t="inlineStr">
        <is>
          <t>housewares</t>
        </is>
      </c>
      <c r="F169" t="n">
        <v>1</v>
      </c>
      <c r="G169" t="n">
        <v>79.98999999999999</v>
      </c>
      <c r="H169" t="n">
        <v>18.84</v>
      </c>
      <c r="I169" t="inlineStr">
        <is>
          <t>credit_card</t>
        </is>
      </c>
      <c r="J169" t="n">
        <v>8</v>
      </c>
      <c r="K169" t="inlineStr">
        <is>
          <t>On Time</t>
        </is>
      </c>
      <c r="L169" t="n">
        <v>4</v>
      </c>
      <c r="M169">
        <f>VLOOKUP(D169,State_Lookup!$A$2:$B$28,2,FALSE)</f>
        <v/>
      </c>
    </row>
    <row r="170">
      <c r="A170" t="inlineStr">
        <is>
          <t>205214f7f27b2cea7e82fb18e87a9369</t>
        </is>
      </c>
      <c r="B170" t="inlineStr">
        <is>
          <t>2017-03-05</t>
        </is>
      </c>
      <c r="C170" t="inlineStr">
        <is>
          <t>2017-03</t>
        </is>
      </c>
      <c r="D170" t="inlineStr">
        <is>
          <t>SP</t>
        </is>
      </c>
      <c r="E170" t="inlineStr">
        <is>
          <t>cool_stuff</t>
        </is>
      </c>
      <c r="F170" t="n">
        <v>1</v>
      </c>
      <c r="G170" t="n">
        <v>19.9</v>
      </c>
      <c r="H170" t="n">
        <v>8.720000000000001</v>
      </c>
      <c r="I170" t="inlineStr">
        <is>
          <t>credit_card</t>
        </is>
      </c>
      <c r="J170" t="n">
        <v>4</v>
      </c>
      <c r="K170" t="inlineStr">
        <is>
          <t>On Time</t>
        </is>
      </c>
      <c r="L170" t="n">
        <v>5</v>
      </c>
      <c r="M170">
        <f>VLOOKUP(D170,State_Lookup!$A$2:$B$28,2,FALSE)</f>
        <v/>
      </c>
    </row>
    <row r="171">
      <c r="A171" t="inlineStr">
        <is>
          <t>91415c7eb3a9313812484623efc7ee27</t>
        </is>
      </c>
      <c r="B171" t="inlineStr">
        <is>
          <t>2017-03-05</t>
        </is>
      </c>
      <c r="C171" t="inlineStr">
        <is>
          <t>2017-03</t>
        </is>
      </c>
      <c r="D171" t="inlineStr">
        <is>
          <t>RJ</t>
        </is>
      </c>
      <c r="E171" t="inlineStr">
        <is>
          <t>telephony</t>
        </is>
      </c>
      <c r="F171" t="n">
        <v>1</v>
      </c>
      <c r="G171" t="n">
        <v>19.99</v>
      </c>
      <c r="H171" t="n">
        <v>14.11</v>
      </c>
      <c r="I171" t="inlineStr">
        <is>
          <t>credit_card</t>
        </is>
      </c>
      <c r="J171" t="n">
        <v>36</v>
      </c>
      <c r="K171" t="inlineStr">
        <is>
          <t>Late</t>
        </is>
      </c>
      <c r="L171" t="n">
        <v>1</v>
      </c>
      <c r="M171">
        <f>VLOOKUP(D171,State_Lookup!$A$2:$B$28,2,FALSE)</f>
        <v/>
      </c>
    </row>
    <row r="172">
      <c r="A172" t="inlineStr">
        <is>
          <t>0cb617c8bf1a34cf77947ac7d8b393f0</t>
        </is>
      </c>
      <c r="B172" t="inlineStr">
        <is>
          <t>2017-03-06</t>
        </is>
      </c>
      <c r="C172" t="inlineStr">
        <is>
          <t>2017-03</t>
        </is>
      </c>
      <c r="D172" t="inlineStr">
        <is>
          <t>SP</t>
        </is>
      </c>
      <c r="E172" t="inlineStr">
        <is>
          <t>housewares</t>
        </is>
      </c>
      <c r="F172" t="n">
        <v>1</v>
      </c>
      <c r="G172" t="n">
        <v>49.9</v>
      </c>
      <c r="H172" t="n">
        <v>10.96</v>
      </c>
      <c r="I172" t="inlineStr">
        <is>
          <t>credit_card</t>
        </is>
      </c>
      <c r="J172" t="n">
        <v>7</v>
      </c>
      <c r="K172" t="inlineStr">
        <is>
          <t>On Time</t>
        </is>
      </c>
      <c r="L172" t="n">
        <v>1</v>
      </c>
      <c r="M172">
        <f>VLOOKUP(D172,State_Lookup!$A$2:$B$28,2,FALSE)</f>
        <v/>
      </c>
    </row>
    <row r="173">
      <c r="A173" t="inlineStr">
        <is>
          <t>6c592894a10d4bab518bf4aad80515d8</t>
        </is>
      </c>
      <c r="B173" t="inlineStr">
        <is>
          <t>2017-03-06</t>
        </is>
      </c>
      <c r="C173" t="inlineStr">
        <is>
          <t>2017-03</t>
        </is>
      </c>
      <c r="D173" t="inlineStr">
        <is>
          <t>MG</t>
        </is>
      </c>
      <c r="E173" t="inlineStr">
        <is>
          <t>perfumery</t>
        </is>
      </c>
      <c r="F173" t="n">
        <v>1</v>
      </c>
      <c r="G173" t="n">
        <v>8.9</v>
      </c>
      <c r="H173" t="n">
        <v>14.52</v>
      </c>
      <c r="I173" t="inlineStr">
        <is>
          <t>boleto</t>
        </is>
      </c>
      <c r="J173" t="n">
        <v>7</v>
      </c>
      <c r="K173" t="inlineStr">
        <is>
          <t>On Time</t>
        </is>
      </c>
      <c r="L173" t="n">
        <v>5</v>
      </c>
      <c r="M173">
        <f>VLOOKUP(D173,State_Lookup!$A$2:$B$28,2,FALSE)</f>
        <v/>
      </c>
    </row>
    <row r="174">
      <c r="A174" t="inlineStr">
        <is>
          <t>ead0bec6842006b655fed967de837883</t>
        </is>
      </c>
      <c r="B174" t="inlineStr">
        <is>
          <t>2017-03-06</t>
        </is>
      </c>
      <c r="C174" t="inlineStr">
        <is>
          <t>2017-03</t>
        </is>
      </c>
      <c r="D174" t="inlineStr">
        <is>
          <t>RJ</t>
        </is>
      </c>
      <c r="E174" t="inlineStr">
        <is>
          <t>telephony</t>
        </is>
      </c>
      <c r="F174" t="n">
        <v>1</v>
      </c>
      <c r="G174" t="n">
        <v>12.97</v>
      </c>
      <c r="H174" t="n">
        <v>14.52</v>
      </c>
      <c r="I174" t="inlineStr">
        <is>
          <t>boleto</t>
        </is>
      </c>
      <c r="J174" t="n">
        <v>3</v>
      </c>
      <c r="K174" t="inlineStr">
        <is>
          <t>On Time</t>
        </is>
      </c>
      <c r="L174" t="n">
        <v>1</v>
      </c>
      <c r="M174">
        <f>VLOOKUP(D174,State_Lookup!$A$2:$B$28,2,FALSE)</f>
        <v/>
      </c>
    </row>
    <row r="175">
      <c r="A175" t="inlineStr">
        <is>
          <t>840a77e5812e6cb838f4957339f5aa2c</t>
        </is>
      </c>
      <c r="B175" t="inlineStr">
        <is>
          <t>2017-03-06</t>
        </is>
      </c>
      <c r="C175" t="inlineStr">
        <is>
          <t>2017-03</t>
        </is>
      </c>
      <c r="D175" t="inlineStr">
        <is>
          <t>BA</t>
        </is>
      </c>
      <c r="E175" t="inlineStr">
        <is>
          <t>furniture_decor</t>
        </is>
      </c>
      <c r="F175" t="n">
        <v>1</v>
      </c>
      <c r="G175" t="n">
        <v>60.9</v>
      </c>
      <c r="H175" t="n">
        <v>20.88</v>
      </c>
      <c r="I175" t="inlineStr">
        <is>
          <t>credit_card</t>
        </is>
      </c>
      <c r="J175" t="n">
        <v>9</v>
      </c>
      <c r="K175" t="inlineStr">
        <is>
          <t>On Time</t>
        </is>
      </c>
      <c r="L175" t="n">
        <v>5</v>
      </c>
      <c r="M175">
        <f>VLOOKUP(D175,State_Lookup!$A$2:$B$28,2,FALSE)</f>
        <v/>
      </c>
    </row>
    <row r="176">
      <c r="A176" t="inlineStr">
        <is>
          <t>a4d541965fdf41f59fcbdd53630627b9</t>
        </is>
      </c>
      <c r="B176" t="inlineStr">
        <is>
          <t>2017-03-06</t>
        </is>
      </c>
      <c r="C176" t="inlineStr">
        <is>
          <t>2017-03</t>
        </is>
      </c>
      <c r="D176" t="inlineStr">
        <is>
          <t>SP</t>
        </is>
      </c>
      <c r="E176" t="inlineStr">
        <is>
          <t>consoles_games</t>
        </is>
      </c>
      <c r="F176" t="n">
        <v>1</v>
      </c>
      <c r="G176" t="n">
        <v>59</v>
      </c>
      <c r="H176" t="n">
        <v>12.01</v>
      </c>
      <c r="I176" t="inlineStr">
        <is>
          <t>boleto</t>
        </is>
      </c>
      <c r="J176" t="n">
        <v>7</v>
      </c>
      <c r="K176" t="inlineStr">
        <is>
          <t>On Time</t>
        </is>
      </c>
      <c r="L176" t="n">
        <v>5</v>
      </c>
      <c r="M176">
        <f>VLOOKUP(D176,State_Lookup!$A$2:$B$28,2,FALSE)</f>
        <v/>
      </c>
    </row>
    <row r="177">
      <c r="A177" t="inlineStr">
        <is>
          <t>74fd22110fce99b893b31cada7e2c3e8</t>
        </is>
      </c>
      <c r="B177" t="inlineStr">
        <is>
          <t>2017-03-06</t>
        </is>
      </c>
      <c r="C177" t="inlineStr">
        <is>
          <t>2017-03</t>
        </is>
      </c>
      <c r="D177" t="inlineStr">
        <is>
          <t>MA</t>
        </is>
      </c>
      <c r="E177" t="inlineStr">
        <is>
          <t>computers_accessories</t>
        </is>
      </c>
      <c r="F177" t="n">
        <v>1</v>
      </c>
      <c r="G177" t="n">
        <v>26.9</v>
      </c>
      <c r="H177" t="n">
        <v>20.4</v>
      </c>
      <c r="I177" t="inlineStr">
        <is>
          <t>credit_card</t>
        </is>
      </c>
      <c r="J177" t="n">
        <v>11</v>
      </c>
      <c r="K177" t="inlineStr">
        <is>
          <t>On Time</t>
        </is>
      </c>
      <c r="L177" t="n">
        <v>3</v>
      </c>
      <c r="M177">
        <f>VLOOKUP(D177,State_Lookup!$A$2:$B$28,2,FALSE)</f>
        <v/>
      </c>
    </row>
    <row r="178">
      <c r="A178" t="inlineStr">
        <is>
          <t>77f8ac5734b5b2f8c1572102f854d329</t>
        </is>
      </c>
      <c r="B178" t="inlineStr">
        <is>
          <t>2017-03-08</t>
        </is>
      </c>
      <c r="C178" t="inlineStr">
        <is>
          <t>2017-03</t>
        </is>
      </c>
      <c r="D178" t="inlineStr">
        <is>
          <t>SP</t>
        </is>
      </c>
      <c r="E178" t="inlineStr">
        <is>
          <t>auto</t>
        </is>
      </c>
      <c r="F178" t="n">
        <v>1</v>
      </c>
      <c r="G178" t="n">
        <v>117.3</v>
      </c>
      <c r="H178" t="n">
        <v>16.97</v>
      </c>
      <c r="I178" t="inlineStr">
        <is>
          <t>credit_card</t>
        </is>
      </c>
      <c r="J178" t="n">
        <v>6</v>
      </c>
      <c r="K178" t="inlineStr">
        <is>
          <t>On Time</t>
        </is>
      </c>
      <c r="L178" t="n">
        <v>5</v>
      </c>
      <c r="M178">
        <f>VLOOKUP(D178,State_Lookup!$A$2:$B$28,2,FALSE)</f>
        <v/>
      </c>
    </row>
    <row r="179">
      <c r="A179" t="inlineStr">
        <is>
          <t>68d1c970d581919895404c1e68e0bf3b</t>
        </is>
      </c>
      <c r="B179" t="inlineStr">
        <is>
          <t>2017-03-08</t>
        </is>
      </c>
      <c r="C179" t="inlineStr">
        <is>
          <t>2017-03</t>
        </is>
      </c>
      <c r="D179" t="inlineStr">
        <is>
          <t>ES</t>
        </is>
      </c>
      <c r="E179" t="inlineStr">
        <is>
          <t>kitchen_dining_laundry_garden_furniture</t>
        </is>
      </c>
      <c r="F179" t="n">
        <v>1</v>
      </c>
      <c r="G179" t="n">
        <v>48</v>
      </c>
      <c r="H179" t="n">
        <v>18.94</v>
      </c>
      <c r="I179" t="inlineStr">
        <is>
          <t>boleto</t>
        </is>
      </c>
      <c r="J179" t="n">
        <v>5</v>
      </c>
      <c r="K179" t="inlineStr">
        <is>
          <t>On Time</t>
        </is>
      </c>
      <c r="L179" t="n">
        <v>5</v>
      </c>
      <c r="M179">
        <f>VLOOKUP(D179,State_Lookup!$A$2:$B$28,2,FALSE)</f>
        <v/>
      </c>
    </row>
    <row r="180">
      <c r="A180" t="inlineStr">
        <is>
          <t>7983542b1539fd0eb5c18d062ee04e34</t>
        </is>
      </c>
      <c r="B180" t="inlineStr">
        <is>
          <t>2017-03-08</t>
        </is>
      </c>
      <c r="C180" t="inlineStr">
        <is>
          <t>2017-03</t>
        </is>
      </c>
      <c r="D180" t="inlineStr">
        <is>
          <t>GO</t>
        </is>
      </c>
      <c r="E180" t="inlineStr">
        <is>
          <t>housewares</t>
        </is>
      </c>
      <c r="F180" t="n">
        <v>1</v>
      </c>
      <c r="G180" t="n">
        <v>101</v>
      </c>
      <c r="H180" t="n">
        <v>21.34</v>
      </c>
      <c r="I180" t="inlineStr">
        <is>
          <t>credit_card</t>
        </is>
      </c>
      <c r="J180" t="n">
        <v>12</v>
      </c>
      <c r="K180" t="inlineStr">
        <is>
          <t>On Time</t>
        </is>
      </c>
      <c r="L180" t="n">
        <v>5</v>
      </c>
      <c r="M180">
        <f>VLOOKUP(D180,State_Lookup!$A$2:$B$28,2,FALSE)</f>
        <v/>
      </c>
    </row>
    <row r="181">
      <c r="A181" t="inlineStr">
        <is>
          <t>e18d0e097ef9cdd7894ed1b82a2b7479</t>
        </is>
      </c>
      <c r="B181" t="inlineStr">
        <is>
          <t>2017-03-09</t>
        </is>
      </c>
      <c r="C181" t="inlineStr">
        <is>
          <t>2017-03</t>
        </is>
      </c>
      <c r="D181" t="inlineStr">
        <is>
          <t>SP</t>
        </is>
      </c>
      <c r="E181" t="inlineStr">
        <is>
          <t>furniture_decor</t>
        </is>
      </c>
      <c r="F181" t="n">
        <v>1</v>
      </c>
      <c r="G181" t="n">
        <v>26</v>
      </c>
      <c r="H181" t="n">
        <v>10.96</v>
      </c>
      <c r="I181" t="inlineStr">
        <is>
          <t>credit_card</t>
        </is>
      </c>
      <c r="J181" t="n">
        <v>16</v>
      </c>
      <c r="K181" t="inlineStr">
        <is>
          <t>On Time</t>
        </is>
      </c>
      <c r="L181" t="n">
        <v>5</v>
      </c>
      <c r="M181">
        <f>VLOOKUP(D181,State_Lookup!$A$2:$B$28,2,FALSE)</f>
        <v/>
      </c>
    </row>
    <row r="182">
      <c r="A182" t="inlineStr">
        <is>
          <t>2f7b0d36ffcaf0277583329ded34c97d</t>
        </is>
      </c>
      <c r="B182" t="inlineStr">
        <is>
          <t>2017-03-09</t>
        </is>
      </c>
      <c r="C182" t="inlineStr">
        <is>
          <t>2017-03</t>
        </is>
      </c>
      <c r="D182" t="inlineStr">
        <is>
          <t>SP</t>
        </is>
      </c>
      <c r="E182" t="inlineStr">
        <is>
          <t>bed_bath_table</t>
        </is>
      </c>
      <c r="F182" t="n">
        <v>3</v>
      </c>
      <c r="G182" t="n">
        <v>39.7</v>
      </c>
      <c r="H182" t="n">
        <v>32.88</v>
      </c>
      <c r="I182" t="inlineStr">
        <is>
          <t>credit_card</t>
        </is>
      </c>
      <c r="J182" t="n">
        <v>3</v>
      </c>
      <c r="K182" t="inlineStr">
        <is>
          <t>On Time</t>
        </is>
      </c>
      <c r="L182" t="n">
        <v>5</v>
      </c>
      <c r="M182">
        <f>VLOOKUP(D182,State_Lookup!$A$2:$B$28,2,FALSE)</f>
        <v/>
      </c>
    </row>
    <row r="183">
      <c r="A183" t="inlineStr">
        <is>
          <t>b65a9099b9f6617410e0f5fb0b9e1fdc</t>
        </is>
      </c>
      <c r="B183" t="inlineStr">
        <is>
          <t>2017-03-09</t>
        </is>
      </c>
      <c r="C183" t="inlineStr">
        <is>
          <t>2017-03</t>
        </is>
      </c>
      <c r="D183" t="inlineStr">
        <is>
          <t>SP</t>
        </is>
      </c>
      <c r="E183" t="inlineStr">
        <is>
          <t>garden_tools</t>
        </is>
      </c>
      <c r="F183" t="n">
        <v>1</v>
      </c>
      <c r="G183" t="n">
        <v>34.9</v>
      </c>
      <c r="H183" t="n">
        <v>10.96</v>
      </c>
      <c r="I183" t="inlineStr">
        <is>
          <t>credit_card</t>
        </is>
      </c>
      <c r="J183" t="n">
        <v>4</v>
      </c>
      <c r="K183" t="inlineStr">
        <is>
          <t>On Time</t>
        </is>
      </c>
      <c r="L183" t="n">
        <v>2</v>
      </c>
      <c r="M183">
        <f>VLOOKUP(D183,State_Lookup!$A$2:$B$28,2,FALSE)</f>
        <v/>
      </c>
    </row>
    <row r="184">
      <c r="A184" t="inlineStr">
        <is>
          <t>a07b30a459f83015fb2927d732e20943</t>
        </is>
      </c>
      <c r="B184" t="inlineStr">
        <is>
          <t>2017-03-09</t>
        </is>
      </c>
      <c r="C184" t="inlineStr">
        <is>
          <t>2017-03</t>
        </is>
      </c>
      <c r="D184" t="inlineStr">
        <is>
          <t>RJ</t>
        </is>
      </c>
      <c r="E184" t="inlineStr">
        <is>
          <t>health_beauty</t>
        </is>
      </c>
      <c r="F184" t="n">
        <v>2</v>
      </c>
      <c r="G184" t="n">
        <v>89.8</v>
      </c>
      <c r="H184" t="n">
        <v>28.22</v>
      </c>
      <c r="I184" t="inlineStr">
        <is>
          <t>credit_card</t>
        </is>
      </c>
      <c r="J184" t="n">
        <v>10</v>
      </c>
      <c r="K184" t="inlineStr">
        <is>
          <t>On Time</t>
        </is>
      </c>
      <c r="L184" t="n">
        <v>5</v>
      </c>
      <c r="M184">
        <f>VLOOKUP(D184,State_Lookup!$A$2:$B$28,2,FALSE)</f>
        <v/>
      </c>
    </row>
    <row r="185">
      <c r="A185" t="inlineStr">
        <is>
          <t>89ee991b2ae330d7b2d7b4d81006765e</t>
        </is>
      </c>
      <c r="B185" t="inlineStr">
        <is>
          <t>2017-03-09</t>
        </is>
      </c>
      <c r="C185" t="inlineStr">
        <is>
          <t>2017-03</t>
        </is>
      </c>
      <c r="D185" t="inlineStr">
        <is>
          <t>MG</t>
        </is>
      </c>
      <c r="E185" t="inlineStr">
        <is>
          <t>garden_tools</t>
        </is>
      </c>
      <c r="F185" t="n">
        <v>1</v>
      </c>
      <c r="G185" t="n">
        <v>34.9</v>
      </c>
      <c r="H185" t="n">
        <v>14.52</v>
      </c>
      <c r="I185" t="inlineStr">
        <is>
          <t>boleto</t>
        </is>
      </c>
      <c r="J185" t="n">
        <v>11</v>
      </c>
      <c r="K185" t="inlineStr">
        <is>
          <t>On Time</t>
        </is>
      </c>
      <c r="L185" t="n">
        <v>5</v>
      </c>
      <c r="M185">
        <f>VLOOKUP(D185,State_Lookup!$A$2:$B$28,2,FALSE)</f>
        <v/>
      </c>
    </row>
    <row r="186">
      <c r="A186" t="inlineStr">
        <is>
          <t>cf2ae7f823490d9b4ec3d33f889609e4</t>
        </is>
      </c>
      <c r="B186" t="inlineStr">
        <is>
          <t>2017-03-09</t>
        </is>
      </c>
      <c r="C186" t="inlineStr">
        <is>
          <t>2017-03</t>
        </is>
      </c>
      <c r="D186" t="inlineStr">
        <is>
          <t>PR</t>
        </is>
      </c>
      <c r="E186" t="inlineStr">
        <is>
          <t>small_appliances</t>
        </is>
      </c>
      <c r="F186" t="n">
        <v>1</v>
      </c>
      <c r="G186" t="n">
        <v>109.9</v>
      </c>
      <c r="H186" t="n">
        <v>11.38</v>
      </c>
      <c r="I186" t="inlineStr">
        <is>
          <t>credit_card</t>
        </is>
      </c>
      <c r="J186" t="n">
        <v>17</v>
      </c>
      <c r="K186" t="inlineStr">
        <is>
          <t>On Time</t>
        </is>
      </c>
      <c r="L186" t="n">
        <v>5</v>
      </c>
      <c r="M186">
        <f>VLOOKUP(D186,State_Lookup!$A$2:$B$28,2,FALSE)</f>
        <v/>
      </c>
    </row>
    <row r="187">
      <c r="A187" t="inlineStr">
        <is>
          <t>d7defcb8f59419ce565959f595bbb988</t>
        </is>
      </c>
      <c r="B187" t="inlineStr">
        <is>
          <t>2017-03-10</t>
        </is>
      </c>
      <c r="C187" t="inlineStr">
        <is>
          <t>2017-03</t>
        </is>
      </c>
      <c r="D187" t="inlineStr">
        <is>
          <t>SP</t>
        </is>
      </c>
      <c r="E187" t="inlineStr">
        <is>
          <t>computers_accessories</t>
        </is>
      </c>
      <c r="F187" t="n">
        <v>1</v>
      </c>
      <c r="G187" t="n">
        <v>79.90000000000001</v>
      </c>
      <c r="H187" t="n">
        <v>15.77</v>
      </c>
      <c r="I187" t="inlineStr">
        <is>
          <t>credit_card</t>
        </is>
      </c>
      <c r="J187" t="n">
        <v>6</v>
      </c>
      <c r="K187" t="inlineStr">
        <is>
          <t>On Time</t>
        </is>
      </c>
      <c r="L187" t="n">
        <v>5</v>
      </c>
      <c r="M187">
        <f>VLOOKUP(D187,State_Lookup!$A$2:$B$28,2,FALSE)</f>
        <v/>
      </c>
    </row>
    <row r="188">
      <c r="A188" t="inlineStr">
        <is>
          <t>a811f33c743a891f34de752bba733292</t>
        </is>
      </c>
      <c r="B188" t="inlineStr">
        <is>
          <t>2017-03-10</t>
        </is>
      </c>
      <c r="C188" t="inlineStr">
        <is>
          <t>2017-03</t>
        </is>
      </c>
      <c r="D188" t="inlineStr">
        <is>
          <t>RJ</t>
        </is>
      </c>
      <c r="E188" t="inlineStr">
        <is>
          <t>computers_accessories</t>
        </is>
      </c>
      <c r="F188" t="n">
        <v>1</v>
      </c>
      <c r="G188" t="n">
        <v>159.99</v>
      </c>
      <c r="H188" t="n">
        <v>33.4</v>
      </c>
      <c r="I188" t="inlineStr">
        <is>
          <t>credit_card</t>
        </is>
      </c>
      <c r="J188" t="n">
        <v>9</v>
      </c>
      <c r="K188" t="inlineStr">
        <is>
          <t>On Time</t>
        </is>
      </c>
      <c r="L188" t="n">
        <v>5</v>
      </c>
      <c r="M188">
        <f>VLOOKUP(D188,State_Lookup!$A$2:$B$28,2,FALSE)</f>
        <v/>
      </c>
    </row>
    <row r="189">
      <c r="A189" t="inlineStr">
        <is>
          <t>c07db2ecf8530bd60659764d866467cf</t>
        </is>
      </c>
      <c r="B189" t="inlineStr">
        <is>
          <t>2017-03-10</t>
        </is>
      </c>
      <c r="C189" t="inlineStr">
        <is>
          <t>2017-03</t>
        </is>
      </c>
      <c r="D189" t="inlineStr">
        <is>
          <t>MG</t>
        </is>
      </c>
      <c r="E189" t="inlineStr">
        <is>
          <t>stationery</t>
        </is>
      </c>
      <c r="F189" t="n">
        <v>1</v>
      </c>
      <c r="G189" t="n">
        <v>17.9</v>
      </c>
      <c r="H189" t="n">
        <v>20.43</v>
      </c>
      <c r="I189" t="inlineStr">
        <is>
          <t>voucher</t>
        </is>
      </c>
      <c r="J189" t="n">
        <v>11</v>
      </c>
      <c r="K189" t="inlineStr">
        <is>
          <t>On Time</t>
        </is>
      </c>
      <c r="L189" t="n">
        <v>5</v>
      </c>
      <c r="M189">
        <f>VLOOKUP(D189,State_Lookup!$A$2:$B$28,2,FALSE)</f>
        <v/>
      </c>
    </row>
    <row r="190">
      <c r="A190" t="inlineStr">
        <is>
          <t>cb2ad554e5c2af7151fa9b324750df29</t>
        </is>
      </c>
      <c r="B190" t="inlineStr">
        <is>
          <t>2017-03-10</t>
        </is>
      </c>
      <c r="C190" t="inlineStr">
        <is>
          <t>2017-03</t>
        </is>
      </c>
      <c r="D190" t="inlineStr">
        <is>
          <t>MG</t>
        </is>
      </c>
      <c r="E190" t="inlineStr">
        <is>
          <t>baby</t>
        </is>
      </c>
      <c r="F190" t="n">
        <v>1</v>
      </c>
      <c r="G190" t="n">
        <v>19.9</v>
      </c>
      <c r="H190" t="n">
        <v>14.52</v>
      </c>
      <c r="I190" t="inlineStr">
        <is>
          <t>credit_card</t>
        </is>
      </c>
      <c r="J190" t="n">
        <v>10</v>
      </c>
      <c r="K190" t="inlineStr">
        <is>
          <t>On Time</t>
        </is>
      </c>
      <c r="L190" t="n">
        <v>1</v>
      </c>
      <c r="M190">
        <f>VLOOKUP(D190,State_Lookup!$A$2:$B$28,2,FALSE)</f>
        <v/>
      </c>
    </row>
    <row r="191">
      <c r="A191" t="inlineStr">
        <is>
          <t>026d2c7c84b97eb8854ca3fbdc6ab840</t>
        </is>
      </c>
      <c r="B191" t="inlineStr">
        <is>
          <t>2017-03-11</t>
        </is>
      </c>
      <c r="C191" t="inlineStr">
        <is>
          <t>2017-03</t>
        </is>
      </c>
      <c r="D191" t="inlineStr">
        <is>
          <t>SP</t>
        </is>
      </c>
      <c r="E191" t="inlineStr">
        <is>
          <t>bed_bath_table</t>
        </is>
      </c>
      <c r="F191" t="n">
        <v>1</v>
      </c>
      <c r="G191" t="n">
        <v>184.9</v>
      </c>
      <c r="H191" t="n">
        <v>16.4</v>
      </c>
      <c r="I191" t="inlineStr">
        <is>
          <t>credit_card</t>
        </is>
      </c>
      <c r="J191" t="n">
        <v>9</v>
      </c>
      <c r="K191" t="inlineStr">
        <is>
          <t>On Time</t>
        </is>
      </c>
      <c r="L191" t="n">
        <v>4</v>
      </c>
      <c r="M191">
        <f>VLOOKUP(D191,State_Lookup!$A$2:$B$28,2,FALSE)</f>
        <v/>
      </c>
    </row>
    <row r="192">
      <c r="A192" t="inlineStr">
        <is>
          <t>82ff294d1970490323910cdd6c463977</t>
        </is>
      </c>
      <c r="B192" t="inlineStr">
        <is>
          <t>2017-03-11</t>
        </is>
      </c>
      <c r="C192" t="inlineStr">
        <is>
          <t>2017-03</t>
        </is>
      </c>
      <c r="D192" t="inlineStr">
        <is>
          <t>ES</t>
        </is>
      </c>
      <c r="E192" t="inlineStr">
        <is>
          <t>bed_bath_table</t>
        </is>
      </c>
      <c r="F192" t="n">
        <v>1</v>
      </c>
      <c r="G192" t="n">
        <v>89.90000000000001</v>
      </c>
      <c r="H192" t="n">
        <v>16.33</v>
      </c>
      <c r="I192" t="inlineStr">
        <is>
          <t>credit_card</t>
        </is>
      </c>
      <c r="J192" t="n">
        <v>11</v>
      </c>
      <c r="K192" t="inlineStr">
        <is>
          <t>On Time</t>
        </is>
      </c>
      <c r="L192" t="n">
        <v>5</v>
      </c>
      <c r="M192">
        <f>VLOOKUP(D192,State_Lookup!$A$2:$B$28,2,FALSE)</f>
        <v/>
      </c>
    </row>
    <row r="193">
      <c r="A193" t="inlineStr">
        <is>
          <t>3a1c434d917a8b25f7862cfa17972aae</t>
        </is>
      </c>
      <c r="B193" t="inlineStr">
        <is>
          <t>2017-03-11</t>
        </is>
      </c>
      <c r="C193" t="inlineStr">
        <is>
          <t>2017-03</t>
        </is>
      </c>
      <c r="D193" t="inlineStr">
        <is>
          <t>SP</t>
        </is>
      </c>
      <c r="E193" t="inlineStr">
        <is>
          <t>unknown</t>
        </is>
      </c>
      <c r="F193" t="n">
        <v>1</v>
      </c>
      <c r="G193" t="n">
        <v>34.99</v>
      </c>
      <c r="H193" t="n">
        <v>10.96</v>
      </c>
      <c r="I193" t="inlineStr">
        <is>
          <t>credit_card</t>
        </is>
      </c>
      <c r="J193" t="n">
        <v>9</v>
      </c>
      <c r="K193" t="inlineStr">
        <is>
          <t>On Time</t>
        </is>
      </c>
      <c r="L193" t="n">
        <v>5</v>
      </c>
      <c r="M193">
        <f>VLOOKUP(D193,State_Lookup!$A$2:$B$28,2,FALSE)</f>
        <v/>
      </c>
    </row>
    <row r="194">
      <c r="A194" t="inlineStr">
        <is>
          <t>768351bcdb7630b77da379eb5a54e9b3</t>
        </is>
      </c>
      <c r="B194" t="inlineStr">
        <is>
          <t>2017-03-11</t>
        </is>
      </c>
      <c r="C194" t="inlineStr">
        <is>
          <t>2017-03</t>
        </is>
      </c>
      <c r="D194" t="inlineStr">
        <is>
          <t>MT</t>
        </is>
      </c>
      <c r="E194" t="inlineStr">
        <is>
          <t>electronics</t>
        </is>
      </c>
      <c r="F194" t="n">
        <v>1</v>
      </c>
      <c r="G194" t="n">
        <v>11.99</v>
      </c>
      <c r="H194" t="n">
        <v>20.8</v>
      </c>
      <c r="I194" t="inlineStr">
        <is>
          <t>credit_card</t>
        </is>
      </c>
      <c r="J194" t="n">
        <v>26</v>
      </c>
      <c r="K194" t="inlineStr">
        <is>
          <t>On Time</t>
        </is>
      </c>
      <c r="L194" t="n">
        <v>4</v>
      </c>
      <c r="M194">
        <f>VLOOKUP(D194,State_Lookup!$A$2:$B$28,2,FALSE)</f>
        <v/>
      </c>
    </row>
    <row r="195">
      <c r="A195" t="inlineStr">
        <is>
          <t>9903b060ffcaca9244088e1f834fde2e</t>
        </is>
      </c>
      <c r="B195" t="inlineStr">
        <is>
          <t>2017-03-12</t>
        </is>
      </c>
      <c r="C195" t="inlineStr">
        <is>
          <t>2017-03</t>
        </is>
      </c>
      <c r="D195" t="inlineStr">
        <is>
          <t>SP</t>
        </is>
      </c>
      <c r="E195" t="inlineStr">
        <is>
          <t>dvds_blu_ray</t>
        </is>
      </c>
      <c r="F195" t="n">
        <v>2</v>
      </c>
      <c r="G195" t="n">
        <v>29.8</v>
      </c>
      <c r="H195" t="n">
        <v>35.56</v>
      </c>
      <c r="I195" t="inlineStr">
        <is>
          <t>credit_card</t>
        </is>
      </c>
      <c r="J195" t="n">
        <v>22</v>
      </c>
      <c r="K195" t="inlineStr">
        <is>
          <t>On Time</t>
        </is>
      </c>
      <c r="L195" t="n">
        <v>5</v>
      </c>
      <c r="M195">
        <f>VLOOKUP(D195,State_Lookup!$A$2:$B$28,2,FALSE)</f>
        <v/>
      </c>
    </row>
    <row r="196">
      <c r="A196" t="inlineStr">
        <is>
          <t>cc295a32e72e4ebe54030c6ae3f75066</t>
        </is>
      </c>
      <c r="B196" t="inlineStr">
        <is>
          <t>2017-03-12</t>
        </is>
      </c>
      <c r="C196" t="inlineStr">
        <is>
          <t>2017-03</t>
        </is>
      </c>
      <c r="D196" t="inlineStr">
        <is>
          <t>RJ</t>
        </is>
      </c>
      <c r="E196" t="inlineStr">
        <is>
          <t>luggage_accessories</t>
        </is>
      </c>
      <c r="F196" t="n">
        <v>2</v>
      </c>
      <c r="G196" t="n">
        <v>119.8</v>
      </c>
      <c r="H196" t="n">
        <v>41</v>
      </c>
      <c r="I196" t="inlineStr">
        <is>
          <t>credit_card</t>
        </is>
      </c>
      <c r="J196" t="n">
        <v>4</v>
      </c>
      <c r="K196" t="inlineStr">
        <is>
          <t>On Time</t>
        </is>
      </c>
      <c r="L196" t="n">
        <v>4</v>
      </c>
      <c r="M196">
        <f>VLOOKUP(D196,State_Lookup!$A$2:$B$28,2,FALSE)</f>
        <v/>
      </c>
    </row>
    <row r="197">
      <c r="A197" t="inlineStr">
        <is>
          <t>063a0b076f63cb908176d8c1cc6ec049</t>
        </is>
      </c>
      <c r="B197" t="inlineStr">
        <is>
          <t>2017-03-13</t>
        </is>
      </c>
      <c r="C197" t="inlineStr">
        <is>
          <t>2017-03</t>
        </is>
      </c>
      <c r="D197" t="inlineStr">
        <is>
          <t>RJ</t>
        </is>
      </c>
      <c r="E197" t="inlineStr">
        <is>
          <t>garden_tools</t>
        </is>
      </c>
      <c r="F197" t="n">
        <v>1</v>
      </c>
      <c r="G197" t="n">
        <v>99.98999999999999</v>
      </c>
      <c r="H197" t="n">
        <v>28.89</v>
      </c>
      <c r="I197" t="inlineStr">
        <is>
          <t>credit_card</t>
        </is>
      </c>
      <c r="J197" t="n">
        <v>6</v>
      </c>
      <c r="K197" t="inlineStr">
        <is>
          <t>On Time</t>
        </is>
      </c>
      <c r="L197" t="n">
        <v>2</v>
      </c>
      <c r="M197">
        <f>VLOOKUP(D197,State_Lookup!$A$2:$B$28,2,FALSE)</f>
        <v/>
      </c>
    </row>
    <row r="198">
      <c r="A198" t="inlineStr">
        <is>
          <t>1479096c26c6fa5150e7b39fde03d5d4</t>
        </is>
      </c>
      <c r="B198" t="inlineStr">
        <is>
          <t>2017-03-13</t>
        </is>
      </c>
      <c r="C198" t="inlineStr">
        <is>
          <t>2017-03</t>
        </is>
      </c>
      <c r="D198" t="inlineStr">
        <is>
          <t>SP</t>
        </is>
      </c>
      <c r="E198" t="inlineStr">
        <is>
          <t>home_appliances</t>
        </is>
      </c>
      <c r="F198" t="n">
        <v>1</v>
      </c>
      <c r="G198" t="n">
        <v>39.9</v>
      </c>
      <c r="H198" t="n">
        <v>10.96</v>
      </c>
      <c r="I198" t="inlineStr">
        <is>
          <t>credit_card</t>
        </is>
      </c>
      <c r="J198" t="n">
        <v>9</v>
      </c>
      <c r="K198" t="inlineStr">
        <is>
          <t>On Time</t>
        </is>
      </c>
      <c r="L198" t="n">
        <v>5</v>
      </c>
      <c r="M198">
        <f>VLOOKUP(D198,State_Lookup!$A$2:$B$28,2,FALSE)</f>
        <v/>
      </c>
    </row>
    <row r="199">
      <c r="A199" t="inlineStr">
        <is>
          <t>ee1099f5139597ef759566fd91767968</t>
        </is>
      </c>
      <c r="B199" t="inlineStr">
        <is>
          <t>2017-03-13</t>
        </is>
      </c>
      <c r="C199" t="inlineStr">
        <is>
          <t>2017-03</t>
        </is>
      </c>
      <c r="D199" t="inlineStr">
        <is>
          <t>RJ</t>
        </is>
      </c>
      <c r="E199" t="inlineStr">
        <is>
          <t>furniture_living_room</t>
        </is>
      </c>
      <c r="F199" t="n">
        <v>1</v>
      </c>
      <c r="G199" t="n">
        <v>179.99</v>
      </c>
      <c r="H199" t="n">
        <v>22.73</v>
      </c>
      <c r="I199" t="inlineStr">
        <is>
          <t>credit_card</t>
        </is>
      </c>
      <c r="J199" t="n">
        <v>11</v>
      </c>
      <c r="K199" t="inlineStr">
        <is>
          <t>On Time</t>
        </is>
      </c>
      <c r="L199" t="n">
        <v>4</v>
      </c>
      <c r="M199">
        <f>VLOOKUP(D199,State_Lookup!$A$2:$B$28,2,FALSE)</f>
        <v/>
      </c>
    </row>
    <row r="200">
      <c r="A200" t="inlineStr">
        <is>
          <t>4babf11400453218f9ec503eb43d60cb</t>
        </is>
      </c>
      <c r="B200" t="inlineStr">
        <is>
          <t>2017-03-13</t>
        </is>
      </c>
      <c r="C200" t="inlineStr">
        <is>
          <t>2017-03</t>
        </is>
      </c>
      <c r="D200" t="inlineStr">
        <is>
          <t>SP</t>
        </is>
      </c>
      <c r="E200" t="inlineStr">
        <is>
          <t>furniture_decor</t>
        </is>
      </c>
      <c r="F200" t="n">
        <v>1</v>
      </c>
      <c r="G200" t="n">
        <v>147.7</v>
      </c>
      <c r="H200" t="n">
        <v>14.8</v>
      </c>
      <c r="I200" t="inlineStr">
        <is>
          <t>credit_card</t>
        </is>
      </c>
      <c r="J200" t="n">
        <v>7</v>
      </c>
      <c r="K200" t="inlineStr">
        <is>
          <t>On Time</t>
        </is>
      </c>
      <c r="L200" t="n">
        <v>5</v>
      </c>
      <c r="M200">
        <f>VLOOKUP(D200,State_Lookup!$A$2:$B$28,2,FALSE)</f>
        <v/>
      </c>
    </row>
    <row r="201">
      <c r="A201" t="inlineStr">
        <is>
          <t>55aea3ae93b247a771d01bc39ae5ec45</t>
        </is>
      </c>
      <c r="B201" t="inlineStr">
        <is>
          <t>2017-03-13</t>
        </is>
      </c>
      <c r="C201" t="inlineStr">
        <is>
          <t>2017-03</t>
        </is>
      </c>
      <c r="D201" t="inlineStr">
        <is>
          <t>SP</t>
        </is>
      </c>
      <c r="E201" t="inlineStr">
        <is>
          <t>furniture_decor</t>
        </is>
      </c>
      <c r="F201" t="n">
        <v>1</v>
      </c>
      <c r="G201" t="n">
        <v>159</v>
      </c>
      <c r="H201" t="n">
        <v>20.41</v>
      </c>
      <c r="I201" t="inlineStr">
        <is>
          <t>boleto</t>
        </is>
      </c>
      <c r="J201" t="inlineStr"/>
      <c r="K201" t="inlineStr">
        <is>
          <t>Not Delivered</t>
        </is>
      </c>
      <c r="L201" t="n">
        <v>1</v>
      </c>
      <c r="M201">
        <f>VLOOKUP(D201,State_Lookup!$A$2:$B$28,2,FALSE)</f>
        <v/>
      </c>
    </row>
    <row r="202">
      <c r="A202" t="inlineStr">
        <is>
          <t>474565221e00d78e3862cac801247772</t>
        </is>
      </c>
      <c r="B202" t="inlineStr">
        <is>
          <t>2017-03-13</t>
        </is>
      </c>
      <c r="C202" t="inlineStr">
        <is>
          <t>2017-03</t>
        </is>
      </c>
      <c r="D202" t="inlineStr">
        <is>
          <t>SP</t>
        </is>
      </c>
      <c r="E202" t="inlineStr">
        <is>
          <t>furniture_decor</t>
        </is>
      </c>
      <c r="F202" t="n">
        <v>1</v>
      </c>
      <c r="G202" t="n">
        <v>169.9</v>
      </c>
      <c r="H202" t="n">
        <v>18.48</v>
      </c>
      <c r="I202" t="inlineStr">
        <is>
          <t>credit_card</t>
        </is>
      </c>
      <c r="J202" t="n">
        <v>11</v>
      </c>
      <c r="K202" t="inlineStr">
        <is>
          <t>On Time</t>
        </is>
      </c>
      <c r="L202" t="n">
        <v>5</v>
      </c>
      <c r="M202">
        <f>VLOOKUP(D202,State_Lookup!$A$2:$B$28,2,FALSE)</f>
        <v/>
      </c>
    </row>
    <row r="203">
      <c r="A203" t="inlineStr">
        <is>
          <t>c76b8b4f31097feb8351e62691177012</t>
        </is>
      </c>
      <c r="B203" t="inlineStr">
        <is>
          <t>2017-03-13</t>
        </is>
      </c>
      <c r="C203" t="inlineStr">
        <is>
          <t>2017-03</t>
        </is>
      </c>
      <c r="D203" t="inlineStr">
        <is>
          <t>SP</t>
        </is>
      </c>
      <c r="E203" t="inlineStr">
        <is>
          <t>cool_stuff</t>
        </is>
      </c>
      <c r="F203" t="n">
        <v>1</v>
      </c>
      <c r="G203" t="n">
        <v>129.99</v>
      </c>
      <c r="H203" t="n">
        <v>13.49</v>
      </c>
      <c r="I203" t="inlineStr">
        <is>
          <t>boleto</t>
        </is>
      </c>
      <c r="J203" t="n">
        <v>5</v>
      </c>
      <c r="K203" t="inlineStr">
        <is>
          <t>On Time</t>
        </is>
      </c>
      <c r="L203" t="n">
        <v>4</v>
      </c>
      <c r="M203">
        <f>VLOOKUP(D203,State_Lookup!$A$2:$B$28,2,FALSE)</f>
        <v/>
      </c>
    </row>
    <row r="204">
      <c r="A204" t="inlineStr">
        <is>
          <t>3eae45e1345a16673017c7c36f18ee34</t>
        </is>
      </c>
      <c r="B204" t="inlineStr">
        <is>
          <t>2017-03-13</t>
        </is>
      </c>
      <c r="C204" t="inlineStr">
        <is>
          <t>2017-03</t>
        </is>
      </c>
      <c r="D204" t="inlineStr">
        <is>
          <t>RO</t>
        </is>
      </c>
      <c r="E204" t="inlineStr">
        <is>
          <t>stationery</t>
        </is>
      </c>
      <c r="F204" t="n">
        <v>1</v>
      </c>
      <c r="G204" t="n">
        <v>149</v>
      </c>
      <c r="H204" t="n">
        <v>29.97</v>
      </c>
      <c r="I204" t="inlineStr">
        <is>
          <t>credit_card</t>
        </is>
      </c>
      <c r="J204" t="n">
        <v>15</v>
      </c>
      <c r="K204" t="inlineStr">
        <is>
          <t>On Time</t>
        </is>
      </c>
      <c r="L204" t="n">
        <v>5</v>
      </c>
      <c r="M204">
        <f>VLOOKUP(D204,State_Lookup!$A$2:$B$28,2,FALSE)</f>
        <v/>
      </c>
    </row>
    <row r="205">
      <c r="A205" t="inlineStr">
        <is>
          <t>0d9132dcd087abbb6771db9371e1f951</t>
        </is>
      </c>
      <c r="B205" t="inlineStr">
        <is>
          <t>2017-03-14</t>
        </is>
      </c>
      <c r="C205" t="inlineStr">
        <is>
          <t>2017-03</t>
        </is>
      </c>
      <c r="D205" t="inlineStr">
        <is>
          <t>MG</t>
        </is>
      </c>
      <c r="E205" t="inlineStr">
        <is>
          <t>toys</t>
        </is>
      </c>
      <c r="F205" t="n">
        <v>1</v>
      </c>
      <c r="G205" t="n">
        <v>149.99</v>
      </c>
      <c r="H205" t="n">
        <v>16.26</v>
      </c>
      <c r="I205" t="inlineStr">
        <is>
          <t>boleto</t>
        </is>
      </c>
      <c r="J205" t="n">
        <v>13</v>
      </c>
      <c r="K205" t="inlineStr">
        <is>
          <t>On Time</t>
        </is>
      </c>
      <c r="L205" t="n">
        <v>5</v>
      </c>
      <c r="M205">
        <f>VLOOKUP(D205,State_Lookup!$A$2:$B$28,2,FALSE)</f>
        <v/>
      </c>
    </row>
    <row r="206">
      <c r="A206" t="inlineStr">
        <is>
          <t>4cc5e60f36ca3bdbb07ab8a3c490e15d</t>
        </is>
      </c>
      <c r="B206" t="inlineStr">
        <is>
          <t>2017-03-14</t>
        </is>
      </c>
      <c r="C206" t="inlineStr">
        <is>
          <t>2017-03</t>
        </is>
      </c>
      <c r="D206" t="inlineStr">
        <is>
          <t>SP</t>
        </is>
      </c>
      <c r="E206" t="inlineStr">
        <is>
          <t>furniture_decor</t>
        </is>
      </c>
      <c r="F206" t="n">
        <v>1</v>
      </c>
      <c r="G206" t="n">
        <v>59.9</v>
      </c>
      <c r="H206" t="n">
        <v>9.41</v>
      </c>
      <c r="I206" t="inlineStr">
        <is>
          <t>credit_card</t>
        </is>
      </c>
      <c r="J206" t="n">
        <v>7</v>
      </c>
      <c r="K206" t="inlineStr">
        <is>
          <t>On Time</t>
        </is>
      </c>
      <c r="L206" t="n">
        <v>5</v>
      </c>
      <c r="M206">
        <f>VLOOKUP(D206,State_Lookup!$A$2:$B$28,2,FALSE)</f>
        <v/>
      </c>
    </row>
    <row r="207">
      <c r="A207" t="inlineStr">
        <is>
          <t>a1dadce0e5cbb1b1205017166f6ce7ce</t>
        </is>
      </c>
      <c r="B207" t="inlineStr">
        <is>
          <t>2017-03-14</t>
        </is>
      </c>
      <c r="C207" t="inlineStr">
        <is>
          <t>2017-03</t>
        </is>
      </c>
      <c r="D207" t="inlineStr">
        <is>
          <t>RJ</t>
        </is>
      </c>
      <c r="E207" t="inlineStr">
        <is>
          <t>furniture_decor</t>
        </is>
      </c>
      <c r="F207" t="n">
        <v>1</v>
      </c>
      <c r="G207" t="n">
        <v>29.99</v>
      </c>
      <c r="H207" t="n">
        <v>14.11</v>
      </c>
      <c r="I207" t="inlineStr">
        <is>
          <t>credit_card</t>
        </is>
      </c>
      <c r="J207" t="n">
        <v>7</v>
      </c>
      <c r="K207" t="inlineStr">
        <is>
          <t>On Time</t>
        </is>
      </c>
      <c r="L207" t="n">
        <v>5</v>
      </c>
      <c r="M207">
        <f>VLOOKUP(D207,State_Lookup!$A$2:$B$28,2,FALSE)</f>
        <v/>
      </c>
    </row>
    <row r="208">
      <c r="A208" t="inlineStr">
        <is>
          <t>abddcf171f361ed313e1f191d71d046a</t>
        </is>
      </c>
      <c r="B208" t="inlineStr">
        <is>
          <t>2017-03-14</t>
        </is>
      </c>
      <c r="C208" t="inlineStr">
        <is>
          <t>2017-03</t>
        </is>
      </c>
      <c r="D208" t="inlineStr">
        <is>
          <t>BA</t>
        </is>
      </c>
      <c r="E208" t="inlineStr">
        <is>
          <t>health_beauty</t>
        </is>
      </c>
      <c r="F208" t="n">
        <v>1</v>
      </c>
      <c r="G208" t="n">
        <v>458.85</v>
      </c>
      <c r="H208" t="n">
        <v>24.71</v>
      </c>
      <c r="I208" t="inlineStr">
        <is>
          <t>credit_card</t>
        </is>
      </c>
      <c r="J208" t="n">
        <v>24</v>
      </c>
      <c r="K208" t="inlineStr">
        <is>
          <t>On Time</t>
        </is>
      </c>
      <c r="L208" t="n">
        <v>4</v>
      </c>
      <c r="M208">
        <f>VLOOKUP(D208,State_Lookup!$A$2:$B$28,2,FALSE)</f>
        <v/>
      </c>
    </row>
    <row r="209">
      <c r="A209" t="inlineStr">
        <is>
          <t>58300b00ad189113ddb608765a954301</t>
        </is>
      </c>
      <c r="B209" t="inlineStr">
        <is>
          <t>2017-03-14</t>
        </is>
      </c>
      <c r="C209" t="inlineStr">
        <is>
          <t>2017-03</t>
        </is>
      </c>
      <c r="D209" t="inlineStr">
        <is>
          <t>RJ</t>
        </is>
      </c>
      <c r="E209" t="inlineStr">
        <is>
          <t>office_furniture</t>
        </is>
      </c>
      <c r="F209" t="n">
        <v>1</v>
      </c>
      <c r="G209" t="n">
        <v>119.99</v>
      </c>
      <c r="H209" t="n">
        <v>15.01</v>
      </c>
      <c r="I209" t="inlineStr">
        <is>
          <t>credit_card</t>
        </is>
      </c>
      <c r="J209" t="n">
        <v>13</v>
      </c>
      <c r="K209" t="inlineStr">
        <is>
          <t>On Time</t>
        </is>
      </c>
      <c r="L209" t="n">
        <v>5</v>
      </c>
      <c r="M209">
        <f>VLOOKUP(D209,State_Lookup!$A$2:$B$28,2,FALSE)</f>
        <v/>
      </c>
    </row>
    <row r="210">
      <c r="A210" t="inlineStr">
        <is>
          <t>fde57015e8a551f04dac99621c01678b</t>
        </is>
      </c>
      <c r="B210" t="inlineStr">
        <is>
          <t>2017-03-15</t>
        </is>
      </c>
      <c r="C210" t="inlineStr">
        <is>
          <t>2017-03</t>
        </is>
      </c>
      <c r="D210" t="inlineStr">
        <is>
          <t>RJ</t>
        </is>
      </c>
      <c r="E210" t="inlineStr">
        <is>
          <t>perfumery</t>
        </is>
      </c>
      <c r="F210" t="n">
        <v>1</v>
      </c>
      <c r="G210" t="n">
        <v>379.9</v>
      </c>
      <c r="H210" t="n">
        <v>18.36</v>
      </c>
      <c r="I210" t="inlineStr">
        <is>
          <t>credit_card</t>
        </is>
      </c>
      <c r="J210" t="n">
        <v>11</v>
      </c>
      <c r="K210" t="inlineStr">
        <is>
          <t>On Time</t>
        </is>
      </c>
      <c r="L210" t="n">
        <v>4</v>
      </c>
      <c r="M210">
        <f>VLOOKUP(D210,State_Lookup!$A$2:$B$28,2,FALSE)</f>
        <v/>
      </c>
    </row>
    <row r="211">
      <c r="A211" t="inlineStr">
        <is>
          <t>236d21060f892e44cfdfb2846ea93133</t>
        </is>
      </c>
      <c r="B211" t="inlineStr">
        <is>
          <t>2017-03-15</t>
        </is>
      </c>
      <c r="C211" t="inlineStr">
        <is>
          <t>2017-03</t>
        </is>
      </c>
      <c r="D211" t="inlineStr">
        <is>
          <t>SP</t>
        </is>
      </c>
      <c r="E211" t="inlineStr">
        <is>
          <t>luggage_accessories</t>
        </is>
      </c>
      <c r="F211" t="n">
        <v>1</v>
      </c>
      <c r="G211" t="n">
        <v>259</v>
      </c>
      <c r="H211" t="n">
        <v>12.42</v>
      </c>
      <c r="I211" t="inlineStr">
        <is>
          <t>boleto</t>
        </is>
      </c>
      <c r="J211" t="n">
        <v>5</v>
      </c>
      <c r="K211" t="inlineStr">
        <is>
          <t>On Time</t>
        </is>
      </c>
      <c r="L211" t="n">
        <v>5</v>
      </c>
      <c r="M211">
        <f>VLOOKUP(D211,State_Lookup!$A$2:$B$28,2,FALSE)</f>
        <v/>
      </c>
    </row>
    <row r="212">
      <c r="A212" t="inlineStr">
        <is>
          <t>9d1f30c30b178f88dc63a40f36298ee3</t>
        </is>
      </c>
      <c r="B212" t="inlineStr">
        <is>
          <t>2017-03-15</t>
        </is>
      </c>
      <c r="C212" t="inlineStr">
        <is>
          <t>2017-03</t>
        </is>
      </c>
      <c r="D212" t="inlineStr">
        <is>
          <t>SP</t>
        </is>
      </c>
      <c r="E212" t="inlineStr">
        <is>
          <t>bed_bath_table</t>
        </is>
      </c>
      <c r="F212" t="n">
        <v>1</v>
      </c>
      <c r="G212" t="n">
        <v>174.9</v>
      </c>
      <c r="H212" t="n">
        <v>16.33</v>
      </c>
      <c r="I212" t="inlineStr">
        <is>
          <t>credit_card</t>
        </is>
      </c>
      <c r="J212" t="n">
        <v>23</v>
      </c>
      <c r="K212" t="inlineStr">
        <is>
          <t>Late</t>
        </is>
      </c>
      <c r="L212" t="n">
        <v>5</v>
      </c>
      <c r="M212">
        <f>VLOOKUP(D212,State_Lookup!$A$2:$B$28,2,FALSE)</f>
        <v/>
      </c>
    </row>
    <row r="213">
      <c r="A213" t="inlineStr">
        <is>
          <t>058350ebe1e9c9b426d1331b4b6063d1</t>
        </is>
      </c>
      <c r="B213" t="inlineStr">
        <is>
          <t>2017-03-15</t>
        </is>
      </c>
      <c r="C213" t="inlineStr">
        <is>
          <t>2017-03</t>
        </is>
      </c>
      <c r="D213" t="inlineStr">
        <is>
          <t>RS</t>
        </is>
      </c>
      <c r="E213" t="inlineStr">
        <is>
          <t>toys</t>
        </is>
      </c>
      <c r="F213" t="n">
        <v>1</v>
      </c>
      <c r="G213" t="n">
        <v>42.99</v>
      </c>
      <c r="H213" t="n">
        <v>15.65</v>
      </c>
      <c r="I213" t="inlineStr">
        <is>
          <t>credit_card</t>
        </is>
      </c>
      <c r="J213" t="n">
        <v>15</v>
      </c>
      <c r="K213" t="inlineStr">
        <is>
          <t>On Time</t>
        </is>
      </c>
      <c r="L213" t="n">
        <v>4</v>
      </c>
      <c r="M213">
        <f>VLOOKUP(D213,State_Lookup!$A$2:$B$28,2,FALSE)</f>
        <v/>
      </c>
    </row>
    <row r="214">
      <c r="A214" t="inlineStr">
        <is>
          <t>543a9bf05657bd3c5099de23d13139a1</t>
        </is>
      </c>
      <c r="B214" t="inlineStr">
        <is>
          <t>2017-03-15</t>
        </is>
      </c>
      <c r="C214" t="inlineStr">
        <is>
          <t>2017-03</t>
        </is>
      </c>
      <c r="D214" t="inlineStr">
        <is>
          <t>BA</t>
        </is>
      </c>
      <c r="E214" t="inlineStr">
        <is>
          <t>furniture_decor</t>
        </is>
      </c>
      <c r="F214" t="n">
        <v>2</v>
      </c>
      <c r="G214" t="n">
        <v>259.8</v>
      </c>
      <c r="H214" t="n">
        <v>61.89</v>
      </c>
      <c r="I214" t="inlineStr">
        <is>
          <t>credit_card</t>
        </is>
      </c>
      <c r="J214" t="n">
        <v>13</v>
      </c>
      <c r="K214" t="inlineStr">
        <is>
          <t>On Time</t>
        </is>
      </c>
      <c r="L214" t="n">
        <v>5</v>
      </c>
      <c r="M214">
        <f>VLOOKUP(D214,State_Lookup!$A$2:$B$28,2,FALSE)</f>
        <v/>
      </c>
    </row>
    <row r="215">
      <c r="A215" t="inlineStr">
        <is>
          <t>025c72e88fbf2358be05c594d4ad5091</t>
        </is>
      </c>
      <c r="B215" t="inlineStr">
        <is>
          <t>2017-03-15</t>
        </is>
      </c>
      <c r="C215" t="inlineStr">
        <is>
          <t>2017-03</t>
        </is>
      </c>
      <c r="D215" t="inlineStr">
        <is>
          <t>GO</t>
        </is>
      </c>
      <c r="E215" t="inlineStr">
        <is>
          <t>telephony</t>
        </is>
      </c>
      <c r="F215" t="n">
        <v>2</v>
      </c>
      <c r="G215" t="n">
        <v>39.8</v>
      </c>
      <c r="H215" t="n">
        <v>41.6</v>
      </c>
      <c r="I215" t="inlineStr">
        <is>
          <t>credit_card</t>
        </is>
      </c>
      <c r="J215" t="n">
        <v>12</v>
      </c>
      <c r="K215" t="inlineStr">
        <is>
          <t>On Time</t>
        </is>
      </c>
      <c r="L215" t="n">
        <v>3</v>
      </c>
      <c r="M215">
        <f>VLOOKUP(D215,State_Lookup!$A$2:$B$28,2,FALSE)</f>
        <v/>
      </c>
    </row>
    <row r="216">
      <c r="A216" t="inlineStr">
        <is>
          <t>05608987284e4c496bec56c52fdb0a6c</t>
        </is>
      </c>
      <c r="B216" t="inlineStr">
        <is>
          <t>2017-03-15</t>
        </is>
      </c>
      <c r="C216" t="inlineStr">
        <is>
          <t>2017-03</t>
        </is>
      </c>
      <c r="D216" t="inlineStr">
        <is>
          <t>SC</t>
        </is>
      </c>
      <c r="E216" t="inlineStr">
        <is>
          <t>computers_accessories</t>
        </is>
      </c>
      <c r="F216" t="n">
        <v>1</v>
      </c>
      <c r="G216" t="n">
        <v>209.5</v>
      </c>
      <c r="H216" t="n">
        <v>15.64</v>
      </c>
      <c r="I216" t="inlineStr">
        <is>
          <t>boleto</t>
        </is>
      </c>
      <c r="J216" t="n">
        <v>14</v>
      </c>
      <c r="K216" t="inlineStr">
        <is>
          <t>On Time</t>
        </is>
      </c>
      <c r="L216" t="n">
        <v>5</v>
      </c>
      <c r="M216">
        <f>VLOOKUP(D216,State_Lookup!$A$2:$B$28,2,FALSE)</f>
        <v/>
      </c>
    </row>
    <row r="217">
      <c r="A217" t="inlineStr">
        <is>
          <t>4f7e7115e9774e0a45e016fa2cbe4b75</t>
        </is>
      </c>
      <c r="B217" t="inlineStr">
        <is>
          <t>2017-03-15</t>
        </is>
      </c>
      <c r="C217" t="inlineStr">
        <is>
          <t>2017-03</t>
        </is>
      </c>
      <c r="D217" t="inlineStr">
        <is>
          <t>MG</t>
        </is>
      </c>
      <c r="E217" t="inlineStr">
        <is>
          <t>watches_gifts</t>
        </is>
      </c>
      <c r="F217" t="n">
        <v>1</v>
      </c>
      <c r="G217" t="n">
        <v>285.6</v>
      </c>
      <c r="H217" t="n">
        <v>16.17</v>
      </c>
      <c r="I217" t="inlineStr">
        <is>
          <t>credit_card</t>
        </is>
      </c>
      <c r="J217" t="n">
        <v>8</v>
      </c>
      <c r="K217" t="inlineStr">
        <is>
          <t>On Time</t>
        </is>
      </c>
      <c r="L217" t="n">
        <v>5</v>
      </c>
      <c r="M217">
        <f>VLOOKUP(D217,State_Lookup!$A$2:$B$28,2,FALSE)</f>
        <v/>
      </c>
    </row>
    <row r="218">
      <c r="A218" t="inlineStr">
        <is>
          <t>1613193aa6cbc8820d6b5c12536722a0</t>
        </is>
      </c>
      <c r="B218" t="inlineStr">
        <is>
          <t>2017-03-15</t>
        </is>
      </c>
      <c r="C218" t="inlineStr">
        <is>
          <t>2017-03</t>
        </is>
      </c>
      <c r="D218" t="inlineStr">
        <is>
          <t>BA</t>
        </is>
      </c>
      <c r="E218" t="inlineStr">
        <is>
          <t>cool_stuff</t>
        </is>
      </c>
      <c r="F218" t="n">
        <v>1</v>
      </c>
      <c r="G218" t="n">
        <v>199</v>
      </c>
      <c r="H218" t="n">
        <v>32.99</v>
      </c>
      <c r="I218" t="inlineStr">
        <is>
          <t>credit_card</t>
        </is>
      </c>
      <c r="J218" t="n">
        <v>33</v>
      </c>
      <c r="K218" t="inlineStr">
        <is>
          <t>On Time</t>
        </is>
      </c>
      <c r="L218" t="n">
        <v>5</v>
      </c>
      <c r="M218">
        <f>VLOOKUP(D218,State_Lookup!$A$2:$B$28,2,FALSE)</f>
        <v/>
      </c>
    </row>
    <row r="219">
      <c r="A219" t="inlineStr">
        <is>
          <t>8ccca2b704c41f41ce4d2f2602031691</t>
        </is>
      </c>
      <c r="B219" t="inlineStr">
        <is>
          <t>2017-03-16</t>
        </is>
      </c>
      <c r="C219" t="inlineStr">
        <is>
          <t>2017-03</t>
        </is>
      </c>
      <c r="D219" t="inlineStr">
        <is>
          <t>SP</t>
        </is>
      </c>
      <c r="E219" t="inlineStr">
        <is>
          <t>bed_bath_table</t>
        </is>
      </c>
      <c r="F219" t="n">
        <v>1</v>
      </c>
      <c r="G219" t="n">
        <v>13.9</v>
      </c>
      <c r="H219" t="n">
        <v>10.96</v>
      </c>
      <c r="I219" t="inlineStr">
        <is>
          <t>boleto</t>
        </is>
      </c>
      <c r="J219" t="inlineStr"/>
      <c r="K219" t="inlineStr">
        <is>
          <t>Not Delivered</t>
        </is>
      </c>
      <c r="L219" t="n">
        <v>1</v>
      </c>
      <c r="M219">
        <f>VLOOKUP(D219,State_Lookup!$A$2:$B$28,2,FALSE)</f>
        <v/>
      </c>
    </row>
    <row r="220">
      <c r="A220" t="inlineStr">
        <is>
          <t>c290cb2817cca2e8d2656617d17acfad</t>
        </is>
      </c>
      <c r="B220" t="inlineStr">
        <is>
          <t>2017-03-16</t>
        </is>
      </c>
      <c r="C220" t="inlineStr">
        <is>
          <t>2017-03</t>
        </is>
      </c>
      <c r="D220" t="inlineStr">
        <is>
          <t>MG</t>
        </is>
      </c>
      <c r="E220" t="inlineStr">
        <is>
          <t>computers_accessories</t>
        </is>
      </c>
      <c r="F220" t="n">
        <v>1</v>
      </c>
      <c r="G220" t="n">
        <v>24.9</v>
      </c>
      <c r="H220" t="n">
        <v>8.720000000000001</v>
      </c>
      <c r="I220" t="inlineStr">
        <is>
          <t>credit_card</t>
        </is>
      </c>
      <c r="J220" t="n">
        <v>3</v>
      </c>
      <c r="K220" t="inlineStr">
        <is>
          <t>On Time</t>
        </is>
      </c>
      <c r="L220" t="n">
        <v>5</v>
      </c>
      <c r="M220">
        <f>VLOOKUP(D220,State_Lookup!$A$2:$B$28,2,FALSE)</f>
        <v/>
      </c>
    </row>
    <row r="221">
      <c r="A221" t="inlineStr">
        <is>
          <t>9475f5241a5ee6260ce4aee70f4e7ca5</t>
        </is>
      </c>
      <c r="B221" t="inlineStr">
        <is>
          <t>2017-03-16</t>
        </is>
      </c>
      <c r="C221" t="inlineStr">
        <is>
          <t>2017-03</t>
        </is>
      </c>
      <c r="D221" t="inlineStr">
        <is>
          <t>SP</t>
        </is>
      </c>
      <c r="E221" t="inlineStr">
        <is>
          <t>perfumery</t>
        </is>
      </c>
      <c r="F221" t="n">
        <v>1</v>
      </c>
      <c r="G221" t="n">
        <v>56.99</v>
      </c>
      <c r="H221" t="n">
        <v>11.01</v>
      </c>
      <c r="I221" t="inlineStr">
        <is>
          <t>credit_card</t>
        </is>
      </c>
      <c r="J221" t="n">
        <v>13</v>
      </c>
      <c r="K221" t="inlineStr">
        <is>
          <t>On Time</t>
        </is>
      </c>
      <c r="L221" t="n">
        <v>5</v>
      </c>
      <c r="M221">
        <f>VLOOKUP(D221,State_Lookup!$A$2:$B$28,2,FALSE)</f>
        <v/>
      </c>
    </row>
    <row r="222">
      <c r="A222" t="inlineStr">
        <is>
          <t>9c1b3da77c4477dc54252547b9f93312</t>
        </is>
      </c>
      <c r="B222" t="inlineStr">
        <is>
          <t>2017-03-16</t>
        </is>
      </c>
      <c r="C222" t="inlineStr">
        <is>
          <t>2017-03</t>
        </is>
      </c>
      <c r="D222" t="inlineStr">
        <is>
          <t>SP</t>
        </is>
      </c>
      <c r="E222" t="inlineStr">
        <is>
          <t>garden_tools</t>
        </is>
      </c>
      <c r="F222" t="n">
        <v>1</v>
      </c>
      <c r="G222" t="n">
        <v>34.9</v>
      </c>
      <c r="H222" t="n">
        <v>10.96</v>
      </c>
      <c r="I222" t="inlineStr">
        <is>
          <t>credit_card</t>
        </is>
      </c>
      <c r="J222" t="n">
        <v>4</v>
      </c>
      <c r="K222" t="inlineStr">
        <is>
          <t>On Time</t>
        </is>
      </c>
      <c r="L222" t="n">
        <v>4</v>
      </c>
      <c r="M222">
        <f>VLOOKUP(D222,State_Lookup!$A$2:$B$28,2,FALSE)</f>
        <v/>
      </c>
    </row>
    <row r="223">
      <c r="A223" t="inlineStr">
        <is>
          <t>e45adf5c3dac199c3e6db68dc225d2cd</t>
        </is>
      </c>
      <c r="B223" t="inlineStr">
        <is>
          <t>2017-03-16</t>
        </is>
      </c>
      <c r="C223" t="inlineStr">
        <is>
          <t>2017-03</t>
        </is>
      </c>
      <c r="D223" t="inlineStr">
        <is>
          <t>PR</t>
        </is>
      </c>
      <c r="E223" t="inlineStr">
        <is>
          <t>fashion_bags_accessories</t>
        </is>
      </c>
      <c r="F223" t="n">
        <v>1</v>
      </c>
      <c r="G223" t="n">
        <v>23.2</v>
      </c>
      <c r="H223" t="n">
        <v>14.52</v>
      </c>
      <c r="I223" t="inlineStr">
        <is>
          <t>credit_card</t>
        </is>
      </c>
      <c r="J223" t="n">
        <v>10</v>
      </c>
      <c r="K223" t="inlineStr">
        <is>
          <t>On Time</t>
        </is>
      </c>
      <c r="L223" t="n">
        <v>5</v>
      </c>
      <c r="M223">
        <f>VLOOKUP(D223,State_Lookup!$A$2:$B$28,2,FALSE)</f>
        <v/>
      </c>
    </row>
    <row r="224">
      <c r="A224" t="inlineStr">
        <is>
          <t>3514fd00653caace61ea8ad6cd20c017</t>
        </is>
      </c>
      <c r="B224" t="inlineStr">
        <is>
          <t>2017-03-16</t>
        </is>
      </c>
      <c r="C224" t="inlineStr">
        <is>
          <t>2017-03</t>
        </is>
      </c>
      <c r="D224" t="inlineStr">
        <is>
          <t>SP</t>
        </is>
      </c>
      <c r="E224" t="inlineStr">
        <is>
          <t>bed_bath_table</t>
        </is>
      </c>
      <c r="F224" t="n">
        <v>1</v>
      </c>
      <c r="G224" t="n">
        <v>47</v>
      </c>
      <c r="H224" t="n">
        <v>8.720000000000001</v>
      </c>
      <c r="I224" t="inlineStr">
        <is>
          <t>credit_card</t>
        </is>
      </c>
      <c r="J224" t="n">
        <v>33</v>
      </c>
      <c r="K224" t="inlineStr">
        <is>
          <t>On Time</t>
        </is>
      </c>
      <c r="L224" t="n">
        <v>5</v>
      </c>
      <c r="M224">
        <f>VLOOKUP(D224,State_Lookup!$A$2:$B$28,2,FALSE)</f>
        <v/>
      </c>
    </row>
    <row r="225">
      <c r="A225" t="inlineStr">
        <is>
          <t>87e1feb622e373e4f0d2cceb1f610886</t>
        </is>
      </c>
      <c r="B225" t="inlineStr">
        <is>
          <t>2017-03-16</t>
        </is>
      </c>
      <c r="C225" t="inlineStr">
        <is>
          <t>2017-03</t>
        </is>
      </c>
      <c r="D225" t="inlineStr">
        <is>
          <t>MG</t>
        </is>
      </c>
      <c r="E225" t="inlineStr">
        <is>
          <t>furniture_decor</t>
        </is>
      </c>
      <c r="F225" t="n">
        <v>1</v>
      </c>
      <c r="G225" t="n">
        <v>50</v>
      </c>
      <c r="H225" t="n">
        <v>10.96</v>
      </c>
      <c r="I225" t="inlineStr">
        <is>
          <t>boleto</t>
        </is>
      </c>
      <c r="J225" t="n">
        <v>10</v>
      </c>
      <c r="K225" t="inlineStr">
        <is>
          <t>On Time</t>
        </is>
      </c>
      <c r="L225" t="n">
        <v>5</v>
      </c>
      <c r="M225">
        <f>VLOOKUP(D225,State_Lookup!$A$2:$B$28,2,FALSE)</f>
        <v/>
      </c>
    </row>
    <row r="226">
      <c r="A226" t="inlineStr">
        <is>
          <t>cee0d3db23e58081262faf1ee22ded6d</t>
        </is>
      </c>
      <c r="B226" t="inlineStr">
        <is>
          <t>2017-03-17</t>
        </is>
      </c>
      <c r="C226" t="inlineStr">
        <is>
          <t>2017-03</t>
        </is>
      </c>
      <c r="D226" t="inlineStr">
        <is>
          <t>SP</t>
        </is>
      </c>
      <c r="E226" t="inlineStr">
        <is>
          <t>health_beauty</t>
        </is>
      </c>
      <c r="F226" t="n">
        <v>1</v>
      </c>
      <c r="G226" t="n">
        <v>89.98999999999999</v>
      </c>
      <c r="H226" t="n">
        <v>11.24</v>
      </c>
      <c r="I226" t="inlineStr">
        <is>
          <t>credit_card</t>
        </is>
      </c>
      <c r="J226" t="n">
        <v>10</v>
      </c>
      <c r="K226" t="inlineStr">
        <is>
          <t>On Time</t>
        </is>
      </c>
      <c r="L226" t="n">
        <v>5</v>
      </c>
      <c r="M226">
        <f>VLOOKUP(D226,State_Lookup!$A$2:$B$28,2,FALSE)</f>
        <v/>
      </c>
    </row>
    <row r="227">
      <c r="A227" t="inlineStr">
        <is>
          <t>1ec8ab9b7dc304ec05a9e96f6a25217c</t>
        </is>
      </c>
      <c r="B227" t="inlineStr">
        <is>
          <t>2017-03-17</t>
        </is>
      </c>
      <c r="C227" t="inlineStr">
        <is>
          <t>2017-03</t>
        </is>
      </c>
      <c r="D227" t="inlineStr">
        <is>
          <t>PR</t>
        </is>
      </c>
      <c r="E227" t="inlineStr">
        <is>
          <t>sports_leisure</t>
        </is>
      </c>
      <c r="F227" t="n">
        <v>1</v>
      </c>
      <c r="G227" t="n">
        <v>149.99</v>
      </c>
      <c r="H227" t="n">
        <v>16.16</v>
      </c>
      <c r="I227" t="inlineStr">
        <is>
          <t>boleto</t>
        </is>
      </c>
      <c r="J227" t="n">
        <v>11</v>
      </c>
      <c r="K227" t="inlineStr">
        <is>
          <t>On Time</t>
        </is>
      </c>
      <c r="L227" t="n">
        <v>5</v>
      </c>
      <c r="M227">
        <f>VLOOKUP(D227,State_Lookup!$A$2:$B$28,2,FALSE)</f>
        <v/>
      </c>
    </row>
    <row r="228">
      <c r="A228" t="inlineStr">
        <is>
          <t>b924118c3a34d6bc9287362a7dc8fbc6</t>
        </is>
      </c>
      <c r="B228" t="inlineStr">
        <is>
          <t>2017-03-17</t>
        </is>
      </c>
      <c r="C228" t="inlineStr">
        <is>
          <t>2017-03</t>
        </is>
      </c>
      <c r="D228" t="inlineStr">
        <is>
          <t>SP</t>
        </is>
      </c>
      <c r="E228" t="inlineStr">
        <is>
          <t>air_conditioning</t>
        </is>
      </c>
      <c r="F228" t="n">
        <v>1</v>
      </c>
      <c r="G228" t="n">
        <v>59.9</v>
      </c>
      <c r="H228" t="n">
        <v>15.63</v>
      </c>
      <c r="I228" t="inlineStr">
        <is>
          <t>credit_card</t>
        </is>
      </c>
      <c r="J228" t="n">
        <v>5</v>
      </c>
      <c r="K228" t="inlineStr">
        <is>
          <t>On Time</t>
        </is>
      </c>
      <c r="L228" t="n">
        <v>5</v>
      </c>
      <c r="M228">
        <f>VLOOKUP(D228,State_Lookup!$A$2:$B$28,2,FALSE)</f>
        <v/>
      </c>
    </row>
    <row r="229">
      <c r="A229" t="inlineStr">
        <is>
          <t>031cf625cad56f5761e51c2675f0c0ae</t>
        </is>
      </c>
      <c r="B229" t="inlineStr">
        <is>
          <t>2017-03-18</t>
        </is>
      </c>
      <c r="C229" t="inlineStr">
        <is>
          <t>2017-03</t>
        </is>
      </c>
      <c r="D229" t="inlineStr">
        <is>
          <t>MA</t>
        </is>
      </c>
      <c r="E229" t="inlineStr">
        <is>
          <t>perfumery</t>
        </is>
      </c>
      <c r="F229" t="n">
        <v>1</v>
      </c>
      <c r="G229" t="n">
        <v>56.99</v>
      </c>
      <c r="H229" t="n">
        <v>24.89</v>
      </c>
      <c r="I229" t="inlineStr">
        <is>
          <t>credit_card</t>
        </is>
      </c>
      <c r="J229" t="n">
        <v>17</v>
      </c>
      <c r="K229" t="inlineStr">
        <is>
          <t>On Time</t>
        </is>
      </c>
      <c r="L229" t="n">
        <v>3</v>
      </c>
      <c r="M229">
        <f>VLOOKUP(D229,State_Lookup!$A$2:$B$28,2,FALSE)</f>
        <v/>
      </c>
    </row>
    <row r="230">
      <c r="A230" t="inlineStr">
        <is>
          <t>3c415210065a46fd831a05ef3fec9639</t>
        </is>
      </c>
      <c r="B230" t="inlineStr">
        <is>
          <t>2017-03-18</t>
        </is>
      </c>
      <c r="C230" t="inlineStr">
        <is>
          <t>2017-03</t>
        </is>
      </c>
      <c r="D230" t="inlineStr">
        <is>
          <t>RS</t>
        </is>
      </c>
      <c r="E230" t="inlineStr">
        <is>
          <t>baby</t>
        </is>
      </c>
      <c r="F230" t="n">
        <v>1</v>
      </c>
      <c r="G230" t="n">
        <v>159.9</v>
      </c>
      <c r="H230" t="n">
        <v>16.33</v>
      </c>
      <c r="I230" t="inlineStr">
        <is>
          <t>credit_card</t>
        </is>
      </c>
      <c r="J230" t="n">
        <v>9</v>
      </c>
      <c r="K230" t="inlineStr">
        <is>
          <t>On Time</t>
        </is>
      </c>
      <c r="L230" t="n">
        <v>5</v>
      </c>
      <c r="M230">
        <f>VLOOKUP(D230,State_Lookup!$A$2:$B$28,2,FALSE)</f>
        <v/>
      </c>
    </row>
    <row r="231">
      <c r="A231" t="inlineStr">
        <is>
          <t>93dbcae5a986d0f7103a0bc2929e7f18</t>
        </is>
      </c>
      <c r="B231" t="inlineStr">
        <is>
          <t>2017-03-18</t>
        </is>
      </c>
      <c r="C231" t="inlineStr">
        <is>
          <t>2017-03</t>
        </is>
      </c>
      <c r="D231" t="inlineStr">
        <is>
          <t>SP</t>
        </is>
      </c>
      <c r="E231" t="inlineStr">
        <is>
          <t>food</t>
        </is>
      </c>
      <c r="F231" t="n">
        <v>1</v>
      </c>
      <c r="G231" t="n">
        <v>177</v>
      </c>
      <c r="H231" t="n">
        <v>11.85</v>
      </c>
      <c r="I231" t="inlineStr">
        <is>
          <t>credit_card</t>
        </is>
      </c>
      <c r="J231" t="n">
        <v>10</v>
      </c>
      <c r="K231" t="inlineStr">
        <is>
          <t>On Time</t>
        </is>
      </c>
      <c r="L231" t="n">
        <v>1</v>
      </c>
      <c r="M231">
        <f>VLOOKUP(D231,State_Lookup!$A$2:$B$28,2,FALSE)</f>
        <v/>
      </c>
    </row>
    <row r="232">
      <c r="A232" t="inlineStr">
        <is>
          <t>af7ae6bafcf0885e40e8c5fd1ef4c745</t>
        </is>
      </c>
      <c r="B232" t="inlineStr">
        <is>
          <t>2017-03-19</t>
        </is>
      </c>
      <c r="C232" t="inlineStr">
        <is>
          <t>2017-03</t>
        </is>
      </c>
      <c r="D232" t="inlineStr">
        <is>
          <t>SP</t>
        </is>
      </c>
      <c r="E232" t="inlineStr">
        <is>
          <t>perfumery</t>
        </is>
      </c>
      <c r="F232" t="n">
        <v>1</v>
      </c>
      <c r="G232" t="n">
        <v>319.9</v>
      </c>
      <c r="H232" t="n">
        <v>16.41</v>
      </c>
      <c r="I232" t="inlineStr">
        <is>
          <t>credit_card</t>
        </is>
      </c>
      <c r="J232" t="n">
        <v>9</v>
      </c>
      <c r="K232" t="inlineStr">
        <is>
          <t>On Time</t>
        </is>
      </c>
      <c r="L232" t="n">
        <v>5</v>
      </c>
      <c r="M232">
        <f>VLOOKUP(D232,State_Lookup!$A$2:$B$28,2,FALSE)</f>
        <v/>
      </c>
    </row>
    <row r="233">
      <c r="A233" t="inlineStr">
        <is>
          <t>95a08547138ca5fa14fae54639939af6</t>
        </is>
      </c>
      <c r="B233" t="inlineStr">
        <is>
          <t>2017-03-19</t>
        </is>
      </c>
      <c r="C233" t="inlineStr">
        <is>
          <t>2017-03</t>
        </is>
      </c>
      <c r="D233" t="inlineStr">
        <is>
          <t>SP</t>
        </is>
      </c>
      <c r="E233" t="inlineStr">
        <is>
          <t>furniture_decor</t>
        </is>
      </c>
      <c r="F233" t="n">
        <v>1</v>
      </c>
      <c r="G233" t="n">
        <v>119.9</v>
      </c>
      <c r="H233" t="n">
        <v>22.31</v>
      </c>
      <c r="I233" t="inlineStr">
        <is>
          <t>credit_card</t>
        </is>
      </c>
      <c r="J233" t="n">
        <v>4</v>
      </c>
      <c r="K233" t="inlineStr">
        <is>
          <t>On Time</t>
        </is>
      </c>
      <c r="L233" t="n">
        <v>1</v>
      </c>
      <c r="M233">
        <f>VLOOKUP(D233,State_Lookup!$A$2:$B$28,2,FALSE)</f>
        <v/>
      </c>
    </row>
    <row r="234">
      <c r="A234" t="inlineStr">
        <is>
          <t>76d449452dff60240f1b694b46d44bdb</t>
        </is>
      </c>
      <c r="B234" t="inlineStr">
        <is>
          <t>2017-03-19</t>
        </is>
      </c>
      <c r="C234" t="inlineStr">
        <is>
          <t>2017-03</t>
        </is>
      </c>
      <c r="D234" t="inlineStr">
        <is>
          <t>SP</t>
        </is>
      </c>
      <c r="E234" t="inlineStr">
        <is>
          <t>housewares</t>
        </is>
      </c>
      <c r="F234" t="n">
        <v>1</v>
      </c>
      <c r="G234" t="n">
        <v>89.90000000000001</v>
      </c>
      <c r="H234" t="n">
        <v>11.24</v>
      </c>
      <c r="I234" t="inlineStr">
        <is>
          <t>credit_card</t>
        </is>
      </c>
      <c r="J234" t="n">
        <v>4</v>
      </c>
      <c r="K234" t="inlineStr">
        <is>
          <t>On Time</t>
        </is>
      </c>
      <c r="L234" t="n">
        <v>4</v>
      </c>
      <c r="M234">
        <f>VLOOKUP(D234,State_Lookup!$A$2:$B$28,2,FALSE)</f>
        <v/>
      </c>
    </row>
    <row r="235">
      <c r="A235" t="inlineStr">
        <is>
          <t>7cd12f82d867bf5cda813ec60b7c4db8</t>
        </is>
      </c>
      <c r="B235" t="inlineStr">
        <is>
          <t>2017-03-19</t>
        </is>
      </c>
      <c r="C235" t="inlineStr">
        <is>
          <t>2017-03</t>
        </is>
      </c>
      <c r="D235" t="inlineStr">
        <is>
          <t>RS</t>
        </is>
      </c>
      <c r="E235" t="inlineStr">
        <is>
          <t>toys</t>
        </is>
      </c>
      <c r="F235" t="n">
        <v>1</v>
      </c>
      <c r="G235" t="n">
        <v>139</v>
      </c>
      <c r="H235" t="n">
        <v>19.56</v>
      </c>
      <c r="I235" t="inlineStr">
        <is>
          <t>credit_card</t>
        </is>
      </c>
      <c r="J235" t="n">
        <v>14</v>
      </c>
      <c r="K235" t="inlineStr">
        <is>
          <t>On Time</t>
        </is>
      </c>
      <c r="L235" t="n">
        <v>4</v>
      </c>
      <c r="M235">
        <f>VLOOKUP(D235,State_Lookup!$A$2:$B$28,2,FALSE)</f>
        <v/>
      </c>
    </row>
    <row r="236">
      <c r="A236" t="inlineStr">
        <is>
          <t>e57b0e7770a5b0018b9825dd05fd48c7</t>
        </is>
      </c>
      <c r="B236" t="inlineStr">
        <is>
          <t>2017-03-20</t>
        </is>
      </c>
      <c r="C236" t="inlineStr">
        <is>
          <t>2017-03</t>
        </is>
      </c>
      <c r="D236" t="inlineStr">
        <is>
          <t>RJ</t>
        </is>
      </c>
      <c r="E236" t="inlineStr">
        <is>
          <t>garden_tools</t>
        </is>
      </c>
      <c r="F236" t="n">
        <v>1</v>
      </c>
      <c r="G236" t="n">
        <v>34.9</v>
      </c>
      <c r="H236" t="n">
        <v>14.52</v>
      </c>
      <c r="I236" t="inlineStr">
        <is>
          <t>credit_card</t>
        </is>
      </c>
      <c r="J236" t="n">
        <v>8</v>
      </c>
      <c r="K236" t="inlineStr">
        <is>
          <t>On Time</t>
        </is>
      </c>
      <c r="L236" t="n">
        <v>5</v>
      </c>
      <c r="M236">
        <f>VLOOKUP(D236,State_Lookup!$A$2:$B$28,2,FALSE)</f>
        <v/>
      </c>
    </row>
    <row r="237">
      <c r="A237" t="inlineStr">
        <is>
          <t>b2728d138cc3cebb796105eedbb4784a</t>
        </is>
      </c>
      <c r="B237" t="inlineStr">
        <is>
          <t>2017-03-20</t>
        </is>
      </c>
      <c r="C237" t="inlineStr">
        <is>
          <t>2017-03</t>
        </is>
      </c>
      <c r="D237" t="inlineStr">
        <is>
          <t>MG</t>
        </is>
      </c>
      <c r="E237" t="inlineStr">
        <is>
          <t>garden_tools</t>
        </is>
      </c>
      <c r="F237" t="n">
        <v>1</v>
      </c>
      <c r="G237" t="n">
        <v>34.9</v>
      </c>
      <c r="H237" t="n">
        <v>14.52</v>
      </c>
      <c r="I237" t="inlineStr">
        <is>
          <t>credit_card</t>
        </is>
      </c>
      <c r="J237" t="n">
        <v>8</v>
      </c>
      <c r="K237" t="inlineStr">
        <is>
          <t>On Time</t>
        </is>
      </c>
      <c r="L237" t="n">
        <v>3</v>
      </c>
      <c r="M237">
        <f>VLOOKUP(D237,State_Lookup!$A$2:$B$28,2,FALSE)</f>
        <v/>
      </c>
    </row>
    <row r="238">
      <c r="A238" t="inlineStr">
        <is>
          <t>7a29d9cef76355b4b32321cc4c9e58fa</t>
        </is>
      </c>
      <c r="B238" t="inlineStr">
        <is>
          <t>2017-03-20</t>
        </is>
      </c>
      <c r="C238" t="inlineStr">
        <is>
          <t>2017-03</t>
        </is>
      </c>
      <c r="D238" t="inlineStr">
        <is>
          <t>SP</t>
        </is>
      </c>
      <c r="E238" t="inlineStr">
        <is>
          <t>cool_stuff</t>
        </is>
      </c>
      <c r="F238" t="n">
        <v>2</v>
      </c>
      <c r="G238" t="n">
        <v>39.8</v>
      </c>
      <c r="H238" t="n">
        <v>17.44</v>
      </c>
      <c r="I238" t="inlineStr">
        <is>
          <t>credit_card</t>
        </is>
      </c>
      <c r="J238" t="n">
        <v>8</v>
      </c>
      <c r="K238" t="inlineStr">
        <is>
          <t>On Time</t>
        </is>
      </c>
      <c r="L238" t="n">
        <v>5</v>
      </c>
      <c r="M238">
        <f>VLOOKUP(D238,State_Lookup!$A$2:$B$28,2,FALSE)</f>
        <v/>
      </c>
    </row>
    <row r="239">
      <c r="A239" t="inlineStr">
        <is>
          <t>9fb5f1c3d876e2a9360c12be18be8f85</t>
        </is>
      </c>
      <c r="B239" t="inlineStr">
        <is>
          <t>2017-03-21</t>
        </is>
      </c>
      <c r="C239" t="inlineStr">
        <is>
          <t>2017-03</t>
        </is>
      </c>
      <c r="D239" t="inlineStr">
        <is>
          <t>ES</t>
        </is>
      </c>
      <c r="E239" t="inlineStr">
        <is>
          <t>pet_shop</t>
        </is>
      </c>
      <c r="F239" t="n">
        <v>1</v>
      </c>
      <c r="G239" t="n">
        <v>90.98</v>
      </c>
      <c r="H239" t="n">
        <v>14.81</v>
      </c>
      <c r="I239" t="inlineStr">
        <is>
          <t>credit_card</t>
        </is>
      </c>
      <c r="J239" t="n">
        <v>2</v>
      </c>
      <c r="K239" t="inlineStr">
        <is>
          <t>On Time</t>
        </is>
      </c>
      <c r="L239" t="n">
        <v>5</v>
      </c>
      <c r="M239">
        <f>VLOOKUP(D239,State_Lookup!$A$2:$B$28,2,FALSE)</f>
        <v/>
      </c>
    </row>
    <row r="240">
      <c r="A240" t="inlineStr">
        <is>
          <t>b36a230278dc6eacfc8ac950d38e9a2b</t>
        </is>
      </c>
      <c r="B240" t="inlineStr">
        <is>
          <t>2017-03-21</t>
        </is>
      </c>
      <c r="C240" t="inlineStr">
        <is>
          <t>2017-03</t>
        </is>
      </c>
      <c r="D240" t="inlineStr">
        <is>
          <t>SP</t>
        </is>
      </c>
      <c r="E240" t="inlineStr">
        <is>
          <t>sports_leisure</t>
        </is>
      </c>
      <c r="F240" t="n">
        <v>1</v>
      </c>
      <c r="G240" t="n">
        <v>659</v>
      </c>
      <c r="H240" t="n">
        <v>41.55</v>
      </c>
      <c r="I240" t="inlineStr">
        <is>
          <t>boleto</t>
        </is>
      </c>
      <c r="J240" t="n">
        <v>7</v>
      </c>
      <c r="K240" t="inlineStr">
        <is>
          <t>On Time</t>
        </is>
      </c>
      <c r="L240" t="n">
        <v>4</v>
      </c>
      <c r="M240">
        <f>VLOOKUP(D240,State_Lookup!$A$2:$B$28,2,FALSE)</f>
        <v/>
      </c>
    </row>
    <row r="241">
      <c r="A241" t="inlineStr">
        <is>
          <t>ec2a8c52ab5037c04553f10bcaccd971</t>
        </is>
      </c>
      <c r="B241" t="inlineStr">
        <is>
          <t>2017-03-21</t>
        </is>
      </c>
      <c r="C241" t="inlineStr">
        <is>
          <t>2017-03</t>
        </is>
      </c>
      <c r="D241" t="inlineStr">
        <is>
          <t>SP</t>
        </is>
      </c>
      <c r="E241" t="inlineStr">
        <is>
          <t>consoles_games</t>
        </is>
      </c>
      <c r="F241" t="n">
        <v>1</v>
      </c>
      <c r="G241" t="n">
        <v>65.44</v>
      </c>
      <c r="H241" t="n">
        <v>11.85</v>
      </c>
      <c r="I241" t="inlineStr">
        <is>
          <t>boleto</t>
        </is>
      </c>
      <c r="J241" t="n">
        <v>7</v>
      </c>
      <c r="K241" t="inlineStr">
        <is>
          <t>On Time</t>
        </is>
      </c>
      <c r="L241" t="n">
        <v>5</v>
      </c>
      <c r="M241">
        <f>VLOOKUP(D241,State_Lookup!$A$2:$B$28,2,FALSE)</f>
        <v/>
      </c>
    </row>
    <row r="242">
      <c r="A242" t="inlineStr">
        <is>
          <t>443bc8cc2feef50a6b416a0645dbf7b5</t>
        </is>
      </c>
      <c r="B242" t="inlineStr">
        <is>
          <t>2017-03-21</t>
        </is>
      </c>
      <c r="C242" t="inlineStr">
        <is>
          <t>2017-03</t>
        </is>
      </c>
      <c r="D242" t="inlineStr">
        <is>
          <t>SP</t>
        </is>
      </c>
      <c r="E242" t="inlineStr">
        <is>
          <t>sports_leisure</t>
        </is>
      </c>
      <c r="F242" t="n">
        <v>1</v>
      </c>
      <c r="G242" t="n">
        <v>31</v>
      </c>
      <c r="H242" t="n">
        <v>10.96</v>
      </c>
      <c r="I242" t="inlineStr">
        <is>
          <t>credit_card</t>
        </is>
      </c>
      <c r="J242" t="n">
        <v>5</v>
      </c>
      <c r="K242" t="inlineStr">
        <is>
          <t>On Time</t>
        </is>
      </c>
      <c r="L242" t="n">
        <v>5</v>
      </c>
      <c r="M242">
        <f>VLOOKUP(D242,State_Lookup!$A$2:$B$28,2,FALSE)</f>
        <v/>
      </c>
    </row>
    <row r="243">
      <c r="A243" t="inlineStr">
        <is>
          <t>d974773494a37afcdf96ac5a0e86b557</t>
        </is>
      </c>
      <c r="B243" t="inlineStr">
        <is>
          <t>2017-03-21</t>
        </is>
      </c>
      <c r="C243" t="inlineStr">
        <is>
          <t>2017-03</t>
        </is>
      </c>
      <c r="D243" t="inlineStr">
        <is>
          <t>RJ</t>
        </is>
      </c>
      <c r="E243" t="inlineStr">
        <is>
          <t>baby</t>
        </is>
      </c>
      <c r="F243" t="n">
        <v>1</v>
      </c>
      <c r="G243" t="n">
        <v>25</v>
      </c>
      <c r="H243" t="n">
        <v>17.35</v>
      </c>
      <c r="I243" t="inlineStr">
        <is>
          <t>credit_card</t>
        </is>
      </c>
      <c r="J243" t="n">
        <v>2</v>
      </c>
      <c r="K243" t="inlineStr">
        <is>
          <t>On Time</t>
        </is>
      </c>
      <c r="L243" t="n">
        <v>5</v>
      </c>
      <c r="M243">
        <f>VLOOKUP(D243,State_Lookup!$A$2:$B$28,2,FALSE)</f>
        <v/>
      </c>
    </row>
    <row r="244">
      <c r="A244" t="inlineStr">
        <is>
          <t>a99bed70b800227cc293174945a645e0</t>
        </is>
      </c>
      <c r="B244" t="inlineStr">
        <is>
          <t>2017-03-21</t>
        </is>
      </c>
      <c r="C244" t="inlineStr">
        <is>
          <t>2017-03</t>
        </is>
      </c>
      <c r="D244" t="inlineStr">
        <is>
          <t>RJ</t>
        </is>
      </c>
      <c r="E244" t="inlineStr">
        <is>
          <t>food</t>
        </is>
      </c>
      <c r="F244" t="n">
        <v>1</v>
      </c>
      <c r="G244" t="n">
        <v>177</v>
      </c>
      <c r="H244" t="n">
        <v>15.41</v>
      </c>
      <c r="I244" t="inlineStr">
        <is>
          <t>credit_card</t>
        </is>
      </c>
      <c r="J244" t="n">
        <v>9</v>
      </c>
      <c r="K244" t="inlineStr">
        <is>
          <t>On Time</t>
        </is>
      </c>
      <c r="L244" t="n">
        <v>5</v>
      </c>
      <c r="M244">
        <f>VLOOKUP(D244,State_Lookup!$A$2:$B$28,2,FALSE)</f>
        <v/>
      </c>
    </row>
    <row r="245">
      <c r="A245" t="inlineStr">
        <is>
          <t>2edc2a8fcbfceea30b10f1a27c5e4b10</t>
        </is>
      </c>
      <c r="B245" t="inlineStr">
        <is>
          <t>2017-03-21</t>
        </is>
      </c>
      <c r="C245" t="inlineStr">
        <is>
          <t>2017-03</t>
        </is>
      </c>
      <c r="D245" t="inlineStr">
        <is>
          <t>SP</t>
        </is>
      </c>
      <c r="E245" t="inlineStr">
        <is>
          <t>computers_accessories</t>
        </is>
      </c>
      <c r="F245" t="n">
        <v>1</v>
      </c>
      <c r="G245" t="n">
        <v>28.49</v>
      </c>
      <c r="H245" t="n">
        <v>10.96</v>
      </c>
      <c r="I245" t="inlineStr">
        <is>
          <t>credit_card</t>
        </is>
      </c>
      <c r="J245" t="n">
        <v>5</v>
      </c>
      <c r="K245" t="inlineStr">
        <is>
          <t>On Time</t>
        </is>
      </c>
      <c r="L245" t="n">
        <v>5</v>
      </c>
      <c r="M245">
        <f>VLOOKUP(D245,State_Lookup!$A$2:$B$28,2,FALSE)</f>
        <v/>
      </c>
    </row>
    <row r="246">
      <c r="A246" t="inlineStr">
        <is>
          <t>44fe2f7e994f6df61f74b01b2f440169</t>
        </is>
      </c>
      <c r="B246" t="inlineStr">
        <is>
          <t>2017-03-22</t>
        </is>
      </c>
      <c r="C246" t="inlineStr">
        <is>
          <t>2017-03</t>
        </is>
      </c>
      <c r="D246" t="inlineStr">
        <is>
          <t>RJ</t>
        </is>
      </c>
      <c r="E246" t="inlineStr">
        <is>
          <t>bed_bath_table</t>
        </is>
      </c>
      <c r="F246" t="n">
        <v>2</v>
      </c>
      <c r="G246" t="n">
        <v>99.8</v>
      </c>
      <c r="H246" t="n">
        <v>34.18</v>
      </c>
      <c r="I246" t="inlineStr">
        <is>
          <t>credit_card</t>
        </is>
      </c>
      <c r="J246" t="n">
        <v>7</v>
      </c>
      <c r="K246" t="inlineStr">
        <is>
          <t>On Time</t>
        </is>
      </c>
      <c r="L246" t="n">
        <v>5</v>
      </c>
      <c r="M246">
        <f>VLOOKUP(D246,State_Lookup!$A$2:$B$28,2,FALSE)</f>
        <v/>
      </c>
    </row>
    <row r="247">
      <c r="A247" t="inlineStr">
        <is>
          <t>0977997b1c07196d7d76a0d79c50117d</t>
        </is>
      </c>
      <c r="B247" t="inlineStr">
        <is>
          <t>2017-03-22</t>
        </is>
      </c>
      <c r="C247" t="inlineStr">
        <is>
          <t>2017-03</t>
        </is>
      </c>
      <c r="D247" t="inlineStr">
        <is>
          <t>SP</t>
        </is>
      </c>
      <c r="E247" t="inlineStr">
        <is>
          <t>unknown</t>
        </is>
      </c>
      <c r="F247" t="n">
        <v>1</v>
      </c>
      <c r="G247" t="n">
        <v>19.99</v>
      </c>
      <c r="H247" t="n">
        <v>10.96</v>
      </c>
      <c r="I247" t="inlineStr">
        <is>
          <t>credit_card</t>
        </is>
      </c>
      <c r="J247" t="n">
        <v>6</v>
      </c>
      <c r="K247" t="inlineStr">
        <is>
          <t>On Time</t>
        </is>
      </c>
      <c r="L247" t="n">
        <v>5</v>
      </c>
      <c r="M247">
        <f>VLOOKUP(D247,State_Lookup!$A$2:$B$28,2,FALSE)</f>
        <v/>
      </c>
    </row>
    <row r="248">
      <c r="A248" t="inlineStr">
        <is>
          <t>d3cc6a0be5a659e6c515010d99e9c335</t>
        </is>
      </c>
      <c r="B248" t="inlineStr">
        <is>
          <t>2017-03-22</t>
        </is>
      </c>
      <c r="C248" t="inlineStr">
        <is>
          <t>2017-03</t>
        </is>
      </c>
      <c r="D248" t="inlineStr">
        <is>
          <t>SP</t>
        </is>
      </c>
      <c r="E248" t="inlineStr">
        <is>
          <t>perfumery</t>
        </is>
      </c>
      <c r="F248" t="n">
        <v>1</v>
      </c>
      <c r="G248" t="n">
        <v>229.9</v>
      </c>
      <c r="H248" t="n">
        <v>15.78</v>
      </c>
      <c r="I248" t="inlineStr">
        <is>
          <t>credit_card</t>
        </is>
      </c>
      <c r="J248" t="n">
        <v>4</v>
      </c>
      <c r="K248" t="inlineStr">
        <is>
          <t>On Time</t>
        </is>
      </c>
      <c r="L248" t="n">
        <v>5</v>
      </c>
      <c r="M248">
        <f>VLOOKUP(D248,State_Lookup!$A$2:$B$28,2,FALSE)</f>
        <v/>
      </c>
    </row>
    <row r="249">
      <c r="A249" t="inlineStr">
        <is>
          <t>d3814caaf7587391515f5ec329ecda07</t>
        </is>
      </c>
      <c r="B249" t="inlineStr">
        <is>
          <t>2017-03-22</t>
        </is>
      </c>
      <c r="C249" t="inlineStr">
        <is>
          <t>2017-03</t>
        </is>
      </c>
      <c r="D249" t="inlineStr">
        <is>
          <t>SC</t>
        </is>
      </c>
      <c r="E249" t="inlineStr">
        <is>
          <t>luggage_accessories</t>
        </is>
      </c>
      <c r="F249" t="n">
        <v>1</v>
      </c>
      <c r="G249" t="n">
        <v>389</v>
      </c>
      <c r="H249" t="n">
        <v>57.3</v>
      </c>
      <c r="I249" t="inlineStr">
        <is>
          <t>credit_card</t>
        </is>
      </c>
      <c r="J249" t="n">
        <v>13</v>
      </c>
      <c r="K249" t="inlineStr">
        <is>
          <t>On Time</t>
        </is>
      </c>
      <c r="L249" t="n">
        <v>5</v>
      </c>
      <c r="M249">
        <f>VLOOKUP(D249,State_Lookup!$A$2:$B$28,2,FALSE)</f>
        <v/>
      </c>
    </row>
    <row r="250">
      <c r="A250" t="inlineStr">
        <is>
          <t>86c0e519ffee48220503670fac236e1b</t>
        </is>
      </c>
      <c r="B250" t="inlineStr">
        <is>
          <t>2017-03-22</t>
        </is>
      </c>
      <c r="C250" t="inlineStr">
        <is>
          <t>2017-03</t>
        </is>
      </c>
      <c r="D250" t="inlineStr">
        <is>
          <t>PR</t>
        </is>
      </c>
      <c r="E250" t="inlineStr">
        <is>
          <t>stationery</t>
        </is>
      </c>
      <c r="F250" t="n">
        <v>1</v>
      </c>
      <c r="G250" t="n">
        <v>49.9</v>
      </c>
      <c r="H250" t="n">
        <v>24.17</v>
      </c>
      <c r="I250" t="inlineStr">
        <is>
          <t>boleto</t>
        </is>
      </c>
      <c r="J250" t="n">
        <v>12</v>
      </c>
      <c r="K250" t="inlineStr">
        <is>
          <t>On Time</t>
        </is>
      </c>
      <c r="L250" t="n">
        <v>4</v>
      </c>
      <c r="M250">
        <f>VLOOKUP(D250,State_Lookup!$A$2:$B$28,2,FALSE)</f>
        <v/>
      </c>
    </row>
    <row r="251">
      <c r="A251" t="inlineStr">
        <is>
          <t>db64a5b6724f1501323cc11154cbaf39</t>
        </is>
      </c>
      <c r="B251" t="inlineStr">
        <is>
          <t>2017-03-23</t>
        </is>
      </c>
      <c r="C251" t="inlineStr">
        <is>
          <t>2017-03</t>
        </is>
      </c>
      <c r="D251" t="inlineStr">
        <is>
          <t>RS</t>
        </is>
      </c>
      <c r="E251" t="inlineStr">
        <is>
          <t>telephony</t>
        </is>
      </c>
      <c r="F251" t="n">
        <v>2</v>
      </c>
      <c r="G251" t="n">
        <v>37.8</v>
      </c>
      <c r="H251" t="n">
        <v>32.1</v>
      </c>
      <c r="I251" t="inlineStr">
        <is>
          <t>credit_card</t>
        </is>
      </c>
      <c r="J251" t="n">
        <v>12</v>
      </c>
      <c r="K251" t="inlineStr">
        <is>
          <t>On Time</t>
        </is>
      </c>
      <c r="L251" t="n">
        <v>3</v>
      </c>
      <c r="M251">
        <f>VLOOKUP(D251,State_Lookup!$A$2:$B$28,2,FALSE)</f>
        <v/>
      </c>
    </row>
    <row r="252">
      <c r="A252" t="inlineStr">
        <is>
          <t>76efb2fbb5b0e732ba6c77c63d263b59</t>
        </is>
      </c>
      <c r="B252" t="inlineStr">
        <is>
          <t>2017-03-23</t>
        </is>
      </c>
      <c r="C252" t="inlineStr">
        <is>
          <t>2017-03</t>
        </is>
      </c>
      <c r="D252" t="inlineStr">
        <is>
          <t>DF</t>
        </is>
      </c>
      <c r="E252" t="inlineStr">
        <is>
          <t>auto</t>
        </is>
      </c>
      <c r="F252" t="n">
        <v>2</v>
      </c>
      <c r="G252" t="n">
        <v>382.7000000000001</v>
      </c>
      <c r="H252" t="n">
        <v>60.47</v>
      </c>
      <c r="I252" t="inlineStr">
        <is>
          <t>credit_card</t>
        </is>
      </c>
      <c r="J252" t="n">
        <v>6</v>
      </c>
      <c r="K252" t="inlineStr">
        <is>
          <t>On Time</t>
        </is>
      </c>
      <c r="L252" t="n">
        <v>5</v>
      </c>
      <c r="M252">
        <f>VLOOKUP(D252,State_Lookup!$A$2:$B$28,2,FALSE)</f>
        <v/>
      </c>
    </row>
    <row r="253">
      <c r="A253" t="inlineStr">
        <is>
          <t>f67dfbaeb6d5c6188f0aa52aa1634a7e</t>
        </is>
      </c>
      <c r="B253" t="inlineStr">
        <is>
          <t>2017-03-23</t>
        </is>
      </c>
      <c r="C253" t="inlineStr">
        <is>
          <t>2017-03</t>
        </is>
      </c>
      <c r="D253" t="inlineStr">
        <is>
          <t>RJ</t>
        </is>
      </c>
      <c r="E253" t="inlineStr">
        <is>
          <t>computers_accessories</t>
        </is>
      </c>
      <c r="F253" t="n">
        <v>1</v>
      </c>
      <c r="G253" t="n">
        <v>2120.39</v>
      </c>
      <c r="H253" t="n">
        <v>48.21</v>
      </c>
      <c r="I253" t="inlineStr">
        <is>
          <t>credit_card</t>
        </is>
      </c>
      <c r="J253" t="n">
        <v>11</v>
      </c>
      <c r="K253" t="inlineStr">
        <is>
          <t>On Time</t>
        </is>
      </c>
      <c r="L253" t="n">
        <v>4</v>
      </c>
      <c r="M253">
        <f>VLOOKUP(D253,State_Lookup!$A$2:$B$28,2,FALSE)</f>
        <v/>
      </c>
    </row>
    <row r="254">
      <c r="A254" t="inlineStr">
        <is>
          <t>b200a7390795d73d9b7afed1d6dce327</t>
        </is>
      </c>
      <c r="B254" t="inlineStr">
        <is>
          <t>2017-03-23</t>
        </is>
      </c>
      <c r="C254" t="inlineStr">
        <is>
          <t>2017-03</t>
        </is>
      </c>
      <c r="D254" t="inlineStr">
        <is>
          <t>SP</t>
        </is>
      </c>
      <c r="E254" t="inlineStr">
        <is>
          <t>furniture_decor</t>
        </is>
      </c>
      <c r="F254" t="n">
        <v>1</v>
      </c>
      <c r="G254" t="n">
        <v>26</v>
      </c>
      <c r="H254" t="n">
        <v>9.34</v>
      </c>
      <c r="I254" t="inlineStr">
        <is>
          <t>credit_card</t>
        </is>
      </c>
      <c r="J254" t="n">
        <v>8</v>
      </c>
      <c r="K254" t="inlineStr">
        <is>
          <t>On Time</t>
        </is>
      </c>
      <c r="L254" t="n">
        <v>5</v>
      </c>
      <c r="M254">
        <f>VLOOKUP(D254,State_Lookup!$A$2:$B$28,2,FALSE)</f>
        <v/>
      </c>
    </row>
    <row r="255">
      <c r="A255" t="inlineStr">
        <is>
          <t>b8e5479aa8fa4ce67ffdd5bdd92c2303</t>
        </is>
      </c>
      <c r="B255" t="inlineStr">
        <is>
          <t>2017-03-23</t>
        </is>
      </c>
      <c r="C255" t="inlineStr">
        <is>
          <t>2017-03</t>
        </is>
      </c>
      <c r="D255" t="inlineStr">
        <is>
          <t>MS</t>
        </is>
      </c>
      <c r="E255" t="inlineStr">
        <is>
          <t>cool_stuff</t>
        </is>
      </c>
      <c r="F255" t="n">
        <v>1</v>
      </c>
      <c r="G255" t="n">
        <v>449</v>
      </c>
      <c r="H255" t="n">
        <v>24.12</v>
      </c>
      <c r="I255" t="inlineStr">
        <is>
          <t>credit_card</t>
        </is>
      </c>
      <c r="J255" t="n">
        <v>13</v>
      </c>
      <c r="K255" t="inlineStr">
        <is>
          <t>On Time</t>
        </is>
      </c>
      <c r="L255" t="n">
        <v>5</v>
      </c>
      <c r="M255">
        <f>VLOOKUP(D255,State_Lookup!$A$2:$B$28,2,FALSE)</f>
        <v/>
      </c>
    </row>
    <row r="256">
      <c r="A256" t="inlineStr">
        <is>
          <t>c3ca08e9565423d33c78e028dbb1ab65</t>
        </is>
      </c>
      <c r="B256" t="inlineStr">
        <is>
          <t>2017-03-23</t>
        </is>
      </c>
      <c r="C256" t="inlineStr">
        <is>
          <t>2017-03</t>
        </is>
      </c>
      <c r="D256" t="inlineStr">
        <is>
          <t>MG</t>
        </is>
      </c>
      <c r="E256" t="inlineStr">
        <is>
          <t>sports_leisure</t>
        </is>
      </c>
      <c r="F256" t="n">
        <v>1</v>
      </c>
      <c r="G256" t="n">
        <v>20.7</v>
      </c>
      <c r="H256" t="n">
        <v>17.78</v>
      </c>
      <c r="I256" t="inlineStr">
        <is>
          <t>credit_card</t>
        </is>
      </c>
      <c r="J256" t="n">
        <v>12</v>
      </c>
      <c r="K256" t="inlineStr">
        <is>
          <t>On Time</t>
        </is>
      </c>
      <c r="L256" t="n">
        <v>5</v>
      </c>
      <c r="M256">
        <f>VLOOKUP(D256,State_Lookup!$A$2:$B$28,2,FALSE)</f>
        <v/>
      </c>
    </row>
    <row r="257">
      <c r="A257" t="inlineStr">
        <is>
          <t>f1f920036ae5e94e294eeb5bf898b9d6</t>
        </is>
      </c>
      <c r="B257" t="inlineStr">
        <is>
          <t>2017-03-23</t>
        </is>
      </c>
      <c r="C257" t="inlineStr">
        <is>
          <t>2017-03</t>
        </is>
      </c>
      <c r="D257" t="inlineStr">
        <is>
          <t>MG</t>
        </is>
      </c>
      <c r="E257" t="inlineStr">
        <is>
          <t>telephony</t>
        </is>
      </c>
      <c r="F257" t="n">
        <v>1</v>
      </c>
      <c r="G257" t="n">
        <v>34.99</v>
      </c>
      <c r="H257" t="n">
        <v>14.52</v>
      </c>
      <c r="I257" t="inlineStr">
        <is>
          <t>credit_card</t>
        </is>
      </c>
      <c r="J257" t="n">
        <v>12</v>
      </c>
      <c r="K257" t="inlineStr">
        <is>
          <t>On Time</t>
        </is>
      </c>
      <c r="L257" t="n">
        <v>5</v>
      </c>
      <c r="M257">
        <f>VLOOKUP(D257,State_Lookup!$A$2:$B$28,2,FALSE)</f>
        <v/>
      </c>
    </row>
    <row r="258">
      <c r="A258" t="inlineStr">
        <is>
          <t>a1238d801729f0d9e4e905696a213eb8</t>
        </is>
      </c>
      <c r="B258" t="inlineStr">
        <is>
          <t>2017-03-23</t>
        </is>
      </c>
      <c r="C258" t="inlineStr">
        <is>
          <t>2017-03</t>
        </is>
      </c>
      <c r="D258" t="inlineStr">
        <is>
          <t>GO</t>
        </is>
      </c>
      <c r="E258" t="inlineStr">
        <is>
          <t>cool_stuff</t>
        </is>
      </c>
      <c r="F258" t="n">
        <v>1</v>
      </c>
      <c r="G258" t="n">
        <v>99.98999999999999</v>
      </c>
      <c r="H258" t="n">
        <v>19.4</v>
      </c>
      <c r="I258" t="inlineStr">
        <is>
          <t>credit_card</t>
        </is>
      </c>
      <c r="J258" t="n">
        <v>12</v>
      </c>
      <c r="K258" t="inlineStr">
        <is>
          <t>On Time</t>
        </is>
      </c>
      <c r="L258" t="n">
        <v>5</v>
      </c>
      <c r="M258">
        <f>VLOOKUP(D258,State_Lookup!$A$2:$B$28,2,FALSE)</f>
        <v/>
      </c>
    </row>
    <row r="259">
      <c r="A259" t="inlineStr">
        <is>
          <t>a67f2f8a8a684916bd58ae4f6f2a4507</t>
        </is>
      </c>
      <c r="B259" t="inlineStr">
        <is>
          <t>2017-03-23</t>
        </is>
      </c>
      <c r="C259" t="inlineStr">
        <is>
          <t>2017-03</t>
        </is>
      </c>
      <c r="D259" t="inlineStr">
        <is>
          <t>SP</t>
        </is>
      </c>
      <c r="E259" t="inlineStr">
        <is>
          <t>furniture_decor</t>
        </is>
      </c>
      <c r="F259" t="n">
        <v>2</v>
      </c>
      <c r="G259" t="n">
        <v>99.8</v>
      </c>
      <c r="H259" t="n">
        <v>23.48</v>
      </c>
      <c r="I259" t="inlineStr">
        <is>
          <t>boleto</t>
        </is>
      </c>
      <c r="J259" t="n">
        <v>6</v>
      </c>
      <c r="K259" t="inlineStr">
        <is>
          <t>On Time</t>
        </is>
      </c>
      <c r="L259" t="n">
        <v>5</v>
      </c>
      <c r="M259">
        <f>VLOOKUP(D259,State_Lookup!$A$2:$B$28,2,FALSE)</f>
        <v/>
      </c>
    </row>
    <row r="260">
      <c r="A260" t="inlineStr">
        <is>
          <t>c2acb9513a47b95007e5cd45e3516765</t>
        </is>
      </c>
      <c r="B260" t="inlineStr">
        <is>
          <t>2017-03-24</t>
        </is>
      </c>
      <c r="C260" t="inlineStr">
        <is>
          <t>2017-03</t>
        </is>
      </c>
      <c r="D260" t="inlineStr">
        <is>
          <t>RJ</t>
        </is>
      </c>
      <c r="E260" t="inlineStr">
        <is>
          <t>bed_bath_table</t>
        </is>
      </c>
      <c r="F260" t="n">
        <v>1</v>
      </c>
      <c r="G260" t="n">
        <v>98.98999999999999</v>
      </c>
      <c r="H260" t="n">
        <v>20.77</v>
      </c>
      <c r="I260" t="inlineStr">
        <is>
          <t>boleto</t>
        </is>
      </c>
      <c r="J260" t="n">
        <v>19</v>
      </c>
      <c r="K260" t="inlineStr">
        <is>
          <t>On Time</t>
        </is>
      </c>
      <c r="L260" t="n">
        <v>5</v>
      </c>
      <c r="M260">
        <f>VLOOKUP(D260,State_Lookup!$A$2:$B$28,2,FALSE)</f>
        <v/>
      </c>
    </row>
    <row r="261">
      <c r="A261" t="inlineStr">
        <is>
          <t>707641763cb64b52140f74e1389d0f10</t>
        </is>
      </c>
      <c r="B261" t="inlineStr">
        <is>
          <t>2017-03-24</t>
        </is>
      </c>
      <c r="C261" t="inlineStr">
        <is>
          <t>2017-03</t>
        </is>
      </c>
      <c r="D261" t="inlineStr">
        <is>
          <t>PR</t>
        </is>
      </c>
      <c r="E261" t="inlineStr">
        <is>
          <t>furniture_living_room</t>
        </is>
      </c>
      <c r="F261" t="n">
        <v>1</v>
      </c>
      <c r="G261" t="n">
        <v>329.9</v>
      </c>
      <c r="H261" t="n">
        <v>37.86</v>
      </c>
      <c r="I261" t="inlineStr">
        <is>
          <t>credit_card</t>
        </is>
      </c>
      <c r="J261" t="n">
        <v>12</v>
      </c>
      <c r="K261" t="inlineStr">
        <is>
          <t>On Time</t>
        </is>
      </c>
      <c r="L261" t="n">
        <v>5</v>
      </c>
      <c r="M261">
        <f>VLOOKUP(D261,State_Lookup!$A$2:$B$28,2,FALSE)</f>
        <v/>
      </c>
    </row>
    <row r="262">
      <c r="A262" t="inlineStr">
        <is>
          <t>19ee33bc4d781b94196719ab012adc42</t>
        </is>
      </c>
      <c r="B262" t="inlineStr">
        <is>
          <t>2017-03-24</t>
        </is>
      </c>
      <c r="C262" t="inlineStr">
        <is>
          <t>2017-03</t>
        </is>
      </c>
      <c r="D262" t="inlineStr">
        <is>
          <t>MG</t>
        </is>
      </c>
      <c r="E262" t="inlineStr">
        <is>
          <t>garden_tools</t>
        </is>
      </c>
      <c r="F262" t="n">
        <v>1</v>
      </c>
      <c r="G262" t="n">
        <v>307.3</v>
      </c>
      <c r="H262" t="n">
        <v>27.65</v>
      </c>
      <c r="I262" t="inlineStr">
        <is>
          <t>boleto</t>
        </is>
      </c>
      <c r="J262" t="n">
        <v>9</v>
      </c>
      <c r="K262" t="inlineStr">
        <is>
          <t>On Time</t>
        </is>
      </c>
      <c r="L262" t="n">
        <v>5</v>
      </c>
      <c r="M262">
        <f>VLOOKUP(D262,State_Lookup!$A$2:$B$28,2,FALSE)</f>
        <v/>
      </c>
    </row>
    <row r="263">
      <c r="A263" t="inlineStr">
        <is>
          <t>eac9691979b0aac3f3061abaff2f4f8a</t>
        </is>
      </c>
      <c r="B263" t="inlineStr">
        <is>
          <t>2017-03-24</t>
        </is>
      </c>
      <c r="C263" t="inlineStr">
        <is>
          <t>2017-03</t>
        </is>
      </c>
      <c r="D263" t="inlineStr">
        <is>
          <t>SP</t>
        </is>
      </c>
      <c r="E263" t="inlineStr">
        <is>
          <t>garden_tools</t>
        </is>
      </c>
      <c r="F263" t="n">
        <v>2</v>
      </c>
      <c r="G263" t="n">
        <v>69.8</v>
      </c>
      <c r="H263" t="n">
        <v>21.92</v>
      </c>
      <c r="I263" t="inlineStr">
        <is>
          <t>boleto</t>
        </is>
      </c>
      <c r="J263" t="n">
        <v>6</v>
      </c>
      <c r="K263" t="inlineStr">
        <is>
          <t>On Time</t>
        </is>
      </c>
      <c r="L263" t="n">
        <v>5</v>
      </c>
      <c r="M263">
        <f>VLOOKUP(D263,State_Lookup!$A$2:$B$28,2,FALSE)</f>
        <v/>
      </c>
    </row>
    <row r="264">
      <c r="A264" t="inlineStr">
        <is>
          <t>0eb43791d78d71f1098d5cb2b46e4c7b</t>
        </is>
      </c>
      <c r="B264" t="inlineStr">
        <is>
          <t>2017-03-25</t>
        </is>
      </c>
      <c r="C264" t="inlineStr">
        <is>
          <t>2017-03</t>
        </is>
      </c>
      <c r="D264" t="inlineStr">
        <is>
          <t>SP</t>
        </is>
      </c>
      <c r="E264" t="inlineStr">
        <is>
          <t>auto</t>
        </is>
      </c>
      <c r="F264" t="n">
        <v>1</v>
      </c>
      <c r="G264" t="n">
        <v>241.1</v>
      </c>
      <c r="H264" t="n">
        <v>22</v>
      </c>
      <c r="I264" t="inlineStr">
        <is>
          <t>credit_card</t>
        </is>
      </c>
      <c r="J264" t="n">
        <v>13</v>
      </c>
      <c r="K264" t="inlineStr">
        <is>
          <t>On Time</t>
        </is>
      </c>
      <c r="L264" t="n">
        <v>5</v>
      </c>
      <c r="M264">
        <f>VLOOKUP(D264,State_Lookup!$A$2:$B$28,2,FALSE)</f>
        <v/>
      </c>
    </row>
    <row r="265">
      <c r="A265" t="inlineStr">
        <is>
          <t>fe5d946bb1d5891792a436f46f3618a3</t>
        </is>
      </c>
      <c r="B265" t="inlineStr">
        <is>
          <t>2017-03-25</t>
        </is>
      </c>
      <c r="C265" t="inlineStr">
        <is>
          <t>2017-03</t>
        </is>
      </c>
      <c r="D265" t="inlineStr">
        <is>
          <t>RJ</t>
        </is>
      </c>
      <c r="E265" t="inlineStr">
        <is>
          <t>sports_leisure</t>
        </is>
      </c>
      <c r="F265" t="n">
        <v>1</v>
      </c>
      <c r="G265" t="n">
        <v>89</v>
      </c>
      <c r="H265" t="n">
        <v>19.21</v>
      </c>
      <c r="I265" t="inlineStr">
        <is>
          <t>credit_card</t>
        </is>
      </c>
      <c r="J265" t="n">
        <v>10</v>
      </c>
      <c r="K265" t="inlineStr">
        <is>
          <t>On Time</t>
        </is>
      </c>
      <c r="L265" t="n">
        <v>5</v>
      </c>
      <c r="M265">
        <f>VLOOKUP(D265,State_Lookup!$A$2:$B$28,2,FALSE)</f>
        <v/>
      </c>
    </row>
    <row r="266">
      <c r="A266" t="inlineStr">
        <is>
          <t>c7be34133b7857a83dec6494df176713</t>
        </is>
      </c>
      <c r="B266" t="inlineStr">
        <is>
          <t>2017-03-25</t>
        </is>
      </c>
      <c r="C266" t="inlineStr">
        <is>
          <t>2017-03</t>
        </is>
      </c>
      <c r="D266" t="inlineStr">
        <is>
          <t>CE</t>
        </is>
      </c>
      <c r="E266" t="inlineStr">
        <is>
          <t>perfumery</t>
        </is>
      </c>
      <c r="F266" t="n">
        <v>1</v>
      </c>
      <c r="G266" t="n">
        <v>229.9</v>
      </c>
      <c r="H266" t="n">
        <v>26.1</v>
      </c>
      <c r="I266" t="inlineStr">
        <is>
          <t>boleto</t>
        </is>
      </c>
      <c r="J266" t="n">
        <v>50</v>
      </c>
      <c r="K266" t="inlineStr">
        <is>
          <t>Late</t>
        </is>
      </c>
      <c r="L266" t="n">
        <v>1</v>
      </c>
      <c r="M266">
        <f>VLOOKUP(D266,State_Lookup!$A$2:$B$28,2,FALSE)</f>
        <v/>
      </c>
    </row>
    <row r="267">
      <c r="A267" t="inlineStr">
        <is>
          <t>e8ad0b1713c8caae74f6da945c60d9e8</t>
        </is>
      </c>
      <c r="B267" t="inlineStr">
        <is>
          <t>2017-03-26</t>
        </is>
      </c>
      <c r="C267" t="inlineStr">
        <is>
          <t>2017-03</t>
        </is>
      </c>
      <c r="D267" t="inlineStr">
        <is>
          <t>BA</t>
        </is>
      </c>
      <c r="E267" t="inlineStr">
        <is>
          <t>sports_leisure</t>
        </is>
      </c>
      <c r="F267" t="n">
        <v>1</v>
      </c>
      <c r="G267" t="n">
        <v>72.90000000000001</v>
      </c>
      <c r="H267" t="n">
        <v>22.44</v>
      </c>
      <c r="I267" t="inlineStr">
        <is>
          <t>credit_card</t>
        </is>
      </c>
      <c r="J267" t="n">
        <v>22</v>
      </c>
      <c r="K267" t="inlineStr">
        <is>
          <t>On Time</t>
        </is>
      </c>
      <c r="L267" t="n">
        <v>3</v>
      </c>
      <c r="M267">
        <f>VLOOKUP(D267,State_Lookup!$A$2:$B$28,2,FALSE)</f>
        <v/>
      </c>
    </row>
    <row r="268">
      <c r="A268" t="inlineStr">
        <is>
          <t>d3a20ccc02c906dea8bd172dbfa1d31d</t>
        </is>
      </c>
      <c r="B268" t="inlineStr">
        <is>
          <t>2017-03-27</t>
        </is>
      </c>
      <c r="C268" t="inlineStr">
        <is>
          <t>2017-03</t>
        </is>
      </c>
      <c r="D268" t="inlineStr">
        <is>
          <t>SP</t>
        </is>
      </c>
      <c r="E268" t="inlineStr">
        <is>
          <t>sports_leisure</t>
        </is>
      </c>
      <c r="F268" t="n">
        <v>1</v>
      </c>
      <c r="G268" t="n">
        <v>299.9</v>
      </c>
      <c r="H268" t="n">
        <v>23.57</v>
      </c>
      <c r="I268" t="inlineStr">
        <is>
          <t>debit_card</t>
        </is>
      </c>
      <c r="J268" t="n">
        <v>7</v>
      </c>
      <c r="K268" t="inlineStr">
        <is>
          <t>On Time</t>
        </is>
      </c>
      <c r="L268" t="n">
        <v>3</v>
      </c>
      <c r="M268">
        <f>VLOOKUP(D268,State_Lookup!$A$2:$B$28,2,FALSE)</f>
        <v/>
      </c>
    </row>
    <row r="269">
      <c r="A269" t="inlineStr">
        <is>
          <t>65a97703da34703e54cac329ad6a41b0</t>
        </is>
      </c>
      <c r="B269" t="inlineStr">
        <is>
          <t>2017-03-28</t>
        </is>
      </c>
      <c r="C269" t="inlineStr">
        <is>
          <t>2017-03</t>
        </is>
      </c>
      <c r="D269" t="inlineStr">
        <is>
          <t>SP</t>
        </is>
      </c>
      <c r="E269" t="inlineStr">
        <is>
          <t>watches_gifts</t>
        </is>
      </c>
      <c r="F269" t="n">
        <v>1</v>
      </c>
      <c r="G269" t="n">
        <v>129.9</v>
      </c>
      <c r="H269" t="n">
        <v>11.52</v>
      </c>
      <c r="I269" t="inlineStr">
        <is>
          <t>credit_card</t>
        </is>
      </c>
      <c r="J269" t="n">
        <v>5</v>
      </c>
      <c r="K269" t="inlineStr">
        <is>
          <t>On Time</t>
        </is>
      </c>
      <c r="L269" t="n">
        <v>5</v>
      </c>
      <c r="M269">
        <f>VLOOKUP(D269,State_Lookup!$A$2:$B$28,2,FALSE)</f>
        <v/>
      </c>
    </row>
    <row r="270">
      <c r="A270" t="inlineStr">
        <is>
          <t>3d2478c1c4d6e772d9221bbacac64cd1</t>
        </is>
      </c>
      <c r="B270" t="inlineStr">
        <is>
          <t>2017-03-28</t>
        </is>
      </c>
      <c r="C270" t="inlineStr">
        <is>
          <t>2017-03</t>
        </is>
      </c>
      <c r="D270" t="inlineStr">
        <is>
          <t>RJ</t>
        </is>
      </c>
      <c r="E270" t="inlineStr">
        <is>
          <t>luggage_accessories</t>
        </is>
      </c>
      <c r="F270" t="n">
        <v>1</v>
      </c>
      <c r="G270" t="n">
        <v>79.90000000000001</v>
      </c>
      <c r="H270" t="n">
        <v>20.64</v>
      </c>
      <c r="I270" t="inlineStr">
        <is>
          <t>credit_card</t>
        </is>
      </c>
      <c r="J270" t="n">
        <v>2</v>
      </c>
      <c r="K270" t="inlineStr">
        <is>
          <t>On Time</t>
        </is>
      </c>
      <c r="L270" t="n">
        <v>5</v>
      </c>
      <c r="M270">
        <f>VLOOKUP(D270,State_Lookup!$A$2:$B$28,2,FALSE)</f>
        <v/>
      </c>
    </row>
    <row r="271">
      <c r="A271" t="inlineStr">
        <is>
          <t>c583699ad331158897d9bf20f1a60004</t>
        </is>
      </c>
      <c r="B271" t="inlineStr">
        <is>
          <t>2017-03-28</t>
        </is>
      </c>
      <c r="C271" t="inlineStr">
        <is>
          <t>2017-03</t>
        </is>
      </c>
      <c r="D271" t="inlineStr">
        <is>
          <t>SP</t>
        </is>
      </c>
      <c r="E271" t="inlineStr">
        <is>
          <t>auto</t>
        </is>
      </c>
      <c r="F271" t="n">
        <v>1</v>
      </c>
      <c r="G271" t="n">
        <v>27.99</v>
      </c>
      <c r="H271" t="n">
        <v>8.720000000000001</v>
      </c>
      <c r="I271" t="inlineStr">
        <is>
          <t>credit_card</t>
        </is>
      </c>
      <c r="J271" t="n">
        <v>6</v>
      </c>
      <c r="K271" t="inlineStr">
        <is>
          <t>On Time</t>
        </is>
      </c>
      <c r="L271" t="n">
        <v>4</v>
      </c>
      <c r="M271">
        <f>VLOOKUP(D271,State_Lookup!$A$2:$B$28,2,FALSE)</f>
        <v/>
      </c>
    </row>
    <row r="272">
      <c r="A272" t="inlineStr">
        <is>
          <t>dd94f2867bcd2be2229f44d7a0df4e5b</t>
        </is>
      </c>
      <c r="B272" t="inlineStr">
        <is>
          <t>2017-03-28</t>
        </is>
      </c>
      <c r="C272" t="inlineStr">
        <is>
          <t>2017-03</t>
        </is>
      </c>
      <c r="D272" t="inlineStr">
        <is>
          <t>SP</t>
        </is>
      </c>
      <c r="E272" t="inlineStr">
        <is>
          <t>cool_stuff</t>
        </is>
      </c>
      <c r="F272" t="n">
        <v>1</v>
      </c>
      <c r="G272" t="n">
        <v>43.99</v>
      </c>
      <c r="H272" t="n">
        <v>12.93</v>
      </c>
      <c r="I272" t="inlineStr">
        <is>
          <t>boleto</t>
        </is>
      </c>
      <c r="J272" t="inlineStr"/>
      <c r="K272" t="inlineStr">
        <is>
          <t>Not Delivered</t>
        </is>
      </c>
      <c r="L272" t="n">
        <v>1</v>
      </c>
      <c r="M272">
        <f>VLOOKUP(D272,State_Lookup!$A$2:$B$28,2,FALSE)</f>
        <v/>
      </c>
    </row>
    <row r="273">
      <c r="A273" t="inlineStr">
        <is>
          <t>4b0a33a52d3bdc952ebd0a2c5df9775b</t>
        </is>
      </c>
      <c r="B273" t="inlineStr">
        <is>
          <t>2017-03-28</t>
        </is>
      </c>
      <c r="C273" t="inlineStr">
        <is>
          <t>2017-03</t>
        </is>
      </c>
      <c r="D273" t="inlineStr">
        <is>
          <t>MG</t>
        </is>
      </c>
      <c r="E273" t="inlineStr">
        <is>
          <t>food</t>
        </is>
      </c>
      <c r="F273" t="n">
        <v>1</v>
      </c>
      <c r="G273" t="n">
        <v>149.9</v>
      </c>
      <c r="H273" t="n">
        <v>32.08</v>
      </c>
      <c r="I273" t="inlineStr">
        <is>
          <t>voucher</t>
        </is>
      </c>
      <c r="J273" t="n">
        <v>3</v>
      </c>
      <c r="K273" t="inlineStr">
        <is>
          <t>On Time</t>
        </is>
      </c>
      <c r="L273" t="n">
        <v>5</v>
      </c>
      <c r="M273">
        <f>VLOOKUP(D273,State_Lookup!$A$2:$B$28,2,FALSE)</f>
        <v/>
      </c>
    </row>
    <row r="274">
      <c r="A274" t="inlineStr">
        <is>
          <t>4461758febf28f20a599646b502ddbec</t>
        </is>
      </c>
      <c r="B274" t="inlineStr">
        <is>
          <t>2017-03-29</t>
        </is>
      </c>
      <c r="C274" t="inlineStr">
        <is>
          <t>2017-03</t>
        </is>
      </c>
      <c r="D274" t="inlineStr">
        <is>
          <t>RJ</t>
        </is>
      </c>
      <c r="E274" t="inlineStr">
        <is>
          <t>bed_bath_table</t>
        </is>
      </c>
      <c r="F274" t="n">
        <v>1</v>
      </c>
      <c r="G274" t="n">
        <v>49.9</v>
      </c>
      <c r="H274" t="n">
        <v>22.28</v>
      </c>
      <c r="I274" t="inlineStr">
        <is>
          <t>voucher</t>
        </is>
      </c>
      <c r="J274" t="n">
        <v>14</v>
      </c>
      <c r="K274" t="inlineStr">
        <is>
          <t>On Time</t>
        </is>
      </c>
      <c r="L274" t="n">
        <v>5</v>
      </c>
      <c r="M274">
        <f>VLOOKUP(D274,State_Lookup!$A$2:$B$28,2,FALSE)</f>
        <v/>
      </c>
    </row>
    <row r="275">
      <c r="A275" t="inlineStr">
        <is>
          <t>6dff5f464df4049f98419b19d120c5f2</t>
        </is>
      </c>
      <c r="B275" t="inlineStr">
        <is>
          <t>2017-03-29</t>
        </is>
      </c>
      <c r="C275" t="inlineStr">
        <is>
          <t>2017-03</t>
        </is>
      </c>
      <c r="D275" t="inlineStr">
        <is>
          <t>MG</t>
        </is>
      </c>
      <c r="E275" t="inlineStr">
        <is>
          <t>bed_bath_table</t>
        </is>
      </c>
      <c r="F275" t="n">
        <v>1</v>
      </c>
      <c r="G275" t="n">
        <v>93</v>
      </c>
      <c r="H275" t="n">
        <v>15.86</v>
      </c>
      <c r="I275" t="inlineStr">
        <is>
          <t>credit_card</t>
        </is>
      </c>
      <c r="J275" t="n">
        <v>11</v>
      </c>
      <c r="K275" t="inlineStr">
        <is>
          <t>On Time</t>
        </is>
      </c>
      <c r="L275" t="n">
        <v>5</v>
      </c>
      <c r="M275">
        <f>VLOOKUP(D275,State_Lookup!$A$2:$B$28,2,FALSE)</f>
        <v/>
      </c>
    </row>
    <row r="276">
      <c r="A276" t="inlineStr">
        <is>
          <t>e303201d86cda5183986a56d5ae1b084</t>
        </is>
      </c>
      <c r="B276" t="inlineStr">
        <is>
          <t>2017-03-29</t>
        </is>
      </c>
      <c r="C276" t="inlineStr">
        <is>
          <t>2017-03</t>
        </is>
      </c>
      <c r="D276" t="inlineStr">
        <is>
          <t>SP</t>
        </is>
      </c>
      <c r="E276" t="inlineStr">
        <is>
          <t>bed_bath_table</t>
        </is>
      </c>
      <c r="F276" t="n">
        <v>1</v>
      </c>
      <c r="G276" t="n">
        <v>13.9</v>
      </c>
      <c r="H276" t="n">
        <v>10.96</v>
      </c>
      <c r="I276" t="inlineStr">
        <is>
          <t>boleto</t>
        </is>
      </c>
      <c r="J276" t="n">
        <v>13</v>
      </c>
      <c r="K276" t="inlineStr">
        <is>
          <t>On Time</t>
        </is>
      </c>
      <c r="L276" t="n">
        <v>5</v>
      </c>
      <c r="M276">
        <f>VLOOKUP(D276,State_Lookup!$A$2:$B$28,2,FALSE)</f>
        <v/>
      </c>
    </row>
    <row r="277">
      <c r="A277" t="inlineStr">
        <is>
          <t>72bc9911258ab2d985943cde67ce4883</t>
        </is>
      </c>
      <c r="B277" t="inlineStr">
        <is>
          <t>2017-03-30</t>
        </is>
      </c>
      <c r="C277" t="inlineStr">
        <is>
          <t>2017-03</t>
        </is>
      </c>
      <c r="D277" t="inlineStr">
        <is>
          <t>RJ</t>
        </is>
      </c>
      <c r="E277" t="inlineStr">
        <is>
          <t>office_furniture</t>
        </is>
      </c>
      <c r="F277" t="n">
        <v>1</v>
      </c>
      <c r="G277" t="n">
        <v>179.96</v>
      </c>
      <c r="H277" t="n">
        <v>33.54</v>
      </c>
      <c r="I277" t="inlineStr">
        <is>
          <t>credit_card</t>
        </is>
      </c>
      <c r="J277" t="n">
        <v>18</v>
      </c>
      <c r="K277" t="inlineStr">
        <is>
          <t>On Time</t>
        </is>
      </c>
      <c r="L277" t="n">
        <v>3</v>
      </c>
      <c r="M277">
        <f>VLOOKUP(D277,State_Lookup!$A$2:$B$28,2,FALSE)</f>
        <v/>
      </c>
    </row>
    <row r="278">
      <c r="A278" t="inlineStr">
        <is>
          <t>4b59288fdfd1ef916c5bdb63ee33d987</t>
        </is>
      </c>
      <c r="B278" t="inlineStr">
        <is>
          <t>2017-03-30</t>
        </is>
      </c>
      <c r="C278" t="inlineStr">
        <is>
          <t>2017-03</t>
        </is>
      </c>
      <c r="D278" t="inlineStr">
        <is>
          <t>SP</t>
        </is>
      </c>
      <c r="E278" t="inlineStr">
        <is>
          <t>toys</t>
        </is>
      </c>
      <c r="F278" t="n">
        <v>1</v>
      </c>
      <c r="G278" t="n">
        <v>139.99</v>
      </c>
      <c r="H278" t="n">
        <v>12.37</v>
      </c>
      <c r="I278" t="inlineStr">
        <is>
          <t>credit_card</t>
        </is>
      </c>
      <c r="J278" t="n">
        <v>6</v>
      </c>
      <c r="K278" t="inlineStr">
        <is>
          <t>On Time</t>
        </is>
      </c>
      <c r="L278" t="n">
        <v>5</v>
      </c>
      <c r="M278">
        <f>VLOOKUP(D278,State_Lookup!$A$2:$B$28,2,FALSE)</f>
        <v/>
      </c>
    </row>
    <row r="279">
      <c r="A279" t="inlineStr">
        <is>
          <t>f29332f473a6254f4ff3916edf221675</t>
        </is>
      </c>
      <c r="B279" t="inlineStr">
        <is>
          <t>2017-03-30</t>
        </is>
      </c>
      <c r="C279" t="inlineStr">
        <is>
          <t>2017-03</t>
        </is>
      </c>
      <c r="D279" t="inlineStr">
        <is>
          <t>SC</t>
        </is>
      </c>
      <c r="E279" t="inlineStr">
        <is>
          <t>telephony</t>
        </is>
      </c>
      <c r="F279" t="n">
        <v>1</v>
      </c>
      <c r="G279" t="n">
        <v>18.99</v>
      </c>
      <c r="H279" t="n">
        <v>14.52</v>
      </c>
      <c r="I279" t="inlineStr">
        <is>
          <t>credit_card</t>
        </is>
      </c>
      <c r="J279" t="n">
        <v>10</v>
      </c>
      <c r="K279" t="inlineStr">
        <is>
          <t>On Time</t>
        </is>
      </c>
      <c r="L279" t="n">
        <v>5</v>
      </c>
      <c r="M279">
        <f>VLOOKUP(D279,State_Lookup!$A$2:$B$28,2,FALSE)</f>
        <v/>
      </c>
    </row>
    <row r="280">
      <c r="A280" t="inlineStr">
        <is>
          <t>5fb2e82d4258afcb90c79e2e6f0ac185</t>
        </is>
      </c>
      <c r="B280" t="inlineStr">
        <is>
          <t>2017-03-30</t>
        </is>
      </c>
      <c r="C280" t="inlineStr">
        <is>
          <t>2017-03</t>
        </is>
      </c>
      <c r="D280" t="inlineStr">
        <is>
          <t>RS</t>
        </is>
      </c>
      <c r="E280" t="inlineStr">
        <is>
          <t>health_beauty</t>
        </is>
      </c>
      <c r="F280" t="n">
        <v>1</v>
      </c>
      <c r="G280" t="n">
        <v>171</v>
      </c>
      <c r="H280" t="n">
        <v>16.9</v>
      </c>
      <c r="I280" t="inlineStr">
        <is>
          <t>credit_card</t>
        </is>
      </c>
      <c r="J280" t="n">
        <v>11</v>
      </c>
      <c r="K280" t="inlineStr">
        <is>
          <t>On Time</t>
        </is>
      </c>
      <c r="L280" t="n">
        <v>3</v>
      </c>
      <c r="M280">
        <f>VLOOKUP(D280,State_Lookup!$A$2:$B$28,2,FALSE)</f>
        <v/>
      </c>
    </row>
    <row r="281">
      <c r="A281" t="inlineStr">
        <is>
          <t>8c6dfc3056be4a27212a845d5f2bddc5</t>
        </is>
      </c>
      <c r="B281" t="inlineStr">
        <is>
          <t>2017-03-30</t>
        </is>
      </c>
      <c r="C281" t="inlineStr">
        <is>
          <t>2017-03</t>
        </is>
      </c>
      <c r="D281" t="inlineStr">
        <is>
          <t>SP</t>
        </is>
      </c>
      <c r="E281" t="inlineStr">
        <is>
          <t>furniture_decor</t>
        </is>
      </c>
      <c r="F281" t="n">
        <v>1</v>
      </c>
      <c r="G281" t="n">
        <v>59.9</v>
      </c>
      <c r="H281" t="n">
        <v>11.81</v>
      </c>
      <c r="I281" t="inlineStr">
        <is>
          <t>boleto</t>
        </is>
      </c>
      <c r="J281" t="n">
        <v>12</v>
      </c>
      <c r="K281" t="inlineStr">
        <is>
          <t>On Time</t>
        </is>
      </c>
      <c r="L281" t="n">
        <v>5</v>
      </c>
      <c r="M281">
        <f>VLOOKUP(D281,State_Lookup!$A$2:$B$28,2,FALSE)</f>
        <v/>
      </c>
    </row>
    <row r="282">
      <c r="A282" t="inlineStr">
        <is>
          <t>5bbf247f8a09d52540eac6e2cddd62a7</t>
        </is>
      </c>
      <c r="B282" t="inlineStr">
        <is>
          <t>2017-03-30</t>
        </is>
      </c>
      <c r="C282" t="inlineStr">
        <is>
          <t>2017-03</t>
        </is>
      </c>
      <c r="D282" t="inlineStr">
        <is>
          <t>MG</t>
        </is>
      </c>
      <c r="E282" t="inlineStr">
        <is>
          <t>toys</t>
        </is>
      </c>
      <c r="F282" t="n">
        <v>1</v>
      </c>
      <c r="G282" t="n">
        <v>49.9</v>
      </c>
      <c r="H282" t="n">
        <v>14.52</v>
      </c>
      <c r="I282" t="inlineStr">
        <is>
          <t>credit_card</t>
        </is>
      </c>
      <c r="J282" t="n">
        <v>12</v>
      </c>
      <c r="K282" t="inlineStr">
        <is>
          <t>On Time</t>
        </is>
      </c>
      <c r="L282" t="n">
        <v>5</v>
      </c>
      <c r="M282">
        <f>VLOOKUP(D282,State_Lookup!$A$2:$B$28,2,FALSE)</f>
        <v/>
      </c>
    </row>
    <row r="283">
      <c r="A283" t="inlineStr">
        <is>
          <t>758d844e553488d2af66539369ed624a</t>
        </is>
      </c>
      <c r="B283" t="inlineStr">
        <is>
          <t>2017-03-30</t>
        </is>
      </c>
      <c r="C283" t="inlineStr">
        <is>
          <t>2017-03</t>
        </is>
      </c>
      <c r="D283" t="inlineStr">
        <is>
          <t>SP</t>
        </is>
      </c>
      <c r="E283" t="inlineStr">
        <is>
          <t>unknown</t>
        </is>
      </c>
      <c r="F283" t="n">
        <v>1</v>
      </c>
      <c r="G283" t="n">
        <v>999.9</v>
      </c>
      <c r="H283" t="n">
        <v>21.17</v>
      </c>
      <c r="I283" t="inlineStr">
        <is>
          <t>credit_card</t>
        </is>
      </c>
      <c r="J283" t="n">
        <v>12</v>
      </c>
      <c r="K283" t="inlineStr">
        <is>
          <t>On Time</t>
        </is>
      </c>
      <c r="L283" t="n">
        <v>5</v>
      </c>
      <c r="M283">
        <f>VLOOKUP(D283,State_Lookup!$A$2:$B$28,2,FALSE)</f>
        <v/>
      </c>
    </row>
    <row r="284">
      <c r="A284" t="inlineStr">
        <is>
          <t>05c44e3898cc7d836584bfaaa36d0017</t>
        </is>
      </c>
      <c r="B284" t="inlineStr">
        <is>
          <t>2017-03-31</t>
        </is>
      </c>
      <c r="C284" t="inlineStr">
        <is>
          <t>2017-03</t>
        </is>
      </c>
      <c r="D284" t="inlineStr">
        <is>
          <t>SP</t>
        </is>
      </c>
      <c r="E284" t="inlineStr">
        <is>
          <t>sports_leisure</t>
        </is>
      </c>
      <c r="F284" t="n">
        <v>1</v>
      </c>
      <c r="G284" t="n">
        <v>59</v>
      </c>
      <c r="H284" t="n">
        <v>20.73</v>
      </c>
      <c r="I284" t="inlineStr">
        <is>
          <t>credit_card</t>
        </is>
      </c>
      <c r="J284" t="n">
        <v>12</v>
      </c>
      <c r="K284" t="inlineStr">
        <is>
          <t>On Time</t>
        </is>
      </c>
      <c r="L284" t="n">
        <v>5</v>
      </c>
      <c r="M284">
        <f>VLOOKUP(D284,State_Lookup!$A$2:$B$28,2,FALSE)</f>
        <v/>
      </c>
    </row>
    <row r="285">
      <c r="A285" t="inlineStr">
        <is>
          <t>2d7312746088a0bd8d60f8db6c6fcb46</t>
        </is>
      </c>
      <c r="B285" t="inlineStr">
        <is>
          <t>2017-03-31</t>
        </is>
      </c>
      <c r="C285" t="inlineStr">
        <is>
          <t>2017-03</t>
        </is>
      </c>
      <c r="D285" t="inlineStr">
        <is>
          <t>RJ</t>
        </is>
      </c>
      <c r="E285" t="inlineStr">
        <is>
          <t>computers_accessories</t>
        </is>
      </c>
      <c r="F285" t="n">
        <v>1</v>
      </c>
      <c r="G285" t="n">
        <v>75</v>
      </c>
      <c r="H285" t="n">
        <v>14.29</v>
      </c>
      <c r="I285" t="inlineStr">
        <is>
          <t>credit_card</t>
        </is>
      </c>
      <c r="J285" t="n">
        <v>21</v>
      </c>
      <c r="K285" t="inlineStr">
        <is>
          <t>On Time</t>
        </is>
      </c>
      <c r="L285" t="n">
        <v>5</v>
      </c>
      <c r="M285">
        <f>VLOOKUP(D285,State_Lookup!$A$2:$B$28,2,FALSE)</f>
        <v/>
      </c>
    </row>
    <row r="286">
      <c r="A286" t="inlineStr">
        <is>
          <t>b68feda578fe41870ba7a14082ce03fa</t>
        </is>
      </c>
      <c r="B286" t="inlineStr">
        <is>
          <t>2017-03-31</t>
        </is>
      </c>
      <c r="C286" t="inlineStr">
        <is>
          <t>2017-03</t>
        </is>
      </c>
      <c r="D286" t="inlineStr">
        <is>
          <t>SP</t>
        </is>
      </c>
      <c r="E286" t="inlineStr">
        <is>
          <t>consoles_games</t>
        </is>
      </c>
      <c r="F286" t="n">
        <v>2</v>
      </c>
      <c r="G286" t="n">
        <v>64.58</v>
      </c>
      <c r="H286" t="n">
        <v>17.44</v>
      </c>
      <c r="I286" t="inlineStr">
        <is>
          <t>credit_card</t>
        </is>
      </c>
      <c r="J286" t="n">
        <v>6</v>
      </c>
      <c r="K286" t="inlineStr">
        <is>
          <t>On Time</t>
        </is>
      </c>
      <c r="L286" t="n">
        <v>1</v>
      </c>
      <c r="M286">
        <f>VLOOKUP(D286,State_Lookup!$A$2:$B$28,2,FALSE)</f>
        <v/>
      </c>
    </row>
    <row r="287">
      <c r="A287" t="inlineStr">
        <is>
          <t>e33d8345fd55476c9fc022be9809a8e4</t>
        </is>
      </c>
      <c r="B287" t="inlineStr">
        <is>
          <t>2017-03-31</t>
        </is>
      </c>
      <c r="C287" t="inlineStr">
        <is>
          <t>2017-03</t>
        </is>
      </c>
      <c r="D287" t="inlineStr">
        <is>
          <t>MG</t>
        </is>
      </c>
      <c r="E287" t="inlineStr">
        <is>
          <t>luggage_accessories</t>
        </is>
      </c>
      <c r="F287" t="n">
        <v>1</v>
      </c>
      <c r="G287" t="n">
        <v>109.9</v>
      </c>
      <c r="H287" t="n">
        <v>37.17</v>
      </c>
      <c r="I287" t="inlineStr">
        <is>
          <t>boleto</t>
        </is>
      </c>
      <c r="J287" t="n">
        <v>10</v>
      </c>
      <c r="K287" t="inlineStr">
        <is>
          <t>On Time</t>
        </is>
      </c>
      <c r="L287" t="n">
        <v>5</v>
      </c>
      <c r="M287">
        <f>VLOOKUP(D287,State_Lookup!$A$2:$B$28,2,FALSE)</f>
        <v/>
      </c>
    </row>
    <row r="288">
      <c r="A288" t="inlineStr">
        <is>
          <t>6baba4edd521964e1f16b03eff660868</t>
        </is>
      </c>
      <c r="B288" t="inlineStr">
        <is>
          <t>2017-04-01</t>
        </is>
      </c>
      <c r="C288" t="inlineStr">
        <is>
          <t>2017-04</t>
        </is>
      </c>
      <c r="D288" t="inlineStr">
        <is>
          <t>SP</t>
        </is>
      </c>
      <c r="E288" t="inlineStr">
        <is>
          <t>watches_gifts</t>
        </is>
      </c>
      <c r="F288" t="n">
        <v>1</v>
      </c>
      <c r="G288" t="n">
        <v>1654.44</v>
      </c>
      <c r="H288" t="n">
        <v>18.23</v>
      </c>
      <c r="I288" t="inlineStr">
        <is>
          <t>boleto</t>
        </is>
      </c>
      <c r="J288" t="n">
        <v>4</v>
      </c>
      <c r="K288" t="inlineStr">
        <is>
          <t>On Time</t>
        </is>
      </c>
      <c r="L288" t="n">
        <v>5</v>
      </c>
      <c r="M288">
        <f>VLOOKUP(D288,State_Lookup!$A$2:$B$28,2,FALSE)</f>
        <v/>
      </c>
    </row>
    <row r="289">
      <c r="A289" t="inlineStr">
        <is>
          <t>161dba2d39ca4ba1fd1a5f8024de7da4</t>
        </is>
      </c>
      <c r="B289" t="inlineStr">
        <is>
          <t>2017-04-01</t>
        </is>
      </c>
      <c r="C289" t="inlineStr">
        <is>
          <t>2017-04</t>
        </is>
      </c>
      <c r="D289" t="inlineStr">
        <is>
          <t>SP</t>
        </is>
      </c>
      <c r="E289" t="inlineStr">
        <is>
          <t>bed_bath_table</t>
        </is>
      </c>
      <c r="F289" t="n">
        <v>1</v>
      </c>
      <c r="G289" t="n">
        <v>89.90000000000001</v>
      </c>
      <c r="H289" t="n">
        <v>18.91</v>
      </c>
      <c r="I289" t="inlineStr">
        <is>
          <t>credit_card</t>
        </is>
      </c>
      <c r="J289" t="n">
        <v>10</v>
      </c>
      <c r="K289" t="inlineStr">
        <is>
          <t>On Time</t>
        </is>
      </c>
      <c r="L289" t="n">
        <v>5</v>
      </c>
      <c r="M289">
        <f>VLOOKUP(D289,State_Lookup!$A$2:$B$28,2,FALSE)</f>
        <v/>
      </c>
    </row>
    <row r="290">
      <c r="A290" t="inlineStr">
        <is>
          <t>381e1d8755e821c57966725a4c690059</t>
        </is>
      </c>
      <c r="B290" t="inlineStr">
        <is>
          <t>2017-04-01</t>
        </is>
      </c>
      <c r="C290" t="inlineStr">
        <is>
          <t>2017-04</t>
        </is>
      </c>
      <c r="D290" t="inlineStr">
        <is>
          <t>GO</t>
        </is>
      </c>
      <c r="E290" t="inlineStr">
        <is>
          <t>toys</t>
        </is>
      </c>
      <c r="F290" t="n">
        <v>1</v>
      </c>
      <c r="G290" t="n">
        <v>54.9</v>
      </c>
      <c r="H290" t="n">
        <v>17.81</v>
      </c>
      <c r="I290" t="inlineStr">
        <is>
          <t>boleto</t>
        </is>
      </c>
      <c r="J290" t="n">
        <v>19</v>
      </c>
      <c r="K290" t="inlineStr">
        <is>
          <t>On Time</t>
        </is>
      </c>
      <c r="L290" t="n">
        <v>4</v>
      </c>
      <c r="M290">
        <f>VLOOKUP(D290,State_Lookup!$A$2:$B$28,2,FALSE)</f>
        <v/>
      </c>
    </row>
    <row r="291">
      <c r="A291" t="inlineStr">
        <is>
          <t>36e138bc060bf5e8b34ff5a25cdef48c</t>
        </is>
      </c>
      <c r="B291" t="inlineStr">
        <is>
          <t>2017-04-02</t>
        </is>
      </c>
      <c r="C291" t="inlineStr">
        <is>
          <t>2017-04</t>
        </is>
      </c>
      <c r="D291" t="inlineStr">
        <is>
          <t>PA</t>
        </is>
      </c>
      <c r="E291" t="inlineStr">
        <is>
          <t>tablets_printing_image</t>
        </is>
      </c>
      <c r="F291" t="n">
        <v>1</v>
      </c>
      <c r="G291" t="n">
        <v>152.99</v>
      </c>
      <c r="H291" t="n">
        <v>25.07</v>
      </c>
      <c r="I291" t="inlineStr">
        <is>
          <t>boleto</t>
        </is>
      </c>
      <c r="J291" t="n">
        <v>10</v>
      </c>
      <c r="K291" t="inlineStr">
        <is>
          <t>On Time</t>
        </is>
      </c>
      <c r="L291" t="n">
        <v>4</v>
      </c>
      <c r="M291">
        <f>VLOOKUP(D291,State_Lookup!$A$2:$B$28,2,FALSE)</f>
        <v/>
      </c>
    </row>
    <row r="292">
      <c r="A292" t="inlineStr">
        <is>
          <t>7a541b113a2aad3f0854eed998dc7ee8</t>
        </is>
      </c>
      <c r="B292" t="inlineStr">
        <is>
          <t>2017-04-02</t>
        </is>
      </c>
      <c r="C292" t="inlineStr">
        <is>
          <t>2017-04</t>
        </is>
      </c>
      <c r="D292" t="inlineStr">
        <is>
          <t>SP</t>
        </is>
      </c>
      <c r="E292" t="inlineStr">
        <is>
          <t>bed_bath_table</t>
        </is>
      </c>
      <c r="F292" t="n">
        <v>1</v>
      </c>
      <c r="G292" t="n">
        <v>41.9</v>
      </c>
      <c r="H292" t="n">
        <v>16.05</v>
      </c>
      <c r="I292" t="inlineStr">
        <is>
          <t>credit_card</t>
        </is>
      </c>
      <c r="J292" t="n">
        <v>8</v>
      </c>
      <c r="K292" t="inlineStr">
        <is>
          <t>On Time</t>
        </is>
      </c>
      <c r="L292" t="n">
        <v>5</v>
      </c>
      <c r="M292">
        <f>VLOOKUP(D292,State_Lookup!$A$2:$B$28,2,FALSE)</f>
        <v/>
      </c>
    </row>
    <row r="293">
      <c r="A293" t="inlineStr">
        <is>
          <t>20b93906f0b1d44ad5e6c166ab370ba7</t>
        </is>
      </c>
      <c r="B293" t="inlineStr">
        <is>
          <t>2017-04-03</t>
        </is>
      </c>
      <c r="C293" t="inlineStr">
        <is>
          <t>2017-04</t>
        </is>
      </c>
      <c r="D293" t="inlineStr">
        <is>
          <t>RJ</t>
        </is>
      </c>
      <c r="E293" t="inlineStr">
        <is>
          <t>sports_leisure</t>
        </is>
      </c>
      <c r="F293" t="n">
        <v>1</v>
      </c>
      <c r="G293" t="n">
        <v>62.9</v>
      </c>
      <c r="H293" t="n">
        <v>14.2</v>
      </c>
      <c r="I293" t="inlineStr">
        <is>
          <t>credit_card</t>
        </is>
      </c>
      <c r="J293" t="n">
        <v>9</v>
      </c>
      <c r="K293" t="inlineStr">
        <is>
          <t>On Time</t>
        </is>
      </c>
      <c r="L293" t="n">
        <v>5</v>
      </c>
      <c r="M293">
        <f>VLOOKUP(D293,State_Lookup!$A$2:$B$28,2,FALSE)</f>
        <v/>
      </c>
    </row>
    <row r="294">
      <c r="A294" t="inlineStr">
        <is>
          <t>316c1fa727d9048a98c36aefbfd84e19</t>
        </is>
      </c>
      <c r="B294" t="inlineStr">
        <is>
          <t>2017-04-03</t>
        </is>
      </c>
      <c r="C294" t="inlineStr">
        <is>
          <t>2017-04</t>
        </is>
      </c>
      <c r="D294" t="inlineStr">
        <is>
          <t>AM</t>
        </is>
      </c>
      <c r="E294" t="inlineStr">
        <is>
          <t>furniture_decor</t>
        </is>
      </c>
      <c r="F294" t="n">
        <v>1</v>
      </c>
      <c r="G294" t="n">
        <v>17.99</v>
      </c>
      <c r="H294" t="n">
        <v>24.35</v>
      </c>
      <c r="I294" t="inlineStr">
        <is>
          <t>credit_card</t>
        </is>
      </c>
      <c r="J294" t="n">
        <v>25</v>
      </c>
      <c r="K294" t="inlineStr">
        <is>
          <t>On Time</t>
        </is>
      </c>
      <c r="L294" t="n">
        <v>5</v>
      </c>
      <c r="M294">
        <f>VLOOKUP(D294,State_Lookup!$A$2:$B$28,2,FALSE)</f>
        <v/>
      </c>
    </row>
    <row r="295">
      <c r="A295" t="inlineStr">
        <is>
          <t>404056a6129e2c8e668b8ea4d5a98297</t>
        </is>
      </c>
      <c r="B295" t="inlineStr">
        <is>
          <t>2017-04-03</t>
        </is>
      </c>
      <c r="C295" t="inlineStr">
        <is>
          <t>2017-04</t>
        </is>
      </c>
      <c r="D295" t="inlineStr">
        <is>
          <t>RN</t>
        </is>
      </c>
      <c r="E295" t="inlineStr">
        <is>
          <t>perfumery</t>
        </is>
      </c>
      <c r="F295" t="n">
        <v>1</v>
      </c>
      <c r="G295" t="n">
        <v>292.9</v>
      </c>
      <c r="H295" t="n">
        <v>26.54</v>
      </c>
      <c r="I295" t="inlineStr">
        <is>
          <t>credit_card</t>
        </is>
      </c>
      <c r="J295" t="n">
        <v>14</v>
      </c>
      <c r="K295" t="inlineStr">
        <is>
          <t>On Time</t>
        </is>
      </c>
      <c r="L295" t="n">
        <v>5</v>
      </c>
      <c r="M295">
        <f>VLOOKUP(D295,State_Lookup!$A$2:$B$28,2,FALSE)</f>
        <v/>
      </c>
    </row>
    <row r="296">
      <c r="A296" t="inlineStr">
        <is>
          <t>77ea41cd71582db7c8dc337bbe28b561</t>
        </is>
      </c>
      <c r="B296" t="inlineStr">
        <is>
          <t>2017-04-04</t>
        </is>
      </c>
      <c r="C296" t="inlineStr">
        <is>
          <t>2017-04</t>
        </is>
      </c>
      <c r="D296" t="inlineStr">
        <is>
          <t>SP</t>
        </is>
      </c>
      <c r="E296" t="inlineStr">
        <is>
          <t>bed_bath_table</t>
        </is>
      </c>
      <c r="F296" t="n">
        <v>1</v>
      </c>
      <c r="G296" t="n">
        <v>98.98999999999999</v>
      </c>
      <c r="H296" t="n">
        <v>15.8</v>
      </c>
      <c r="I296" t="inlineStr">
        <is>
          <t>boleto</t>
        </is>
      </c>
      <c r="J296" t="n">
        <v>8</v>
      </c>
      <c r="K296" t="inlineStr">
        <is>
          <t>On Time</t>
        </is>
      </c>
      <c r="L296" t="n">
        <v>5</v>
      </c>
      <c r="M296">
        <f>VLOOKUP(D296,State_Lookup!$A$2:$B$28,2,FALSE)</f>
        <v/>
      </c>
    </row>
    <row r="297">
      <c r="A297" t="inlineStr">
        <is>
          <t>b955e1ecda001d15a6f9a0279d06ae5d</t>
        </is>
      </c>
      <c r="B297" t="inlineStr">
        <is>
          <t>2017-04-04</t>
        </is>
      </c>
      <c r="C297" t="inlineStr">
        <is>
          <t>2017-04</t>
        </is>
      </c>
      <c r="D297" t="inlineStr">
        <is>
          <t>SP</t>
        </is>
      </c>
      <c r="E297" t="inlineStr">
        <is>
          <t>office_furniture</t>
        </is>
      </c>
      <c r="F297" t="n">
        <v>1</v>
      </c>
      <c r="G297" t="n">
        <v>119.99</v>
      </c>
      <c r="H297" t="n">
        <v>20.14</v>
      </c>
      <c r="I297" t="inlineStr">
        <is>
          <t>credit_card</t>
        </is>
      </c>
      <c r="J297" t="n">
        <v>7</v>
      </c>
      <c r="K297" t="inlineStr">
        <is>
          <t>On Time</t>
        </is>
      </c>
      <c r="L297" t="n">
        <v>4</v>
      </c>
      <c r="M297">
        <f>VLOOKUP(D297,State_Lookup!$A$2:$B$28,2,FALSE)</f>
        <v/>
      </c>
    </row>
    <row r="298">
      <c r="A298" t="inlineStr">
        <is>
          <t>68c5cb2a721e1c90873c96888b8317da</t>
        </is>
      </c>
      <c r="B298" t="inlineStr">
        <is>
          <t>2017-04-05</t>
        </is>
      </c>
      <c r="C298" t="inlineStr">
        <is>
          <t>2017-04</t>
        </is>
      </c>
      <c r="D298" t="inlineStr">
        <is>
          <t>MG</t>
        </is>
      </c>
      <c r="E298" t="inlineStr">
        <is>
          <t>auto</t>
        </is>
      </c>
      <c r="F298" t="n">
        <v>1</v>
      </c>
      <c r="G298" t="n">
        <v>1199.9</v>
      </c>
      <c r="H298" t="n">
        <v>25.69</v>
      </c>
      <c r="I298" t="inlineStr">
        <is>
          <t>credit_card</t>
        </is>
      </c>
      <c r="J298" t="n">
        <v>5</v>
      </c>
      <c r="K298" t="inlineStr">
        <is>
          <t>On Time</t>
        </is>
      </c>
      <c r="L298" t="n">
        <v>5</v>
      </c>
      <c r="M298">
        <f>VLOOKUP(D298,State_Lookup!$A$2:$B$28,2,FALSE)</f>
        <v/>
      </c>
    </row>
    <row r="299">
      <c r="A299" t="inlineStr">
        <is>
          <t>ad6b07be756ec7284a64503ac34f6975</t>
        </is>
      </c>
      <c r="B299" t="inlineStr">
        <is>
          <t>2017-04-05</t>
        </is>
      </c>
      <c r="C299" t="inlineStr">
        <is>
          <t>2017-04</t>
        </is>
      </c>
      <c r="D299" t="inlineStr">
        <is>
          <t>RS</t>
        </is>
      </c>
      <c r="E299" t="inlineStr">
        <is>
          <t>toys</t>
        </is>
      </c>
      <c r="F299" t="n">
        <v>1</v>
      </c>
      <c r="G299" t="n">
        <v>699.99</v>
      </c>
      <c r="H299" t="n">
        <v>23.49</v>
      </c>
      <c r="I299" t="inlineStr">
        <is>
          <t>boleto</t>
        </is>
      </c>
      <c r="J299" t="n">
        <v>14</v>
      </c>
      <c r="K299" t="inlineStr">
        <is>
          <t>On Time</t>
        </is>
      </c>
      <c r="L299" t="n">
        <v>5</v>
      </c>
      <c r="M299">
        <f>VLOOKUP(D299,State_Lookup!$A$2:$B$28,2,FALSE)</f>
        <v/>
      </c>
    </row>
    <row r="300">
      <c r="A300" t="inlineStr">
        <is>
          <t>e4edd7f42d1e4c150c41533aee5e7a36</t>
        </is>
      </c>
      <c r="B300" t="inlineStr">
        <is>
          <t>2017-04-05</t>
        </is>
      </c>
      <c r="C300" t="inlineStr">
        <is>
          <t>2017-04</t>
        </is>
      </c>
      <c r="D300" t="inlineStr">
        <is>
          <t>SP</t>
        </is>
      </c>
      <c r="E300" t="inlineStr">
        <is>
          <t>sports_leisure</t>
        </is>
      </c>
      <c r="F300" t="n">
        <v>1</v>
      </c>
      <c r="G300" t="n">
        <v>69.90000000000001</v>
      </c>
      <c r="H300" t="n">
        <v>11.88</v>
      </c>
      <c r="I300" t="inlineStr">
        <is>
          <t>credit_card</t>
        </is>
      </c>
      <c r="J300" t="n">
        <v>11</v>
      </c>
      <c r="K300" t="inlineStr">
        <is>
          <t>On Time</t>
        </is>
      </c>
      <c r="L300" t="n">
        <v>5</v>
      </c>
      <c r="M300">
        <f>VLOOKUP(D300,State_Lookup!$A$2:$B$28,2,FALSE)</f>
        <v/>
      </c>
    </row>
    <row r="301">
      <c r="A301" t="inlineStr">
        <is>
          <t>faaf6a860e3ad876765787c9e1a93464</t>
        </is>
      </c>
      <c r="B301" t="inlineStr">
        <is>
          <t>2017-04-05</t>
        </is>
      </c>
      <c r="C301" t="inlineStr">
        <is>
          <t>2017-04</t>
        </is>
      </c>
      <c r="D301" t="inlineStr">
        <is>
          <t>SP</t>
        </is>
      </c>
      <c r="E301" t="inlineStr">
        <is>
          <t>pet_shop</t>
        </is>
      </c>
      <c r="F301" t="n">
        <v>1</v>
      </c>
      <c r="G301" t="n">
        <v>156</v>
      </c>
      <c r="H301" t="n">
        <v>11.7</v>
      </c>
      <c r="I301" t="inlineStr">
        <is>
          <t>credit_card</t>
        </is>
      </c>
      <c r="J301" t="n">
        <v>5</v>
      </c>
      <c r="K301" t="inlineStr">
        <is>
          <t>On Time</t>
        </is>
      </c>
      <c r="L301" t="n">
        <v>5</v>
      </c>
      <c r="M301">
        <f>VLOOKUP(D301,State_Lookup!$A$2:$B$28,2,FALSE)</f>
        <v/>
      </c>
    </row>
    <row r="302">
      <c r="A302" t="inlineStr">
        <is>
          <t>f076e6d4f9afe2b9f866bc0dc20abc6f</t>
        </is>
      </c>
      <c r="B302" t="inlineStr">
        <is>
          <t>2017-04-05</t>
        </is>
      </c>
      <c r="C302" t="inlineStr">
        <is>
          <t>2017-04</t>
        </is>
      </c>
      <c r="D302" t="inlineStr">
        <is>
          <t>SP</t>
        </is>
      </c>
      <c r="E302" t="inlineStr">
        <is>
          <t>electronics</t>
        </is>
      </c>
      <c r="F302" t="n">
        <v>1</v>
      </c>
      <c r="G302" t="n">
        <v>48.99</v>
      </c>
      <c r="H302" t="n">
        <v>10.96</v>
      </c>
      <c r="I302" t="inlineStr">
        <is>
          <t>credit_card</t>
        </is>
      </c>
      <c r="J302" t="n">
        <v>5</v>
      </c>
      <c r="K302" t="inlineStr">
        <is>
          <t>On Time</t>
        </is>
      </c>
      <c r="L302" t="n">
        <v>4</v>
      </c>
      <c r="M302">
        <f>VLOOKUP(D302,State_Lookup!$A$2:$B$28,2,FALSE)</f>
        <v/>
      </c>
    </row>
    <row r="303">
      <c r="A303" t="inlineStr">
        <is>
          <t>ae5176160fcc23563149dd28b4137b6d</t>
        </is>
      </c>
      <c r="B303" t="inlineStr">
        <is>
          <t>2017-04-05</t>
        </is>
      </c>
      <c r="C303" t="inlineStr">
        <is>
          <t>2017-04</t>
        </is>
      </c>
      <c r="D303" t="inlineStr">
        <is>
          <t>SP</t>
        </is>
      </c>
      <c r="E303" t="inlineStr">
        <is>
          <t>dvds_blu_ray</t>
        </is>
      </c>
      <c r="F303" t="n">
        <v>1</v>
      </c>
      <c r="G303" t="n">
        <v>1420</v>
      </c>
      <c r="H303" t="n">
        <v>15.58</v>
      </c>
      <c r="I303" t="inlineStr">
        <is>
          <t>credit_card</t>
        </is>
      </c>
      <c r="J303" t="n">
        <v>6</v>
      </c>
      <c r="K303" t="inlineStr">
        <is>
          <t>On Time</t>
        </is>
      </c>
      <c r="L303" t="n">
        <v>5</v>
      </c>
      <c r="M303">
        <f>VLOOKUP(D303,State_Lookup!$A$2:$B$28,2,FALSE)</f>
        <v/>
      </c>
    </row>
    <row r="304">
      <c r="A304" t="inlineStr">
        <is>
          <t>fa5140866cde7c9764922065831a5510</t>
        </is>
      </c>
      <c r="B304" t="inlineStr">
        <is>
          <t>2017-04-06</t>
        </is>
      </c>
      <c r="C304" t="inlineStr">
        <is>
          <t>2017-04</t>
        </is>
      </c>
      <c r="D304" t="inlineStr">
        <is>
          <t>RJ</t>
        </is>
      </c>
      <c r="E304" t="inlineStr">
        <is>
          <t>bed_bath_table</t>
        </is>
      </c>
      <c r="F304" t="n">
        <v>1</v>
      </c>
      <c r="G304" t="n">
        <v>79.90000000000001</v>
      </c>
      <c r="H304" t="n">
        <v>17.3</v>
      </c>
      <c r="I304" t="inlineStr">
        <is>
          <t>credit_card</t>
        </is>
      </c>
      <c r="J304" t="n">
        <v>25</v>
      </c>
      <c r="K304" t="inlineStr">
        <is>
          <t>On Time</t>
        </is>
      </c>
      <c r="L304" t="n">
        <v>3</v>
      </c>
      <c r="M304">
        <f>VLOOKUP(D304,State_Lookup!$A$2:$B$28,2,FALSE)</f>
        <v/>
      </c>
    </row>
    <row r="305">
      <c r="A305" t="inlineStr">
        <is>
          <t>abecbd6356fb44255baff524fd60438e</t>
        </is>
      </c>
      <c r="B305" t="inlineStr">
        <is>
          <t>2017-04-06</t>
        </is>
      </c>
      <c r="C305" t="inlineStr">
        <is>
          <t>2017-04</t>
        </is>
      </c>
      <c r="D305" t="inlineStr">
        <is>
          <t>PR</t>
        </is>
      </c>
      <c r="E305" t="inlineStr">
        <is>
          <t>unknown</t>
        </is>
      </c>
      <c r="F305" t="n">
        <v>1</v>
      </c>
      <c r="G305" t="n">
        <v>999.9</v>
      </c>
      <c r="H305" t="n">
        <v>22.7</v>
      </c>
      <c r="I305" t="inlineStr">
        <is>
          <t>credit_card</t>
        </is>
      </c>
      <c r="J305" t="n">
        <v>6</v>
      </c>
      <c r="K305" t="inlineStr">
        <is>
          <t>On Time</t>
        </is>
      </c>
      <c r="L305" t="n">
        <v>5</v>
      </c>
      <c r="M305">
        <f>VLOOKUP(D305,State_Lookup!$A$2:$B$28,2,FALSE)</f>
        <v/>
      </c>
    </row>
    <row r="306">
      <c r="A306" t="inlineStr">
        <is>
          <t>0fd8a0c97993a139d5277f2023f93649</t>
        </is>
      </c>
      <c r="B306" t="inlineStr">
        <is>
          <t>2017-04-07</t>
        </is>
      </c>
      <c r="C306" t="inlineStr">
        <is>
          <t>2017-04</t>
        </is>
      </c>
      <c r="D306" t="inlineStr">
        <is>
          <t>SC</t>
        </is>
      </c>
      <c r="E306" t="inlineStr">
        <is>
          <t>toys</t>
        </is>
      </c>
      <c r="F306" t="n">
        <v>1</v>
      </c>
      <c r="G306" t="n">
        <v>99.90000000000001</v>
      </c>
      <c r="H306" t="n">
        <v>14.87</v>
      </c>
      <c r="I306" t="inlineStr">
        <is>
          <t>credit_card</t>
        </is>
      </c>
      <c r="J306" t="n">
        <v>20</v>
      </c>
      <c r="K306" t="inlineStr">
        <is>
          <t>On Time</t>
        </is>
      </c>
      <c r="L306" t="n">
        <v>5</v>
      </c>
      <c r="M306">
        <f>VLOOKUP(D306,State_Lookup!$A$2:$B$28,2,FALSE)</f>
        <v/>
      </c>
    </row>
    <row r="307">
      <c r="A307" t="inlineStr">
        <is>
          <t>34d3746ff00ec19dffcf5a7f6761a1eb</t>
        </is>
      </c>
      <c r="B307" t="inlineStr">
        <is>
          <t>2017-04-07</t>
        </is>
      </c>
      <c r="C307" t="inlineStr">
        <is>
          <t>2017-04</t>
        </is>
      </c>
      <c r="D307" t="inlineStr">
        <is>
          <t>SP</t>
        </is>
      </c>
      <c r="E307" t="inlineStr">
        <is>
          <t>home_comfort_2</t>
        </is>
      </c>
      <c r="F307" t="n">
        <v>1</v>
      </c>
      <c r="G307" t="n">
        <v>12.9</v>
      </c>
      <c r="H307" t="n">
        <v>10.96</v>
      </c>
      <c r="I307" t="inlineStr">
        <is>
          <t>credit_card</t>
        </is>
      </c>
      <c r="J307" t="n">
        <v>16</v>
      </c>
      <c r="K307" t="inlineStr">
        <is>
          <t>On Time</t>
        </is>
      </c>
      <c r="L307" t="n">
        <v>5</v>
      </c>
      <c r="M307">
        <f>VLOOKUP(D307,State_Lookup!$A$2:$B$28,2,FALSE)</f>
        <v/>
      </c>
    </row>
    <row r="308">
      <c r="A308" t="inlineStr">
        <is>
          <t>c14317bde925bb399cb2a3cf8b07854b</t>
        </is>
      </c>
      <c r="B308" t="inlineStr">
        <is>
          <t>2017-04-07</t>
        </is>
      </c>
      <c r="C308" t="inlineStr">
        <is>
          <t>2017-04</t>
        </is>
      </c>
      <c r="D308" t="inlineStr">
        <is>
          <t>SC</t>
        </is>
      </c>
      <c r="E308" t="inlineStr">
        <is>
          <t>sports_leisure</t>
        </is>
      </c>
      <c r="F308" t="n">
        <v>1</v>
      </c>
      <c r="G308" t="n">
        <v>53.9</v>
      </c>
      <c r="H308" t="n">
        <v>11.77</v>
      </c>
      <c r="I308" t="inlineStr">
        <is>
          <t>credit_card</t>
        </is>
      </c>
      <c r="J308" t="n">
        <v>10</v>
      </c>
      <c r="K308" t="inlineStr">
        <is>
          <t>On Time</t>
        </is>
      </c>
      <c r="L308" t="n">
        <v>5</v>
      </c>
      <c r="M308">
        <f>VLOOKUP(D308,State_Lookup!$A$2:$B$28,2,FALSE)</f>
        <v/>
      </c>
    </row>
    <row r="309">
      <c r="A309" t="inlineStr">
        <is>
          <t>620f88e1cad4c60e7f3cc29d682e7eb9</t>
        </is>
      </c>
      <c r="B309" t="inlineStr">
        <is>
          <t>2017-04-07</t>
        </is>
      </c>
      <c r="C309" t="inlineStr">
        <is>
          <t>2017-04</t>
        </is>
      </c>
      <c r="D309" t="inlineStr">
        <is>
          <t>RJ</t>
        </is>
      </c>
      <c r="E309" t="inlineStr">
        <is>
          <t>toys</t>
        </is>
      </c>
      <c r="F309" t="n">
        <v>1</v>
      </c>
      <c r="G309" t="n">
        <v>94.5</v>
      </c>
      <c r="H309" t="n">
        <v>14.83</v>
      </c>
      <c r="I309" t="inlineStr">
        <is>
          <t>credit_card</t>
        </is>
      </c>
      <c r="J309" t="n">
        <v>10</v>
      </c>
      <c r="K309" t="inlineStr">
        <is>
          <t>On Time</t>
        </is>
      </c>
      <c r="L309" t="n">
        <v>5</v>
      </c>
      <c r="M309">
        <f>VLOOKUP(D309,State_Lookup!$A$2:$B$28,2,FALSE)</f>
        <v/>
      </c>
    </row>
    <row r="310">
      <c r="A310" t="inlineStr">
        <is>
          <t>276e9ec344d3bf029ff83a161c6b3ce9</t>
        </is>
      </c>
      <c r="B310" t="inlineStr">
        <is>
          <t>2017-04-08</t>
        </is>
      </c>
      <c r="C310" t="inlineStr">
        <is>
          <t>2017-04</t>
        </is>
      </c>
      <c r="D310" t="inlineStr">
        <is>
          <t>CE</t>
        </is>
      </c>
      <c r="E310" t="inlineStr">
        <is>
          <t>garden_tools</t>
        </is>
      </c>
      <c r="F310" t="n">
        <v>1</v>
      </c>
      <c r="G310" t="n">
        <v>249</v>
      </c>
      <c r="H310" t="n">
        <v>30.94</v>
      </c>
      <c r="I310" t="inlineStr">
        <is>
          <t>credit_card</t>
        </is>
      </c>
      <c r="J310" t="n">
        <v>43</v>
      </c>
      <c r="K310" t="inlineStr">
        <is>
          <t>Late</t>
        </is>
      </c>
      <c r="L310" t="n">
        <v>1</v>
      </c>
      <c r="M310">
        <f>VLOOKUP(D310,State_Lookup!$A$2:$B$28,2,FALSE)</f>
        <v/>
      </c>
    </row>
    <row r="311">
      <c r="A311" t="inlineStr">
        <is>
          <t>33ae336da56e5f632a69e131c877815f</t>
        </is>
      </c>
      <c r="B311" t="inlineStr">
        <is>
          <t>2017-04-08</t>
        </is>
      </c>
      <c r="C311" t="inlineStr">
        <is>
          <t>2017-04</t>
        </is>
      </c>
      <c r="D311" t="inlineStr">
        <is>
          <t>SC</t>
        </is>
      </c>
      <c r="E311" t="inlineStr">
        <is>
          <t>cool_stuff</t>
        </is>
      </c>
      <c r="F311" t="n">
        <v>1</v>
      </c>
      <c r="G311" t="n">
        <v>219.99</v>
      </c>
      <c r="H311" t="n">
        <v>19.82</v>
      </c>
      <c r="I311" t="inlineStr">
        <is>
          <t>boleto</t>
        </is>
      </c>
      <c r="J311" t="n">
        <v>11</v>
      </c>
      <c r="K311" t="inlineStr">
        <is>
          <t>On Time</t>
        </is>
      </c>
      <c r="L311" t="n">
        <v>5</v>
      </c>
      <c r="M311">
        <f>VLOOKUP(D311,State_Lookup!$A$2:$B$28,2,FALSE)</f>
        <v/>
      </c>
    </row>
    <row r="312">
      <c r="A312" t="inlineStr">
        <is>
          <t>c0c4abe362862141005289577fa44d0a</t>
        </is>
      </c>
      <c r="B312" t="inlineStr">
        <is>
          <t>2017-04-08</t>
        </is>
      </c>
      <c r="C312" t="inlineStr">
        <is>
          <t>2017-04</t>
        </is>
      </c>
      <c r="D312" t="inlineStr">
        <is>
          <t>MG</t>
        </is>
      </c>
      <c r="E312" t="inlineStr">
        <is>
          <t>furniture_living_room</t>
        </is>
      </c>
      <c r="F312" t="n">
        <v>1</v>
      </c>
      <c r="G312" t="n">
        <v>29.9</v>
      </c>
      <c r="H312" t="n">
        <v>16.5</v>
      </c>
      <c r="I312" t="inlineStr">
        <is>
          <t>credit_card</t>
        </is>
      </c>
      <c r="J312" t="n">
        <v>10</v>
      </c>
      <c r="K312" t="inlineStr">
        <is>
          <t>On Time</t>
        </is>
      </c>
      <c r="L312" t="n">
        <v>5</v>
      </c>
      <c r="M312">
        <f>VLOOKUP(D312,State_Lookup!$A$2:$B$28,2,FALSE)</f>
        <v/>
      </c>
    </row>
    <row r="313">
      <c r="A313" t="inlineStr">
        <is>
          <t>fdb6e644d463ad142d9ed03c9f6222a6</t>
        </is>
      </c>
      <c r="B313" t="inlineStr">
        <is>
          <t>2017-04-08</t>
        </is>
      </c>
      <c r="C313" t="inlineStr">
        <is>
          <t>2017-04</t>
        </is>
      </c>
      <c r="D313" t="inlineStr">
        <is>
          <t>SP</t>
        </is>
      </c>
      <c r="E313" t="inlineStr">
        <is>
          <t>furniture_decor</t>
        </is>
      </c>
      <c r="F313" t="n">
        <v>1</v>
      </c>
      <c r="G313" t="n">
        <v>59.9</v>
      </c>
      <c r="H313" t="n">
        <v>11.81</v>
      </c>
      <c r="I313" t="inlineStr">
        <is>
          <t>credit_card</t>
        </is>
      </c>
      <c r="J313" t="n">
        <v>10</v>
      </c>
      <c r="K313" t="inlineStr">
        <is>
          <t>On Time</t>
        </is>
      </c>
      <c r="L313" t="n">
        <v>5</v>
      </c>
      <c r="M313">
        <f>VLOOKUP(D313,State_Lookup!$A$2:$B$28,2,FALSE)</f>
        <v/>
      </c>
    </row>
    <row r="314">
      <c r="A314" t="inlineStr">
        <is>
          <t>c42fdc1266a0ebdb032e6afaf8320b6a</t>
        </is>
      </c>
      <c r="B314" t="inlineStr">
        <is>
          <t>2017-04-09</t>
        </is>
      </c>
      <c r="C314" t="inlineStr">
        <is>
          <t>2017-04</t>
        </is>
      </c>
      <c r="D314" t="inlineStr">
        <is>
          <t>SP</t>
        </is>
      </c>
      <c r="E314" t="inlineStr">
        <is>
          <t>pet_shop</t>
        </is>
      </c>
      <c r="F314" t="n">
        <v>1</v>
      </c>
      <c r="G314" t="n">
        <v>156</v>
      </c>
      <c r="H314" t="n">
        <v>11.7</v>
      </c>
      <c r="I314" t="inlineStr">
        <is>
          <t>credit_card</t>
        </is>
      </c>
      <c r="J314" t="n">
        <v>4</v>
      </c>
      <c r="K314" t="inlineStr">
        <is>
          <t>On Time</t>
        </is>
      </c>
      <c r="L314" t="n">
        <v>3</v>
      </c>
      <c r="M314">
        <f>VLOOKUP(D314,State_Lookup!$A$2:$B$28,2,FALSE)</f>
        <v/>
      </c>
    </row>
    <row r="315">
      <c r="A315" t="inlineStr">
        <is>
          <t>1b0a4a31fc0d7e48066ec01d14ed1b5a</t>
        </is>
      </c>
      <c r="B315" t="inlineStr">
        <is>
          <t>2017-04-09</t>
        </is>
      </c>
      <c r="C315" t="inlineStr">
        <is>
          <t>2017-04</t>
        </is>
      </c>
      <c r="D315" t="inlineStr">
        <is>
          <t>BA</t>
        </is>
      </c>
      <c r="E315" t="inlineStr">
        <is>
          <t>telephony</t>
        </is>
      </c>
      <c r="F315" t="n">
        <v>1</v>
      </c>
      <c r="G315" t="n">
        <v>18.95</v>
      </c>
      <c r="H315" t="n">
        <v>20.8</v>
      </c>
      <c r="I315" t="inlineStr">
        <is>
          <t>credit_card</t>
        </is>
      </c>
      <c r="J315" t="n">
        <v>29</v>
      </c>
      <c r="K315" t="inlineStr">
        <is>
          <t>On Time</t>
        </is>
      </c>
      <c r="L315" t="n">
        <v>5</v>
      </c>
      <c r="M315">
        <f>VLOOKUP(D315,State_Lookup!$A$2:$B$28,2,FALSE)</f>
        <v/>
      </c>
    </row>
    <row r="316">
      <c r="A316" t="inlineStr">
        <is>
          <t>e5da6b075bf12389011f8a4ce3c1d1de</t>
        </is>
      </c>
      <c r="B316" t="inlineStr">
        <is>
          <t>2017-04-09</t>
        </is>
      </c>
      <c r="C316" t="inlineStr">
        <is>
          <t>2017-04</t>
        </is>
      </c>
      <c r="D316" t="inlineStr">
        <is>
          <t>SP</t>
        </is>
      </c>
      <c r="E316" t="inlineStr">
        <is>
          <t>luggage_accessories</t>
        </is>
      </c>
      <c r="F316" t="n">
        <v>1</v>
      </c>
      <c r="G316" t="n">
        <v>48.9</v>
      </c>
      <c r="H316" t="n">
        <v>15.56</v>
      </c>
      <c r="I316" t="inlineStr">
        <is>
          <t>credit_card</t>
        </is>
      </c>
      <c r="J316" t="n">
        <v>8</v>
      </c>
      <c r="K316" t="inlineStr">
        <is>
          <t>On Time</t>
        </is>
      </c>
      <c r="L316" t="n">
        <v>5</v>
      </c>
      <c r="M316">
        <f>VLOOKUP(D316,State_Lookup!$A$2:$B$28,2,FALSE)</f>
        <v/>
      </c>
    </row>
    <row r="317">
      <c r="A317" t="inlineStr">
        <is>
          <t>131ca8643d9f990f2ab26e3a33ec7950</t>
        </is>
      </c>
      <c r="B317" t="inlineStr">
        <is>
          <t>2017-04-09</t>
        </is>
      </c>
      <c r="C317" t="inlineStr">
        <is>
          <t>2017-04</t>
        </is>
      </c>
      <c r="D317" t="inlineStr">
        <is>
          <t>RS</t>
        </is>
      </c>
      <c r="E317" t="inlineStr">
        <is>
          <t>cool_stuff</t>
        </is>
      </c>
      <c r="F317" t="n">
        <v>1</v>
      </c>
      <c r="G317" t="n">
        <v>199</v>
      </c>
      <c r="H317" t="n">
        <v>15.16</v>
      </c>
      <c r="I317" t="inlineStr">
        <is>
          <t>credit_card</t>
        </is>
      </c>
      <c r="J317" t="inlineStr"/>
      <c r="K317" t="inlineStr">
        <is>
          <t>Not Delivered</t>
        </is>
      </c>
      <c r="L317" t="n">
        <v>2</v>
      </c>
      <c r="M317">
        <f>VLOOKUP(D317,State_Lookup!$A$2:$B$28,2,FALSE)</f>
        <v/>
      </c>
    </row>
    <row r="318">
      <c r="A318" t="inlineStr">
        <is>
          <t>e5660f4c411090251a0a154f085bbfe8</t>
        </is>
      </c>
      <c r="B318" t="inlineStr">
        <is>
          <t>2017-04-09</t>
        </is>
      </c>
      <c r="C318" t="inlineStr">
        <is>
          <t>2017-04</t>
        </is>
      </c>
      <c r="D318" t="inlineStr">
        <is>
          <t>RJ</t>
        </is>
      </c>
      <c r="E318" t="inlineStr">
        <is>
          <t>cool_stuff</t>
        </is>
      </c>
      <c r="F318" t="n">
        <v>1</v>
      </c>
      <c r="G318" t="n">
        <v>99.98999999999999</v>
      </c>
      <c r="H318" t="n">
        <v>15.91</v>
      </c>
      <c r="I318" t="inlineStr">
        <is>
          <t>credit_card</t>
        </is>
      </c>
      <c r="J318" t="n">
        <v>21</v>
      </c>
      <c r="K318" t="inlineStr">
        <is>
          <t>On Time</t>
        </is>
      </c>
      <c r="L318" t="n">
        <v>3</v>
      </c>
      <c r="M318">
        <f>VLOOKUP(D318,State_Lookup!$A$2:$B$28,2,FALSE)</f>
        <v/>
      </c>
    </row>
    <row r="319">
      <c r="A319" t="inlineStr">
        <is>
          <t>b33dfa9cb1bd5eb21f0a09da605e1af4</t>
        </is>
      </c>
      <c r="B319" t="inlineStr">
        <is>
          <t>2017-04-09</t>
        </is>
      </c>
      <c r="C319" t="inlineStr">
        <is>
          <t>2017-04</t>
        </is>
      </c>
      <c r="D319" t="inlineStr">
        <is>
          <t>RJ</t>
        </is>
      </c>
      <c r="E319" t="inlineStr">
        <is>
          <t>health_beauty</t>
        </is>
      </c>
      <c r="F319" t="n">
        <v>1</v>
      </c>
      <c r="G319" t="n">
        <v>339.99</v>
      </c>
      <c r="H319" t="n">
        <v>17.14</v>
      </c>
      <c r="I319" t="inlineStr">
        <is>
          <t>credit_card</t>
        </is>
      </c>
      <c r="J319" t="n">
        <v>8</v>
      </c>
      <c r="K319" t="inlineStr">
        <is>
          <t>On Time</t>
        </is>
      </c>
      <c r="L319" t="n">
        <v>5</v>
      </c>
      <c r="M319">
        <f>VLOOKUP(D319,State_Lookup!$A$2:$B$28,2,FALSE)</f>
        <v/>
      </c>
    </row>
    <row r="320">
      <c r="A320" t="inlineStr">
        <is>
          <t>014f1e63f9bd4f5578edcf4e5c305a0a</t>
        </is>
      </c>
      <c r="B320" t="inlineStr">
        <is>
          <t>2017-04-09</t>
        </is>
      </c>
      <c r="C320" t="inlineStr">
        <is>
          <t>2017-04</t>
        </is>
      </c>
      <c r="D320" t="inlineStr">
        <is>
          <t>MG</t>
        </is>
      </c>
      <c r="E320" t="inlineStr">
        <is>
          <t>computers_accessories</t>
        </is>
      </c>
      <c r="F320" t="n">
        <v>1</v>
      </c>
      <c r="G320" t="n">
        <v>129.9</v>
      </c>
      <c r="H320" t="n">
        <v>18.34</v>
      </c>
      <c r="I320" t="inlineStr">
        <is>
          <t>credit_card</t>
        </is>
      </c>
      <c r="J320" t="n">
        <v>7</v>
      </c>
      <c r="K320" t="inlineStr">
        <is>
          <t>On Time</t>
        </is>
      </c>
      <c r="L320" t="n">
        <v>5</v>
      </c>
      <c r="M320">
        <f>VLOOKUP(D320,State_Lookup!$A$2:$B$28,2,FALSE)</f>
        <v/>
      </c>
    </row>
    <row r="321">
      <c r="A321" t="inlineStr">
        <is>
          <t>ba4630480d9cb693430e8ee1e82b9c7a</t>
        </is>
      </c>
      <c r="B321" t="inlineStr">
        <is>
          <t>2017-04-10</t>
        </is>
      </c>
      <c r="C321" t="inlineStr">
        <is>
          <t>2017-04</t>
        </is>
      </c>
      <c r="D321" t="inlineStr">
        <is>
          <t>RS</t>
        </is>
      </c>
      <c r="E321" t="inlineStr">
        <is>
          <t>cool_stuff</t>
        </is>
      </c>
      <c r="F321" t="n">
        <v>1</v>
      </c>
      <c r="G321" t="n">
        <v>599</v>
      </c>
      <c r="H321" t="n">
        <v>24.01</v>
      </c>
      <c r="I321" t="inlineStr">
        <is>
          <t>credit_card</t>
        </is>
      </c>
      <c r="J321" t="n">
        <v>9</v>
      </c>
      <c r="K321" t="inlineStr">
        <is>
          <t>On Time</t>
        </is>
      </c>
      <c r="L321" t="n">
        <v>5</v>
      </c>
      <c r="M321">
        <f>VLOOKUP(D321,State_Lookup!$A$2:$B$28,2,FALSE)</f>
        <v/>
      </c>
    </row>
    <row r="322">
      <c r="A322" t="inlineStr">
        <is>
          <t>0d3346ede30fffc33c30740f06709025</t>
        </is>
      </c>
      <c r="B322" t="inlineStr">
        <is>
          <t>2017-04-11</t>
        </is>
      </c>
      <c r="C322" t="inlineStr">
        <is>
          <t>2017-04</t>
        </is>
      </c>
      <c r="D322" t="inlineStr">
        <is>
          <t>SP</t>
        </is>
      </c>
      <c r="E322" t="inlineStr">
        <is>
          <t>garden_tools</t>
        </is>
      </c>
      <c r="F322" t="n">
        <v>1</v>
      </c>
      <c r="G322" t="n">
        <v>112</v>
      </c>
      <c r="H322" t="n">
        <v>16.48</v>
      </c>
      <c r="I322" t="inlineStr">
        <is>
          <t>credit_card</t>
        </is>
      </c>
      <c r="J322" t="n">
        <v>8</v>
      </c>
      <c r="K322" t="inlineStr">
        <is>
          <t>On Time</t>
        </is>
      </c>
      <c r="L322" t="n">
        <v>5</v>
      </c>
      <c r="M322">
        <f>VLOOKUP(D322,State_Lookup!$A$2:$B$28,2,FALSE)</f>
        <v/>
      </c>
    </row>
    <row r="323">
      <c r="A323" t="inlineStr">
        <is>
          <t>0b16fcb0e3133c83e8c82ed7bd6ccb1b</t>
        </is>
      </c>
      <c r="B323" t="inlineStr">
        <is>
          <t>2017-04-11</t>
        </is>
      </c>
      <c r="C323" t="inlineStr">
        <is>
          <t>2017-04</t>
        </is>
      </c>
      <c r="D323" t="inlineStr">
        <is>
          <t>SP</t>
        </is>
      </c>
      <c r="E323" t="inlineStr">
        <is>
          <t>fashion_bags_accessories</t>
        </is>
      </c>
      <c r="F323" t="n">
        <v>1</v>
      </c>
      <c r="G323" t="n">
        <v>49.9</v>
      </c>
      <c r="H323" t="n">
        <v>8.720000000000001</v>
      </c>
      <c r="I323" t="inlineStr">
        <is>
          <t>credit_card</t>
        </is>
      </c>
      <c r="J323" t="n">
        <v>5</v>
      </c>
      <c r="K323" t="inlineStr">
        <is>
          <t>On Time</t>
        </is>
      </c>
      <c r="L323" t="n">
        <v>5</v>
      </c>
      <c r="M323">
        <f>VLOOKUP(D323,State_Lookup!$A$2:$B$28,2,FALSE)</f>
        <v/>
      </c>
    </row>
    <row r="324">
      <c r="A324" t="inlineStr">
        <is>
          <t>5eb1569b3a9e174aebf991bfa0fef897</t>
        </is>
      </c>
      <c r="B324" t="inlineStr">
        <is>
          <t>2017-04-11</t>
        </is>
      </c>
      <c r="C324" t="inlineStr">
        <is>
          <t>2017-04</t>
        </is>
      </c>
      <c r="D324" t="inlineStr">
        <is>
          <t>SP</t>
        </is>
      </c>
      <c r="E324" t="inlineStr">
        <is>
          <t>garden_tools</t>
        </is>
      </c>
      <c r="F324" t="n">
        <v>2</v>
      </c>
      <c r="G324" t="n">
        <v>224</v>
      </c>
      <c r="H324" t="n">
        <v>32.96</v>
      </c>
      <c r="I324" t="inlineStr">
        <is>
          <t>credit_card</t>
        </is>
      </c>
      <c r="J324" t="n">
        <v>7</v>
      </c>
      <c r="K324" t="inlineStr">
        <is>
          <t>On Time</t>
        </is>
      </c>
      <c r="L324" t="n">
        <v>5</v>
      </c>
      <c r="M324">
        <f>VLOOKUP(D324,State_Lookup!$A$2:$B$28,2,FALSE)</f>
        <v/>
      </c>
    </row>
    <row r="325">
      <c r="A325" t="inlineStr">
        <is>
          <t>86f3eab0f6458fbf53389a14fc8ce71a</t>
        </is>
      </c>
      <c r="B325" t="inlineStr">
        <is>
          <t>2017-04-12</t>
        </is>
      </c>
      <c r="C325" t="inlineStr">
        <is>
          <t>2017-04</t>
        </is>
      </c>
      <c r="D325" t="inlineStr">
        <is>
          <t>SP</t>
        </is>
      </c>
      <c r="E325" t="inlineStr">
        <is>
          <t>toys</t>
        </is>
      </c>
      <c r="F325" t="n">
        <v>1</v>
      </c>
      <c r="G325" t="n">
        <v>499.99</v>
      </c>
      <c r="H325" t="n">
        <v>18.26</v>
      </c>
      <c r="I325" t="inlineStr">
        <is>
          <t>credit_card</t>
        </is>
      </c>
      <c r="J325" t="n">
        <v>6</v>
      </c>
      <c r="K325" t="inlineStr">
        <is>
          <t>On Time</t>
        </is>
      </c>
      <c r="L325" t="n">
        <v>5</v>
      </c>
      <c r="M325">
        <f>VLOOKUP(D325,State_Lookup!$A$2:$B$28,2,FALSE)</f>
        <v/>
      </c>
    </row>
    <row r="326">
      <c r="A326" t="inlineStr">
        <is>
          <t>f75eddeb8fc33239a2211c1a34f6911c</t>
        </is>
      </c>
      <c r="B326" t="inlineStr">
        <is>
          <t>2017-04-12</t>
        </is>
      </c>
      <c r="C326" t="inlineStr">
        <is>
          <t>2017-04</t>
        </is>
      </c>
      <c r="D326" t="inlineStr">
        <is>
          <t>SP</t>
        </is>
      </c>
      <c r="E326" t="inlineStr">
        <is>
          <t>sports_leisure</t>
        </is>
      </c>
      <c r="F326" t="n">
        <v>1</v>
      </c>
      <c r="G326" t="n">
        <v>239</v>
      </c>
      <c r="H326" t="n">
        <v>10.04</v>
      </c>
      <c r="I326" t="inlineStr">
        <is>
          <t>credit_card</t>
        </is>
      </c>
      <c r="J326" t="n">
        <v>5</v>
      </c>
      <c r="K326" t="inlineStr">
        <is>
          <t>On Time</t>
        </is>
      </c>
      <c r="L326" t="n">
        <v>5</v>
      </c>
      <c r="M326">
        <f>VLOOKUP(D326,State_Lookup!$A$2:$B$28,2,FALSE)</f>
        <v/>
      </c>
    </row>
    <row r="327">
      <c r="A327" t="inlineStr">
        <is>
          <t>dd5ebf00c3d8b88a41ec9c8450ec59db</t>
        </is>
      </c>
      <c r="B327" t="inlineStr">
        <is>
          <t>2017-04-12</t>
        </is>
      </c>
      <c r="C327" t="inlineStr">
        <is>
          <t>2017-04</t>
        </is>
      </c>
      <c r="D327" t="inlineStr">
        <is>
          <t>DF</t>
        </is>
      </c>
      <c r="E327" t="inlineStr">
        <is>
          <t>housewares</t>
        </is>
      </c>
      <c r="F327" t="n">
        <v>1</v>
      </c>
      <c r="G327" t="n">
        <v>31</v>
      </c>
      <c r="H327" t="n">
        <v>8.720000000000001</v>
      </c>
      <c r="I327" t="inlineStr">
        <is>
          <t>credit_card</t>
        </is>
      </c>
      <c r="J327" t="n">
        <v>5</v>
      </c>
      <c r="K327" t="inlineStr">
        <is>
          <t>On Time</t>
        </is>
      </c>
      <c r="L327" t="n">
        <v>5</v>
      </c>
      <c r="M327">
        <f>VLOOKUP(D327,State_Lookup!$A$2:$B$28,2,FALSE)</f>
        <v/>
      </c>
    </row>
    <row r="328">
      <c r="A328" t="inlineStr">
        <is>
          <t>84ad418dcacad799e4a81ac24328d6fd</t>
        </is>
      </c>
      <c r="B328" t="inlineStr">
        <is>
          <t>2017-04-14</t>
        </is>
      </c>
      <c r="C328" t="inlineStr">
        <is>
          <t>2017-04</t>
        </is>
      </c>
      <c r="D328" t="inlineStr">
        <is>
          <t>RS</t>
        </is>
      </c>
      <c r="E328" t="inlineStr">
        <is>
          <t>kitchen_dining_laundry_garden_furniture</t>
        </is>
      </c>
      <c r="F328" t="n">
        <v>1</v>
      </c>
      <c r="G328" t="n">
        <v>48.9</v>
      </c>
      <c r="H328" t="n">
        <v>37.92</v>
      </c>
      <c r="I328" t="inlineStr">
        <is>
          <t>boleto</t>
        </is>
      </c>
      <c r="J328" t="n">
        <v>24</v>
      </c>
      <c r="K328" t="inlineStr">
        <is>
          <t>On Time</t>
        </is>
      </c>
      <c r="L328" t="n">
        <v>5</v>
      </c>
      <c r="M328">
        <f>VLOOKUP(D328,State_Lookup!$A$2:$B$28,2,FALSE)</f>
        <v/>
      </c>
    </row>
    <row r="329">
      <c r="A329" t="inlineStr">
        <is>
          <t>4932f0177140a9a8b32264ac6f41ac5f</t>
        </is>
      </c>
      <c r="B329" t="inlineStr">
        <is>
          <t>2017-04-14</t>
        </is>
      </c>
      <c r="C329" t="inlineStr">
        <is>
          <t>2017-04</t>
        </is>
      </c>
      <c r="D329" t="inlineStr">
        <is>
          <t>SP</t>
        </is>
      </c>
      <c r="E329" t="inlineStr">
        <is>
          <t>perfumery</t>
        </is>
      </c>
      <c r="F329" t="n">
        <v>1</v>
      </c>
      <c r="G329" t="n">
        <v>59.9</v>
      </c>
      <c r="H329" t="n">
        <v>14.59</v>
      </c>
      <c r="I329" t="inlineStr">
        <is>
          <t>credit_card</t>
        </is>
      </c>
      <c r="J329" t="n">
        <v>15</v>
      </c>
      <c r="K329" t="inlineStr">
        <is>
          <t>On Time</t>
        </is>
      </c>
      <c r="L329" t="n">
        <v>5</v>
      </c>
      <c r="M329">
        <f>VLOOKUP(D329,State_Lookup!$A$2:$B$28,2,FALSE)</f>
        <v/>
      </c>
    </row>
    <row r="330">
      <c r="A330" t="inlineStr">
        <is>
          <t>2053554187588f29cdeb57a88d331e83</t>
        </is>
      </c>
      <c r="B330" t="inlineStr">
        <is>
          <t>2017-04-15</t>
        </is>
      </c>
      <c r="C330" t="inlineStr">
        <is>
          <t>2017-04</t>
        </is>
      </c>
      <c r="D330" t="inlineStr">
        <is>
          <t>SP</t>
        </is>
      </c>
      <c r="E330" t="inlineStr">
        <is>
          <t>toys</t>
        </is>
      </c>
      <c r="F330" t="n">
        <v>1</v>
      </c>
      <c r="G330" t="n">
        <v>42.99</v>
      </c>
      <c r="H330" t="n">
        <v>8.720000000000001</v>
      </c>
      <c r="I330" t="inlineStr">
        <is>
          <t>credit_card</t>
        </is>
      </c>
      <c r="J330" t="n">
        <v>4</v>
      </c>
      <c r="K330" t="inlineStr">
        <is>
          <t>On Time</t>
        </is>
      </c>
      <c r="L330" t="n">
        <v>5</v>
      </c>
      <c r="M330">
        <f>VLOOKUP(D330,State_Lookup!$A$2:$B$28,2,FALSE)</f>
        <v/>
      </c>
    </row>
    <row r="331">
      <c r="A331" t="inlineStr">
        <is>
          <t>3bee0a6bb3f8fa5eb8dae9b65fc7944d</t>
        </is>
      </c>
      <c r="B331" t="inlineStr">
        <is>
          <t>2017-04-15</t>
        </is>
      </c>
      <c r="C331" t="inlineStr">
        <is>
          <t>2017-04</t>
        </is>
      </c>
      <c r="D331" t="inlineStr">
        <is>
          <t>SP</t>
        </is>
      </c>
      <c r="E331" t="inlineStr">
        <is>
          <t>cool_stuff</t>
        </is>
      </c>
      <c r="F331" t="n">
        <v>1</v>
      </c>
      <c r="G331" t="n">
        <v>99.98999999999999</v>
      </c>
      <c r="H331" t="n">
        <v>9.07</v>
      </c>
      <c r="I331" t="inlineStr">
        <is>
          <t>credit_card</t>
        </is>
      </c>
      <c r="J331" t="n">
        <v>5</v>
      </c>
      <c r="K331" t="inlineStr">
        <is>
          <t>On Time</t>
        </is>
      </c>
      <c r="L331" t="n">
        <v>5</v>
      </c>
      <c r="M331">
        <f>VLOOKUP(D331,State_Lookup!$A$2:$B$28,2,FALSE)</f>
        <v/>
      </c>
    </row>
    <row r="332">
      <c r="A332" t="inlineStr">
        <is>
          <t>e3c654307c9b3b9988c35371c5bbf738</t>
        </is>
      </c>
      <c r="B332" t="inlineStr">
        <is>
          <t>2017-04-15</t>
        </is>
      </c>
      <c r="C332" t="inlineStr">
        <is>
          <t>2017-04</t>
        </is>
      </c>
      <c r="D332" t="inlineStr">
        <is>
          <t>SP</t>
        </is>
      </c>
      <c r="E332" t="inlineStr">
        <is>
          <t>furniture_bedroom</t>
        </is>
      </c>
      <c r="F332" t="n">
        <v>1</v>
      </c>
      <c r="G332" t="n">
        <v>209.99</v>
      </c>
      <c r="H332" t="n">
        <v>42.31</v>
      </c>
      <c r="I332" t="inlineStr">
        <is>
          <t>boleto</t>
        </is>
      </c>
      <c r="J332" t="n">
        <v>33</v>
      </c>
      <c r="K332" t="inlineStr">
        <is>
          <t>Late</t>
        </is>
      </c>
      <c r="L332" t="n">
        <v>1</v>
      </c>
      <c r="M332">
        <f>VLOOKUP(D332,State_Lookup!$A$2:$B$28,2,FALSE)</f>
        <v/>
      </c>
    </row>
    <row r="333">
      <c r="A333" t="inlineStr">
        <is>
          <t>4ff360dbfc89fdc00cd35d99cb3efef6</t>
        </is>
      </c>
      <c r="B333" t="inlineStr">
        <is>
          <t>2017-04-15</t>
        </is>
      </c>
      <c r="C333" t="inlineStr">
        <is>
          <t>2017-04</t>
        </is>
      </c>
      <c r="D333" t="inlineStr">
        <is>
          <t>RJ</t>
        </is>
      </c>
      <c r="E333" t="inlineStr">
        <is>
          <t>electronics</t>
        </is>
      </c>
      <c r="F333" t="n">
        <v>1</v>
      </c>
      <c r="G333" t="n">
        <v>29.9</v>
      </c>
      <c r="H333" t="n">
        <v>16.05</v>
      </c>
      <c r="I333" t="inlineStr">
        <is>
          <t>boleto</t>
        </is>
      </c>
      <c r="J333" t="n">
        <v>26</v>
      </c>
      <c r="K333" t="inlineStr">
        <is>
          <t>On Time</t>
        </is>
      </c>
      <c r="L333" t="n">
        <v>5</v>
      </c>
      <c r="M333">
        <f>VLOOKUP(D333,State_Lookup!$A$2:$B$28,2,FALSE)</f>
        <v/>
      </c>
    </row>
    <row r="334">
      <c r="A334" t="inlineStr">
        <is>
          <t>35029df95fa6e0af9bdba562f4fc8fb5</t>
        </is>
      </c>
      <c r="B334" t="inlineStr">
        <is>
          <t>2017-04-16</t>
        </is>
      </c>
      <c r="C334" t="inlineStr">
        <is>
          <t>2017-04</t>
        </is>
      </c>
      <c r="D334" t="inlineStr">
        <is>
          <t>RS</t>
        </is>
      </c>
      <c r="E334" t="inlineStr">
        <is>
          <t>furniture_decor</t>
        </is>
      </c>
      <c r="F334" t="n">
        <v>1</v>
      </c>
      <c r="G334" t="n">
        <v>32.99</v>
      </c>
      <c r="H334" t="n">
        <v>15.65</v>
      </c>
      <c r="I334" t="inlineStr">
        <is>
          <t>credit_card</t>
        </is>
      </c>
      <c r="J334" t="n">
        <v>10</v>
      </c>
      <c r="K334" t="inlineStr">
        <is>
          <t>On Time</t>
        </is>
      </c>
      <c r="L334" t="n">
        <v>5</v>
      </c>
      <c r="M334">
        <f>VLOOKUP(D334,State_Lookup!$A$2:$B$28,2,FALSE)</f>
        <v/>
      </c>
    </row>
    <row r="335">
      <c r="A335" t="inlineStr">
        <is>
          <t>e6fdd5628869deef14230ee582a7a4c0</t>
        </is>
      </c>
      <c r="B335" t="inlineStr">
        <is>
          <t>2017-04-16</t>
        </is>
      </c>
      <c r="C335" t="inlineStr">
        <is>
          <t>2017-04</t>
        </is>
      </c>
      <c r="D335" t="inlineStr">
        <is>
          <t>PI</t>
        </is>
      </c>
      <c r="E335" t="inlineStr">
        <is>
          <t>watches_gifts</t>
        </is>
      </c>
      <c r="F335" t="n">
        <v>1</v>
      </c>
      <c r="G335" t="n">
        <v>279.9</v>
      </c>
      <c r="H335" t="n">
        <v>26.45</v>
      </c>
      <c r="I335" t="inlineStr">
        <is>
          <t>credit_card</t>
        </is>
      </c>
      <c r="J335" t="n">
        <v>16</v>
      </c>
      <c r="K335" t="inlineStr">
        <is>
          <t>On Time</t>
        </is>
      </c>
      <c r="L335" t="n">
        <v>5</v>
      </c>
      <c r="M335">
        <f>VLOOKUP(D335,State_Lookup!$A$2:$B$28,2,FALSE)</f>
        <v/>
      </c>
    </row>
    <row r="336">
      <c r="A336" t="inlineStr">
        <is>
          <t>7a398cc355d3a1a2d9101b5879b40cc8</t>
        </is>
      </c>
      <c r="B336" t="inlineStr">
        <is>
          <t>2017-04-17</t>
        </is>
      </c>
      <c r="C336" t="inlineStr">
        <is>
          <t>2017-04</t>
        </is>
      </c>
      <c r="D336" t="inlineStr">
        <is>
          <t>SP</t>
        </is>
      </c>
      <c r="E336" t="inlineStr">
        <is>
          <t>watches_gifts</t>
        </is>
      </c>
      <c r="F336" t="n">
        <v>1</v>
      </c>
      <c r="G336" t="n">
        <v>123.43</v>
      </c>
      <c r="H336" t="n">
        <v>11.47</v>
      </c>
      <c r="I336" t="inlineStr">
        <is>
          <t>credit_card</t>
        </is>
      </c>
      <c r="J336" t="n">
        <v>3</v>
      </c>
      <c r="K336" t="inlineStr">
        <is>
          <t>On Time</t>
        </is>
      </c>
      <c r="L336" t="n">
        <v>5</v>
      </c>
      <c r="M336">
        <f>VLOOKUP(D336,State_Lookup!$A$2:$B$28,2,FALSE)</f>
        <v/>
      </c>
    </row>
    <row r="337">
      <c r="A337" t="inlineStr">
        <is>
          <t>279eab1ce88064419806859e4575a10e</t>
        </is>
      </c>
      <c r="B337" t="inlineStr">
        <is>
          <t>2017-04-17</t>
        </is>
      </c>
      <c r="C337" t="inlineStr">
        <is>
          <t>2017-04</t>
        </is>
      </c>
      <c r="D337" t="inlineStr">
        <is>
          <t>SP</t>
        </is>
      </c>
      <c r="E337" t="inlineStr">
        <is>
          <t>sports_leisure</t>
        </is>
      </c>
      <c r="F337" t="n">
        <v>1</v>
      </c>
      <c r="G337" t="n">
        <v>12.98</v>
      </c>
      <c r="H337" t="n">
        <v>14.52</v>
      </c>
      <c r="I337" t="inlineStr">
        <is>
          <t>boleto</t>
        </is>
      </c>
      <c r="J337" t="n">
        <v>30</v>
      </c>
      <c r="K337" t="inlineStr">
        <is>
          <t>Late</t>
        </is>
      </c>
      <c r="L337" t="n">
        <v>3</v>
      </c>
      <c r="M337">
        <f>VLOOKUP(D337,State_Lookup!$A$2:$B$28,2,FALSE)</f>
        <v/>
      </c>
    </row>
    <row r="338">
      <c r="A338" t="inlineStr">
        <is>
          <t>01380d0df5b7dc8bd13f2266a57bd42c</t>
        </is>
      </c>
      <c r="B338" t="inlineStr">
        <is>
          <t>2017-04-17</t>
        </is>
      </c>
      <c r="C338" t="inlineStr">
        <is>
          <t>2017-04</t>
        </is>
      </c>
      <c r="D338" t="inlineStr">
        <is>
          <t>SP</t>
        </is>
      </c>
      <c r="E338" t="inlineStr">
        <is>
          <t>garden_tools</t>
        </is>
      </c>
      <c r="F338" t="n">
        <v>1</v>
      </c>
      <c r="G338" t="n">
        <v>16.9</v>
      </c>
      <c r="H338" t="n">
        <v>10.96</v>
      </c>
      <c r="I338" t="inlineStr">
        <is>
          <t>credit_card</t>
        </is>
      </c>
      <c r="J338" t="n">
        <v>3</v>
      </c>
      <c r="K338" t="inlineStr">
        <is>
          <t>On Time</t>
        </is>
      </c>
      <c r="L338" t="n">
        <v>5</v>
      </c>
      <c r="M338">
        <f>VLOOKUP(D338,State_Lookup!$A$2:$B$28,2,FALSE)</f>
        <v/>
      </c>
    </row>
    <row r="339">
      <c r="A339" t="inlineStr">
        <is>
          <t>9c5387e0f57fcaaf624c791bc5a7d003</t>
        </is>
      </c>
      <c r="B339" t="inlineStr">
        <is>
          <t>2017-04-18</t>
        </is>
      </c>
      <c r="C339" t="inlineStr">
        <is>
          <t>2017-04</t>
        </is>
      </c>
      <c r="D339" t="inlineStr">
        <is>
          <t>SP</t>
        </is>
      </c>
      <c r="E339" t="inlineStr">
        <is>
          <t>bed_bath_table</t>
        </is>
      </c>
      <c r="F339" t="n">
        <v>1</v>
      </c>
      <c r="G339" t="n">
        <v>274.9</v>
      </c>
      <c r="H339" t="n">
        <v>62.28</v>
      </c>
      <c r="I339" t="inlineStr">
        <is>
          <t>credit_card</t>
        </is>
      </c>
      <c r="J339" t="n">
        <v>14</v>
      </c>
      <c r="K339" t="inlineStr">
        <is>
          <t>On Time</t>
        </is>
      </c>
      <c r="L339" t="n">
        <v>5</v>
      </c>
      <c r="M339">
        <f>VLOOKUP(D339,State_Lookup!$A$2:$B$28,2,FALSE)</f>
        <v/>
      </c>
    </row>
    <row r="340">
      <c r="A340" t="inlineStr">
        <is>
          <t>bb2ac53ccaab4c3c0fcd31fa2d1ddeb1</t>
        </is>
      </c>
      <c r="B340" t="inlineStr">
        <is>
          <t>2017-04-18</t>
        </is>
      </c>
      <c r="C340" t="inlineStr">
        <is>
          <t>2017-04</t>
        </is>
      </c>
      <c r="D340" t="inlineStr">
        <is>
          <t>SP</t>
        </is>
      </c>
      <c r="E340" t="inlineStr">
        <is>
          <t>air_conditioning</t>
        </is>
      </c>
      <c r="F340" t="n">
        <v>1</v>
      </c>
      <c r="G340" t="n">
        <v>61</v>
      </c>
      <c r="H340" t="n">
        <v>15.64</v>
      </c>
      <c r="I340" t="inlineStr">
        <is>
          <t>debit_card</t>
        </is>
      </c>
      <c r="J340" t="n">
        <v>22</v>
      </c>
      <c r="K340" t="inlineStr">
        <is>
          <t>On Time</t>
        </is>
      </c>
      <c r="L340" t="n">
        <v>5</v>
      </c>
      <c r="M340">
        <f>VLOOKUP(D340,State_Lookup!$A$2:$B$28,2,FALSE)</f>
        <v/>
      </c>
    </row>
    <row r="341">
      <c r="A341" t="inlineStr">
        <is>
          <t>a23d7ad984b39e2cebe34619c1774cd0</t>
        </is>
      </c>
      <c r="B341" t="inlineStr">
        <is>
          <t>2017-04-18</t>
        </is>
      </c>
      <c r="C341" t="inlineStr">
        <is>
          <t>2017-04</t>
        </is>
      </c>
      <c r="D341" t="inlineStr">
        <is>
          <t>SP</t>
        </is>
      </c>
      <c r="E341" t="inlineStr">
        <is>
          <t>computers_accessories</t>
        </is>
      </c>
      <c r="F341" t="n">
        <v>1</v>
      </c>
      <c r="G341" t="n">
        <v>196</v>
      </c>
      <c r="H341" t="n">
        <v>11.98</v>
      </c>
      <c r="I341" t="inlineStr">
        <is>
          <t>debit_card</t>
        </is>
      </c>
      <c r="J341" t="n">
        <v>7</v>
      </c>
      <c r="K341" t="inlineStr">
        <is>
          <t>On Time</t>
        </is>
      </c>
      <c r="L341" t="n">
        <v>5</v>
      </c>
      <c r="M341">
        <f>VLOOKUP(D341,State_Lookup!$A$2:$B$28,2,FALSE)</f>
        <v/>
      </c>
    </row>
    <row r="342">
      <c r="A342" t="inlineStr">
        <is>
          <t>b70007824303eaad6d7736673b76b17d</t>
        </is>
      </c>
      <c r="B342" t="inlineStr">
        <is>
          <t>2017-04-18</t>
        </is>
      </c>
      <c r="C342" t="inlineStr">
        <is>
          <t>2017-04</t>
        </is>
      </c>
      <c r="D342" t="inlineStr">
        <is>
          <t>ES</t>
        </is>
      </c>
      <c r="E342" t="inlineStr">
        <is>
          <t>perfumery</t>
        </is>
      </c>
      <c r="F342" t="n">
        <v>1</v>
      </c>
      <c r="G342" t="n">
        <v>57.9</v>
      </c>
      <c r="H342" t="n">
        <v>14.58</v>
      </c>
      <c r="I342" t="inlineStr">
        <is>
          <t>boleto</t>
        </is>
      </c>
      <c r="J342" t="n">
        <v>29</v>
      </c>
      <c r="K342" t="inlineStr">
        <is>
          <t>Late</t>
        </is>
      </c>
      <c r="L342" t="n">
        <v>2</v>
      </c>
      <c r="M342">
        <f>VLOOKUP(D342,State_Lookup!$A$2:$B$28,2,FALSE)</f>
        <v/>
      </c>
    </row>
    <row r="343">
      <c r="A343" t="inlineStr">
        <is>
          <t>727412faf7aef5ef3c7e0f03350d80c7</t>
        </is>
      </c>
      <c r="B343" t="inlineStr">
        <is>
          <t>2017-04-19</t>
        </is>
      </c>
      <c r="C343" t="inlineStr">
        <is>
          <t>2017-04</t>
        </is>
      </c>
      <c r="D343" t="inlineStr">
        <is>
          <t>RJ</t>
        </is>
      </c>
      <c r="E343" t="inlineStr">
        <is>
          <t>bed_bath_table</t>
        </is>
      </c>
      <c r="F343" t="n">
        <v>1</v>
      </c>
      <c r="G343" t="n">
        <v>65.90000000000001</v>
      </c>
      <c r="H343" t="n">
        <v>17.2</v>
      </c>
      <c r="I343" t="inlineStr">
        <is>
          <t>boleto</t>
        </is>
      </c>
      <c r="J343" t="n">
        <v>19</v>
      </c>
      <c r="K343" t="inlineStr">
        <is>
          <t>On Time</t>
        </is>
      </c>
      <c r="L343" t="n">
        <v>5</v>
      </c>
      <c r="M343">
        <f>VLOOKUP(D343,State_Lookup!$A$2:$B$28,2,FALSE)</f>
        <v/>
      </c>
    </row>
    <row r="344">
      <c r="A344" t="inlineStr">
        <is>
          <t>ce76b310dfe772acd994570f7fca9a2d</t>
        </is>
      </c>
      <c r="B344" t="inlineStr">
        <is>
          <t>2017-04-19</t>
        </is>
      </c>
      <c r="C344" t="inlineStr">
        <is>
          <t>2017-04</t>
        </is>
      </c>
      <c r="D344" t="inlineStr">
        <is>
          <t>RJ</t>
        </is>
      </c>
      <c r="E344" t="inlineStr">
        <is>
          <t>computers_accessories</t>
        </is>
      </c>
      <c r="F344" t="n">
        <v>1</v>
      </c>
      <c r="G344" t="n">
        <v>358</v>
      </c>
      <c r="H344" t="n">
        <v>13.9</v>
      </c>
      <c r="I344" t="inlineStr">
        <is>
          <t>boleto</t>
        </is>
      </c>
      <c r="J344" t="n">
        <v>13</v>
      </c>
      <c r="K344" t="inlineStr">
        <is>
          <t>On Time</t>
        </is>
      </c>
      <c r="L344" t="n">
        <v>4</v>
      </c>
      <c r="M344">
        <f>VLOOKUP(D344,State_Lookup!$A$2:$B$28,2,FALSE)</f>
        <v/>
      </c>
    </row>
    <row r="345">
      <c r="A345" t="inlineStr">
        <is>
          <t>9c3d371454ceddff5d8fa8aa86ac7c1e</t>
        </is>
      </c>
      <c r="B345" t="inlineStr">
        <is>
          <t>2017-04-19</t>
        </is>
      </c>
      <c r="C345" t="inlineStr">
        <is>
          <t>2017-04</t>
        </is>
      </c>
      <c r="D345" t="inlineStr">
        <is>
          <t>SP</t>
        </is>
      </c>
      <c r="E345" t="inlineStr">
        <is>
          <t>stationery</t>
        </is>
      </c>
      <c r="F345" t="n">
        <v>1</v>
      </c>
      <c r="G345" t="n">
        <v>699</v>
      </c>
      <c r="H345" t="n">
        <v>15.5</v>
      </c>
      <c r="I345" t="inlineStr">
        <is>
          <t>credit_card</t>
        </is>
      </c>
      <c r="J345" t="n">
        <v>28</v>
      </c>
      <c r="K345" t="inlineStr">
        <is>
          <t>Late</t>
        </is>
      </c>
      <c r="L345" t="n">
        <v>1</v>
      </c>
      <c r="M345">
        <f>VLOOKUP(D345,State_Lookup!$A$2:$B$28,2,FALSE)</f>
        <v/>
      </c>
    </row>
    <row r="346">
      <c r="A346" t="inlineStr">
        <is>
          <t>5534625f6d8c8c073046dd7b57310af3</t>
        </is>
      </c>
      <c r="B346" t="inlineStr">
        <is>
          <t>2017-04-19</t>
        </is>
      </c>
      <c r="C346" t="inlineStr">
        <is>
          <t>2017-04</t>
        </is>
      </c>
      <c r="D346" t="inlineStr">
        <is>
          <t>SP</t>
        </is>
      </c>
      <c r="E346" t="inlineStr">
        <is>
          <t>telephony</t>
        </is>
      </c>
      <c r="F346" t="n">
        <v>1</v>
      </c>
      <c r="G346" t="n">
        <v>99.90000000000001</v>
      </c>
      <c r="H346" t="n">
        <v>14.87</v>
      </c>
      <c r="I346" t="inlineStr">
        <is>
          <t>credit_card</t>
        </is>
      </c>
      <c r="J346" t="n">
        <v>19</v>
      </c>
      <c r="K346" t="inlineStr">
        <is>
          <t>On Time</t>
        </is>
      </c>
      <c r="L346" t="n">
        <v>4</v>
      </c>
      <c r="M346">
        <f>VLOOKUP(D346,State_Lookup!$A$2:$B$28,2,FALSE)</f>
        <v/>
      </c>
    </row>
    <row r="347">
      <c r="A347" t="inlineStr">
        <is>
          <t>81727d69b41f367b7d1e9e305d7eb92b</t>
        </is>
      </c>
      <c r="B347" t="inlineStr">
        <is>
          <t>2017-04-19</t>
        </is>
      </c>
      <c r="C347" t="inlineStr">
        <is>
          <t>2017-04</t>
        </is>
      </c>
      <c r="D347" t="inlineStr">
        <is>
          <t>RJ</t>
        </is>
      </c>
      <c r="E347" t="inlineStr">
        <is>
          <t>housewares</t>
        </is>
      </c>
      <c r="F347" t="n">
        <v>1</v>
      </c>
      <c r="G347" t="n">
        <v>106.94</v>
      </c>
      <c r="H347" t="n">
        <v>26.25</v>
      </c>
      <c r="I347" t="inlineStr">
        <is>
          <t>boleto</t>
        </is>
      </c>
      <c r="J347" t="n">
        <v>26</v>
      </c>
      <c r="K347" t="inlineStr">
        <is>
          <t>On Time</t>
        </is>
      </c>
      <c r="L347" t="n">
        <v>3</v>
      </c>
      <c r="M347">
        <f>VLOOKUP(D347,State_Lookup!$A$2:$B$28,2,FALSE)</f>
        <v/>
      </c>
    </row>
    <row r="348">
      <c r="A348" t="inlineStr">
        <is>
          <t>4c3812e7963e6b0932c6142e3d6a6b85</t>
        </is>
      </c>
      <c r="B348" t="inlineStr">
        <is>
          <t>2017-04-19</t>
        </is>
      </c>
      <c r="C348" t="inlineStr">
        <is>
          <t>2017-04</t>
        </is>
      </c>
      <c r="D348" t="inlineStr">
        <is>
          <t>SP</t>
        </is>
      </c>
      <c r="E348" t="inlineStr">
        <is>
          <t>watches_gifts</t>
        </is>
      </c>
      <c r="F348" t="n">
        <v>6</v>
      </c>
      <c r="G348" t="n">
        <v>185.4</v>
      </c>
      <c r="H348" t="n">
        <v>87.12</v>
      </c>
      <c r="I348" t="inlineStr">
        <is>
          <t>boleto</t>
        </is>
      </c>
      <c r="J348" t="n">
        <v>14</v>
      </c>
      <c r="K348" t="inlineStr">
        <is>
          <t>On Time</t>
        </is>
      </c>
      <c r="L348" t="n">
        <v>2</v>
      </c>
      <c r="M348">
        <f>VLOOKUP(D348,State_Lookup!$A$2:$B$28,2,FALSE)</f>
        <v/>
      </c>
    </row>
    <row r="349">
      <c r="A349" t="inlineStr">
        <is>
          <t>7597acfdc4c37d290f854bba148c0e4f</t>
        </is>
      </c>
      <c r="B349" t="inlineStr">
        <is>
          <t>2017-04-19</t>
        </is>
      </c>
      <c r="C349" t="inlineStr">
        <is>
          <t>2017-04</t>
        </is>
      </c>
      <c r="D349" t="inlineStr">
        <is>
          <t>RJ</t>
        </is>
      </c>
      <c r="E349" t="inlineStr">
        <is>
          <t>watches_gifts</t>
        </is>
      </c>
      <c r="F349" t="n">
        <v>1</v>
      </c>
      <c r="G349" t="n">
        <v>799</v>
      </c>
      <c r="H349" t="n">
        <v>19.35</v>
      </c>
      <c r="I349" t="inlineStr">
        <is>
          <t>credit_card</t>
        </is>
      </c>
      <c r="J349" t="n">
        <v>27</v>
      </c>
      <c r="K349" t="inlineStr">
        <is>
          <t>Late</t>
        </is>
      </c>
      <c r="L349" t="n">
        <v>1</v>
      </c>
      <c r="M349">
        <f>VLOOKUP(D349,State_Lookup!$A$2:$B$28,2,FALSE)</f>
        <v/>
      </c>
    </row>
    <row r="350">
      <c r="A350" t="inlineStr">
        <is>
          <t>eb7efe0b8397cce63c22e0d6bc566dd9</t>
        </is>
      </c>
      <c r="B350" t="inlineStr">
        <is>
          <t>2017-04-19</t>
        </is>
      </c>
      <c r="C350" t="inlineStr">
        <is>
          <t>2017-04</t>
        </is>
      </c>
      <c r="D350" t="inlineStr">
        <is>
          <t>BA</t>
        </is>
      </c>
      <c r="E350" t="inlineStr">
        <is>
          <t>health_beauty</t>
        </is>
      </c>
      <c r="F350" t="n">
        <v>1</v>
      </c>
      <c r="G350" t="n">
        <v>64.98999999999999</v>
      </c>
      <c r="H350" t="n">
        <v>20.9</v>
      </c>
      <c r="I350" t="inlineStr">
        <is>
          <t>boleto</t>
        </is>
      </c>
      <c r="J350" t="inlineStr"/>
      <c r="K350" t="inlineStr">
        <is>
          <t>Not Delivered</t>
        </is>
      </c>
      <c r="L350" t="inlineStr"/>
      <c r="M350">
        <f>VLOOKUP(D350,State_Lookup!$A$2:$B$28,2,FALSE)</f>
        <v/>
      </c>
    </row>
    <row r="351">
      <c r="A351" t="inlineStr">
        <is>
          <t>212c76a2134c9695982fe8f004a57dc0</t>
        </is>
      </c>
      <c r="B351" t="inlineStr">
        <is>
          <t>2017-04-19</t>
        </is>
      </c>
      <c r="C351" t="inlineStr">
        <is>
          <t>2017-04</t>
        </is>
      </c>
      <c r="D351" t="inlineStr">
        <is>
          <t>RS</t>
        </is>
      </c>
      <c r="E351" t="inlineStr">
        <is>
          <t>telephony</t>
        </is>
      </c>
      <c r="F351" t="n">
        <v>2</v>
      </c>
      <c r="G351" t="n">
        <v>98</v>
      </c>
      <c r="H351" t="n">
        <v>32.1</v>
      </c>
      <c r="I351" t="inlineStr">
        <is>
          <t>credit_card</t>
        </is>
      </c>
      <c r="J351" t="n">
        <v>15</v>
      </c>
      <c r="K351" t="inlineStr">
        <is>
          <t>On Time</t>
        </is>
      </c>
      <c r="L351" t="n">
        <v>5</v>
      </c>
      <c r="M351">
        <f>VLOOKUP(D351,State_Lookup!$A$2:$B$28,2,FALSE)</f>
        <v/>
      </c>
    </row>
    <row r="352">
      <c r="A352" t="inlineStr">
        <is>
          <t>db5aee77fcd1883e2dd15e342cc42493</t>
        </is>
      </c>
      <c r="B352" t="inlineStr">
        <is>
          <t>2017-04-20</t>
        </is>
      </c>
      <c r="C352" t="inlineStr">
        <is>
          <t>2017-04</t>
        </is>
      </c>
      <c r="D352" t="inlineStr">
        <is>
          <t>PR</t>
        </is>
      </c>
      <c r="E352" t="inlineStr">
        <is>
          <t>baby</t>
        </is>
      </c>
      <c r="F352" t="n">
        <v>1</v>
      </c>
      <c r="G352" t="n">
        <v>109.9</v>
      </c>
      <c r="H352" t="n">
        <v>13.35</v>
      </c>
      <c r="I352" t="inlineStr">
        <is>
          <t>credit_card</t>
        </is>
      </c>
      <c r="J352" t="n">
        <v>14</v>
      </c>
      <c r="K352" t="inlineStr">
        <is>
          <t>On Time</t>
        </is>
      </c>
      <c r="L352" t="n">
        <v>3</v>
      </c>
      <c r="M352">
        <f>VLOOKUP(D352,State_Lookup!$A$2:$B$28,2,FALSE)</f>
        <v/>
      </c>
    </row>
    <row r="353">
      <c r="A353" t="inlineStr">
        <is>
          <t>c60bade0a2a45f8db2535ad71baf5089</t>
        </is>
      </c>
      <c r="B353" t="inlineStr">
        <is>
          <t>2017-04-20</t>
        </is>
      </c>
      <c r="C353" t="inlineStr">
        <is>
          <t>2017-04</t>
        </is>
      </c>
      <c r="D353" t="inlineStr">
        <is>
          <t>ES</t>
        </is>
      </c>
      <c r="E353" t="inlineStr">
        <is>
          <t>sports_leisure</t>
        </is>
      </c>
      <c r="F353" t="n">
        <v>1</v>
      </c>
      <c r="G353" t="n">
        <v>69.90000000000001</v>
      </c>
      <c r="H353" t="n">
        <v>15.7</v>
      </c>
      <c r="I353" t="inlineStr">
        <is>
          <t>credit_card</t>
        </is>
      </c>
      <c r="J353" t="n">
        <v>18</v>
      </c>
      <c r="K353" t="inlineStr">
        <is>
          <t>On Time</t>
        </is>
      </c>
      <c r="L353" t="n">
        <v>4</v>
      </c>
      <c r="M353">
        <f>VLOOKUP(D353,State_Lookup!$A$2:$B$28,2,FALSE)</f>
        <v/>
      </c>
    </row>
    <row r="354">
      <c r="A354" t="inlineStr">
        <is>
          <t>5a862434f3a367a4727fd219326cc689</t>
        </is>
      </c>
      <c r="B354" t="inlineStr">
        <is>
          <t>2017-04-20</t>
        </is>
      </c>
      <c r="C354" t="inlineStr">
        <is>
          <t>2017-04</t>
        </is>
      </c>
      <c r="D354" t="inlineStr">
        <is>
          <t>GO</t>
        </is>
      </c>
      <c r="E354" t="inlineStr">
        <is>
          <t>sports_leisure</t>
        </is>
      </c>
      <c r="F354" t="n">
        <v>1</v>
      </c>
      <c r="G354" t="n">
        <v>19.9</v>
      </c>
      <c r="H354" t="n">
        <v>17.78</v>
      </c>
      <c r="I354" t="inlineStr">
        <is>
          <t>credit_card</t>
        </is>
      </c>
      <c r="J354" t="n">
        <v>13</v>
      </c>
      <c r="K354" t="inlineStr">
        <is>
          <t>On Time</t>
        </is>
      </c>
      <c r="L354" t="n">
        <v>3</v>
      </c>
      <c r="M354">
        <f>VLOOKUP(D354,State_Lookup!$A$2:$B$28,2,FALSE)</f>
        <v/>
      </c>
    </row>
    <row r="355">
      <c r="A355" t="inlineStr">
        <is>
          <t>92e50fc63b89872b2d7aae1c07b64d97</t>
        </is>
      </c>
      <c r="B355" t="inlineStr">
        <is>
          <t>2017-04-20</t>
        </is>
      </c>
      <c r="C355" t="inlineStr">
        <is>
          <t>2017-04</t>
        </is>
      </c>
      <c r="D355" t="inlineStr">
        <is>
          <t>RJ</t>
        </is>
      </c>
      <c r="E355" t="inlineStr">
        <is>
          <t>small_appliances</t>
        </is>
      </c>
      <c r="F355" t="n">
        <v>4</v>
      </c>
      <c r="G355" t="n">
        <v>214</v>
      </c>
      <c r="H355" t="n">
        <v>61.48</v>
      </c>
      <c r="I355" t="inlineStr">
        <is>
          <t>boleto</t>
        </is>
      </c>
      <c r="J355" t="n">
        <v>14</v>
      </c>
      <c r="K355" t="inlineStr">
        <is>
          <t>On Time</t>
        </is>
      </c>
      <c r="L355" t="n">
        <v>5</v>
      </c>
      <c r="M355">
        <f>VLOOKUP(D355,State_Lookup!$A$2:$B$28,2,FALSE)</f>
        <v/>
      </c>
    </row>
    <row r="356">
      <c r="A356" t="inlineStr">
        <is>
          <t>e008f3c4303db44b2edc9cff1a6f9f0d</t>
        </is>
      </c>
      <c r="B356" t="inlineStr">
        <is>
          <t>2017-04-21</t>
        </is>
      </c>
      <c r="C356" t="inlineStr">
        <is>
          <t>2017-04</t>
        </is>
      </c>
      <c r="D356" t="inlineStr">
        <is>
          <t>PR</t>
        </is>
      </c>
      <c r="E356" t="inlineStr">
        <is>
          <t>telephony</t>
        </is>
      </c>
      <c r="F356" t="n">
        <v>1</v>
      </c>
      <c r="G356" t="n">
        <v>29.99</v>
      </c>
      <c r="H356" t="n">
        <v>14.52</v>
      </c>
      <c r="I356" t="inlineStr">
        <is>
          <t>credit_card</t>
        </is>
      </c>
      <c r="J356" t="n">
        <v>10</v>
      </c>
      <c r="K356" t="inlineStr">
        <is>
          <t>On Time</t>
        </is>
      </c>
      <c r="L356" t="n">
        <v>1</v>
      </c>
      <c r="M356">
        <f>VLOOKUP(D356,State_Lookup!$A$2:$B$28,2,FALSE)</f>
        <v/>
      </c>
    </row>
    <row r="357">
      <c r="A357" t="inlineStr">
        <is>
          <t>5ea2f9d9583d554b47ef191aa66934c2</t>
        </is>
      </c>
      <c r="B357" t="inlineStr">
        <is>
          <t>2017-04-21</t>
        </is>
      </c>
      <c r="C357" t="inlineStr">
        <is>
          <t>2017-04</t>
        </is>
      </c>
      <c r="D357" t="inlineStr">
        <is>
          <t>MG</t>
        </is>
      </c>
      <c r="E357" t="inlineStr">
        <is>
          <t>furniture_decor</t>
        </is>
      </c>
      <c r="F357" t="n">
        <v>1</v>
      </c>
      <c r="G357" t="n">
        <v>36.9</v>
      </c>
      <c r="H357" t="n">
        <v>14.52</v>
      </c>
      <c r="I357" t="inlineStr">
        <is>
          <t>credit_card</t>
        </is>
      </c>
      <c r="J357" t="n">
        <v>10</v>
      </c>
      <c r="K357" t="inlineStr">
        <is>
          <t>On Time</t>
        </is>
      </c>
      <c r="L357" t="n">
        <v>4</v>
      </c>
      <c r="M357">
        <f>VLOOKUP(D357,State_Lookup!$A$2:$B$28,2,FALSE)</f>
        <v/>
      </c>
    </row>
    <row r="358">
      <c r="A358" t="inlineStr">
        <is>
          <t>85e710051891004eca4f527adcadd0c3</t>
        </is>
      </c>
      <c r="B358" t="inlineStr">
        <is>
          <t>2017-04-21</t>
        </is>
      </c>
      <c r="C358" t="inlineStr">
        <is>
          <t>2017-04</t>
        </is>
      </c>
      <c r="D358" t="inlineStr">
        <is>
          <t>SP</t>
        </is>
      </c>
      <c r="E358" t="inlineStr">
        <is>
          <t>electronics</t>
        </is>
      </c>
      <c r="F358" t="n">
        <v>1</v>
      </c>
      <c r="G358" t="n">
        <v>415.99</v>
      </c>
      <c r="H358" t="n">
        <v>13.52</v>
      </c>
      <c r="I358" t="inlineStr">
        <is>
          <t>voucher</t>
        </is>
      </c>
      <c r="J358" t="n">
        <v>11</v>
      </c>
      <c r="K358" t="inlineStr">
        <is>
          <t>On Time</t>
        </is>
      </c>
      <c r="L358" t="n">
        <v>5</v>
      </c>
      <c r="M358">
        <f>VLOOKUP(D358,State_Lookup!$A$2:$B$28,2,FALSE)</f>
        <v/>
      </c>
    </row>
    <row r="359">
      <c r="A359" t="inlineStr">
        <is>
          <t>7ff59247bba3cb48642913d4be3bf6ca</t>
        </is>
      </c>
      <c r="B359" t="inlineStr">
        <is>
          <t>2017-04-21</t>
        </is>
      </c>
      <c r="C359" t="inlineStr">
        <is>
          <t>2017-04</t>
        </is>
      </c>
      <c r="D359" t="inlineStr">
        <is>
          <t>SC</t>
        </is>
      </c>
      <c r="E359" t="inlineStr">
        <is>
          <t>housewares</t>
        </is>
      </c>
      <c r="F359" t="n">
        <v>1</v>
      </c>
      <c r="G359" t="n">
        <v>169.9</v>
      </c>
      <c r="H359" t="n">
        <v>17.34</v>
      </c>
      <c r="I359" t="inlineStr">
        <is>
          <t>credit_card</t>
        </is>
      </c>
      <c r="J359" t="n">
        <v>11</v>
      </c>
      <c r="K359" t="inlineStr">
        <is>
          <t>On Time</t>
        </is>
      </c>
      <c r="L359" t="n">
        <v>5</v>
      </c>
      <c r="M359">
        <f>VLOOKUP(D359,State_Lookup!$A$2:$B$28,2,FALSE)</f>
        <v/>
      </c>
    </row>
    <row r="360">
      <c r="A360" t="inlineStr">
        <is>
          <t>3c5abfef5fc10bb24f9a77d78a42768a</t>
        </is>
      </c>
      <c r="B360" t="inlineStr">
        <is>
          <t>2017-04-22</t>
        </is>
      </c>
      <c r="C360" t="inlineStr">
        <is>
          <t>2017-04</t>
        </is>
      </c>
      <c r="D360" t="inlineStr">
        <is>
          <t>RJ</t>
        </is>
      </c>
      <c r="E360" t="inlineStr">
        <is>
          <t>fashion_bags_accessories</t>
        </is>
      </c>
      <c r="F360" t="n">
        <v>1</v>
      </c>
      <c r="G360" t="n">
        <v>79.90000000000001</v>
      </c>
      <c r="H360" t="n">
        <v>11.17</v>
      </c>
      <c r="I360" t="inlineStr">
        <is>
          <t>boleto</t>
        </is>
      </c>
      <c r="J360" t="n">
        <v>6</v>
      </c>
      <c r="K360" t="inlineStr">
        <is>
          <t>On Time</t>
        </is>
      </c>
      <c r="L360" t="n">
        <v>5</v>
      </c>
      <c r="M360">
        <f>VLOOKUP(D360,State_Lookup!$A$2:$B$28,2,FALSE)</f>
        <v/>
      </c>
    </row>
    <row r="361">
      <c r="A361" t="inlineStr">
        <is>
          <t>6db9a7ff76608a32f0f526347572046f</t>
        </is>
      </c>
      <c r="B361" t="inlineStr">
        <is>
          <t>2017-04-22</t>
        </is>
      </c>
      <c r="C361" t="inlineStr">
        <is>
          <t>2017-04</t>
        </is>
      </c>
      <c r="D361" t="inlineStr">
        <is>
          <t>CE</t>
        </is>
      </c>
      <c r="E361" t="inlineStr">
        <is>
          <t>sports_leisure</t>
        </is>
      </c>
      <c r="F361" t="n">
        <v>1</v>
      </c>
      <c r="G361" t="n">
        <v>107</v>
      </c>
      <c r="H361" t="n">
        <v>25.24</v>
      </c>
      <c r="I361" t="inlineStr">
        <is>
          <t>credit_card</t>
        </is>
      </c>
      <c r="J361" t="n">
        <v>18</v>
      </c>
      <c r="K361" t="inlineStr">
        <is>
          <t>On Time</t>
        </is>
      </c>
      <c r="L361" t="n">
        <v>5</v>
      </c>
      <c r="M361">
        <f>VLOOKUP(D361,State_Lookup!$A$2:$B$28,2,FALSE)</f>
        <v/>
      </c>
    </row>
    <row r="362">
      <c r="A362" t="inlineStr">
        <is>
          <t>04b16351c3a70c83b9f8f1fe295cb450</t>
        </is>
      </c>
      <c r="B362" t="inlineStr">
        <is>
          <t>2017-04-22</t>
        </is>
      </c>
      <c r="C362" t="inlineStr">
        <is>
          <t>2017-04</t>
        </is>
      </c>
      <c r="D362" t="inlineStr">
        <is>
          <t>SP</t>
        </is>
      </c>
      <c r="E362" t="inlineStr">
        <is>
          <t>sports_leisure</t>
        </is>
      </c>
      <c r="F362" t="n">
        <v>1</v>
      </c>
      <c r="G362" t="n">
        <v>98.90000000000001</v>
      </c>
      <c r="H362" t="n">
        <v>15.9</v>
      </c>
      <c r="I362" t="inlineStr">
        <is>
          <t>boleto</t>
        </is>
      </c>
      <c r="J362" t="n">
        <v>5</v>
      </c>
      <c r="K362" t="inlineStr">
        <is>
          <t>On Time</t>
        </is>
      </c>
      <c r="L362" t="n">
        <v>5</v>
      </c>
      <c r="M362">
        <f>VLOOKUP(D362,State_Lookup!$A$2:$B$28,2,FALSE)</f>
        <v/>
      </c>
    </row>
    <row r="363">
      <c r="A363" t="inlineStr">
        <is>
          <t>f28680bd357c20d3f581f994eaee18e2</t>
        </is>
      </c>
      <c r="B363" t="inlineStr">
        <is>
          <t>2017-04-22</t>
        </is>
      </c>
      <c r="C363" t="inlineStr">
        <is>
          <t>2017-04</t>
        </is>
      </c>
      <c r="D363" t="inlineStr">
        <is>
          <t>SC</t>
        </is>
      </c>
      <c r="E363" t="inlineStr">
        <is>
          <t>health_beauty</t>
        </is>
      </c>
      <c r="F363" t="n">
        <v>1</v>
      </c>
      <c r="G363" t="n">
        <v>54.9</v>
      </c>
      <c r="H363" t="n">
        <v>14.55</v>
      </c>
      <c r="I363" t="inlineStr">
        <is>
          <t>credit_card</t>
        </is>
      </c>
      <c r="J363" t="n">
        <v>5</v>
      </c>
      <c r="K363" t="inlineStr">
        <is>
          <t>On Time</t>
        </is>
      </c>
      <c r="L363" t="n">
        <v>4</v>
      </c>
      <c r="M363">
        <f>VLOOKUP(D363,State_Lookup!$A$2:$B$28,2,FALSE)</f>
        <v/>
      </c>
    </row>
    <row r="364">
      <c r="A364" t="inlineStr">
        <is>
          <t>9b8f6a6ca0b17d35ff480e9a2ad8b7ed</t>
        </is>
      </c>
      <c r="B364" t="inlineStr">
        <is>
          <t>2017-04-22</t>
        </is>
      </c>
      <c r="C364" t="inlineStr">
        <is>
          <t>2017-04</t>
        </is>
      </c>
      <c r="D364" t="inlineStr">
        <is>
          <t>PR</t>
        </is>
      </c>
      <c r="E364" t="inlineStr">
        <is>
          <t>telephony</t>
        </is>
      </c>
      <c r="F364" t="n">
        <v>1</v>
      </c>
      <c r="G364" t="n">
        <v>13.98</v>
      </c>
      <c r="H364" t="n">
        <v>14.52</v>
      </c>
      <c r="I364" t="inlineStr">
        <is>
          <t>credit_card</t>
        </is>
      </c>
      <c r="J364" t="n">
        <v>10</v>
      </c>
      <c r="K364" t="inlineStr">
        <is>
          <t>On Time</t>
        </is>
      </c>
      <c r="L364" t="n">
        <v>5</v>
      </c>
      <c r="M364">
        <f>VLOOKUP(D364,State_Lookup!$A$2:$B$28,2,FALSE)</f>
        <v/>
      </c>
    </row>
    <row r="365">
      <c r="A365" t="inlineStr">
        <is>
          <t>b3fd29980d666178c001b895e9c5eed1</t>
        </is>
      </c>
      <c r="B365" t="inlineStr">
        <is>
          <t>2017-04-23</t>
        </is>
      </c>
      <c r="C365" t="inlineStr">
        <is>
          <t>2017-04</t>
        </is>
      </c>
      <c r="D365" t="inlineStr">
        <is>
          <t>SP</t>
        </is>
      </c>
      <c r="E365" t="inlineStr">
        <is>
          <t>health_beauty</t>
        </is>
      </c>
      <c r="F365" t="n">
        <v>1</v>
      </c>
      <c r="G365" t="n">
        <v>760</v>
      </c>
      <c r="H365" t="n">
        <v>58.89</v>
      </c>
      <c r="I365" t="inlineStr">
        <is>
          <t>credit_card</t>
        </is>
      </c>
      <c r="J365" t="n">
        <v>15</v>
      </c>
      <c r="K365" t="inlineStr">
        <is>
          <t>On Time</t>
        </is>
      </c>
      <c r="L365" t="n">
        <v>3</v>
      </c>
      <c r="M365">
        <f>VLOOKUP(D365,State_Lookup!$A$2:$B$28,2,FALSE)</f>
        <v/>
      </c>
    </row>
    <row r="366">
      <c r="A366" t="inlineStr">
        <is>
          <t>baacbbe167481d63498184a70336a4b0</t>
        </is>
      </c>
      <c r="B366" t="inlineStr">
        <is>
          <t>2017-04-23</t>
        </is>
      </c>
      <c r="C366" t="inlineStr">
        <is>
          <t>2017-04</t>
        </is>
      </c>
      <c r="D366" t="inlineStr">
        <is>
          <t>RJ</t>
        </is>
      </c>
      <c r="E366" t="inlineStr">
        <is>
          <t>housewares</t>
        </is>
      </c>
      <c r="F366" t="n">
        <v>1</v>
      </c>
      <c r="G366" t="n">
        <v>54.9</v>
      </c>
      <c r="H366" t="n">
        <v>15.59</v>
      </c>
      <c r="I366" t="inlineStr">
        <is>
          <t>credit_card</t>
        </is>
      </c>
      <c r="J366" t="n">
        <v>9</v>
      </c>
      <c r="K366" t="inlineStr">
        <is>
          <t>On Time</t>
        </is>
      </c>
      <c r="L366" t="n">
        <v>5</v>
      </c>
      <c r="M366">
        <f>VLOOKUP(D366,State_Lookup!$A$2:$B$28,2,FALSE)</f>
        <v/>
      </c>
    </row>
    <row r="367">
      <c r="A367" t="inlineStr">
        <is>
          <t>aebae27f4df9c32304566e5b5b44956c</t>
        </is>
      </c>
      <c r="B367" t="inlineStr">
        <is>
          <t>2017-04-23</t>
        </is>
      </c>
      <c r="C367" t="inlineStr">
        <is>
          <t>2017-04</t>
        </is>
      </c>
      <c r="D367" t="inlineStr">
        <is>
          <t>RS</t>
        </is>
      </c>
      <c r="E367" t="inlineStr">
        <is>
          <t>furniture_decor</t>
        </is>
      </c>
      <c r="F367" t="n">
        <v>1</v>
      </c>
      <c r="G367" t="n">
        <v>111.9</v>
      </c>
      <c r="H367" t="n">
        <v>17.62</v>
      </c>
      <c r="I367" t="inlineStr">
        <is>
          <t>boleto</t>
        </is>
      </c>
      <c r="J367" t="n">
        <v>11</v>
      </c>
      <c r="K367" t="inlineStr">
        <is>
          <t>On Time</t>
        </is>
      </c>
      <c r="L367" t="n">
        <v>5</v>
      </c>
      <c r="M367">
        <f>VLOOKUP(D367,State_Lookup!$A$2:$B$28,2,FALSE)</f>
        <v/>
      </c>
    </row>
    <row r="368">
      <c r="A368" t="inlineStr">
        <is>
          <t>54b44811ad13a8dd03f0792d0f620b75</t>
        </is>
      </c>
      <c r="B368" t="inlineStr">
        <is>
          <t>2017-04-23</t>
        </is>
      </c>
      <c r="C368" t="inlineStr">
        <is>
          <t>2017-04</t>
        </is>
      </c>
      <c r="D368" t="inlineStr">
        <is>
          <t>SP</t>
        </is>
      </c>
      <c r="E368" t="inlineStr">
        <is>
          <t>computers_accessories</t>
        </is>
      </c>
      <c r="F368" t="n">
        <v>1</v>
      </c>
      <c r="G368" t="n">
        <v>29.4</v>
      </c>
      <c r="H368" t="n">
        <v>11.74</v>
      </c>
      <c r="I368" t="inlineStr">
        <is>
          <t>boleto</t>
        </is>
      </c>
      <c r="J368" t="n">
        <v>15</v>
      </c>
      <c r="K368" t="inlineStr">
        <is>
          <t>On Time</t>
        </is>
      </c>
      <c r="L368" t="n">
        <v>4</v>
      </c>
      <c r="M368">
        <f>VLOOKUP(D368,State_Lookup!$A$2:$B$28,2,FALSE)</f>
        <v/>
      </c>
    </row>
    <row r="369">
      <c r="A369" t="inlineStr">
        <is>
          <t>de3be1cacca82247456d8ed36f4f9c63</t>
        </is>
      </c>
      <c r="B369" t="inlineStr">
        <is>
          <t>2017-04-23</t>
        </is>
      </c>
      <c r="C369" t="inlineStr">
        <is>
          <t>2017-04</t>
        </is>
      </c>
      <c r="D369" t="inlineStr">
        <is>
          <t>PR</t>
        </is>
      </c>
      <c r="E369" t="inlineStr">
        <is>
          <t>bed_bath_table</t>
        </is>
      </c>
      <c r="F369" t="n">
        <v>1</v>
      </c>
      <c r="G369" t="n">
        <v>93</v>
      </c>
      <c r="H369" t="n">
        <v>15.86</v>
      </c>
      <c r="I369" t="inlineStr">
        <is>
          <t>credit_card</t>
        </is>
      </c>
      <c r="J369" t="n">
        <v>15</v>
      </c>
      <c r="K369" t="inlineStr">
        <is>
          <t>On Time</t>
        </is>
      </c>
      <c r="L369" t="n">
        <v>4</v>
      </c>
      <c r="M369">
        <f>VLOOKUP(D369,State_Lookup!$A$2:$B$28,2,FALSE)</f>
        <v/>
      </c>
    </row>
    <row r="370">
      <c r="A370" t="inlineStr">
        <is>
          <t>dc17587e6349f0e37fabd902991359f4</t>
        </is>
      </c>
      <c r="B370" t="inlineStr">
        <is>
          <t>2017-04-24</t>
        </is>
      </c>
      <c r="C370" t="inlineStr">
        <is>
          <t>2017-04</t>
        </is>
      </c>
      <c r="D370" t="inlineStr">
        <is>
          <t>SP</t>
        </is>
      </c>
      <c r="E370" t="inlineStr">
        <is>
          <t>perfumery</t>
        </is>
      </c>
      <c r="F370" t="n">
        <v>1</v>
      </c>
      <c r="G370" t="n">
        <v>139.9</v>
      </c>
      <c r="H370" t="n">
        <v>15.15</v>
      </c>
      <c r="I370" t="inlineStr">
        <is>
          <t>credit_card</t>
        </is>
      </c>
      <c r="J370" t="n">
        <v>15</v>
      </c>
      <c r="K370" t="inlineStr">
        <is>
          <t>On Time</t>
        </is>
      </c>
      <c r="L370" t="n">
        <v>3</v>
      </c>
      <c r="M370">
        <f>VLOOKUP(D370,State_Lookup!$A$2:$B$28,2,FALSE)</f>
        <v/>
      </c>
    </row>
    <row r="371">
      <c r="A371" t="inlineStr">
        <is>
          <t>c624cc88e5e978973852915f3d798c8e</t>
        </is>
      </c>
      <c r="B371" t="inlineStr">
        <is>
          <t>2017-04-24</t>
        </is>
      </c>
      <c r="C371" t="inlineStr">
        <is>
          <t>2017-04</t>
        </is>
      </c>
      <c r="D371" t="inlineStr">
        <is>
          <t>PR</t>
        </is>
      </c>
      <c r="E371" t="inlineStr">
        <is>
          <t>furniture_decor</t>
        </is>
      </c>
      <c r="F371" t="n">
        <v>1</v>
      </c>
      <c r="G371" t="n">
        <v>199</v>
      </c>
      <c r="H371" t="n">
        <v>59</v>
      </c>
      <c r="I371" t="inlineStr">
        <is>
          <t>credit_card</t>
        </is>
      </c>
      <c r="J371" t="n">
        <v>7</v>
      </c>
      <c r="K371" t="inlineStr">
        <is>
          <t>On Time</t>
        </is>
      </c>
      <c r="L371" t="n">
        <v>5</v>
      </c>
      <c r="M371">
        <f>VLOOKUP(D371,State_Lookup!$A$2:$B$28,2,FALSE)</f>
        <v/>
      </c>
    </row>
    <row r="372">
      <c r="A372" t="inlineStr">
        <is>
          <t>4243bef9583d689a9c8fe6f055cef332</t>
        </is>
      </c>
      <c r="B372" t="inlineStr">
        <is>
          <t>2017-04-24</t>
        </is>
      </c>
      <c r="C372" t="inlineStr">
        <is>
          <t>2017-04</t>
        </is>
      </c>
      <c r="D372" t="inlineStr">
        <is>
          <t>SP</t>
        </is>
      </c>
      <c r="E372" t="inlineStr">
        <is>
          <t>auto</t>
        </is>
      </c>
      <c r="F372" t="n">
        <v>1</v>
      </c>
      <c r="G372" t="n">
        <v>159.99</v>
      </c>
      <c r="H372" t="n">
        <v>11.73</v>
      </c>
      <c r="I372" t="inlineStr">
        <is>
          <t>voucher</t>
        </is>
      </c>
      <c r="J372" t="n">
        <v>10</v>
      </c>
      <c r="K372" t="inlineStr">
        <is>
          <t>On Time</t>
        </is>
      </c>
      <c r="L372" t="n">
        <v>4</v>
      </c>
      <c r="M372">
        <f>VLOOKUP(D372,State_Lookup!$A$2:$B$28,2,FALSE)</f>
        <v/>
      </c>
    </row>
    <row r="373">
      <c r="A373" t="inlineStr">
        <is>
          <t>3b73b197eb4c6d3e501a291eb024fa1c</t>
        </is>
      </c>
      <c r="B373" t="inlineStr">
        <is>
          <t>2017-04-24</t>
        </is>
      </c>
      <c r="C373" t="inlineStr">
        <is>
          <t>2017-04</t>
        </is>
      </c>
      <c r="D373" t="inlineStr">
        <is>
          <t>MG</t>
        </is>
      </c>
      <c r="E373" t="inlineStr">
        <is>
          <t>office_furniture</t>
        </is>
      </c>
      <c r="F373" t="n">
        <v>1</v>
      </c>
      <c r="G373" t="n">
        <v>112.99</v>
      </c>
      <c r="H373" t="n">
        <v>28.98</v>
      </c>
      <c r="I373" t="inlineStr">
        <is>
          <t>credit_card</t>
        </is>
      </c>
      <c r="J373" t="n">
        <v>25</v>
      </c>
      <c r="K373" t="inlineStr">
        <is>
          <t>On Time</t>
        </is>
      </c>
      <c r="L373" t="n">
        <v>1</v>
      </c>
      <c r="M373">
        <f>VLOOKUP(D373,State_Lookup!$A$2:$B$28,2,FALSE)</f>
        <v/>
      </c>
    </row>
    <row r="374">
      <c r="A374" t="inlineStr">
        <is>
          <t>7e722bfc2987b03c9f86dc14857dabba</t>
        </is>
      </c>
      <c r="B374" t="inlineStr">
        <is>
          <t>2017-04-24</t>
        </is>
      </c>
      <c r="C374" t="inlineStr">
        <is>
          <t>2017-04</t>
        </is>
      </c>
      <c r="D374" t="inlineStr">
        <is>
          <t>RJ</t>
        </is>
      </c>
      <c r="E374" t="inlineStr">
        <is>
          <t>bed_bath_table</t>
        </is>
      </c>
      <c r="F374" t="n">
        <v>2</v>
      </c>
      <c r="G374" t="n">
        <v>137.8</v>
      </c>
      <c r="H374" t="n">
        <v>32.58</v>
      </c>
      <c r="I374" t="inlineStr">
        <is>
          <t>credit_card</t>
        </is>
      </c>
      <c r="J374" t="n">
        <v>20</v>
      </c>
      <c r="K374" t="inlineStr">
        <is>
          <t>On Time</t>
        </is>
      </c>
      <c r="L374" t="n">
        <v>5</v>
      </c>
      <c r="M374">
        <f>VLOOKUP(D374,State_Lookup!$A$2:$B$28,2,FALSE)</f>
        <v/>
      </c>
    </row>
    <row r="375">
      <c r="A375" t="inlineStr">
        <is>
          <t>cec04b13070b06e2f7326de94287d60d</t>
        </is>
      </c>
      <c r="B375" t="inlineStr">
        <is>
          <t>2017-04-24</t>
        </is>
      </c>
      <c r="C375" t="inlineStr">
        <is>
          <t>2017-04</t>
        </is>
      </c>
      <c r="D375" t="inlineStr">
        <is>
          <t>SP</t>
        </is>
      </c>
      <c r="E375" t="inlineStr">
        <is>
          <t>office_furniture</t>
        </is>
      </c>
      <c r="F375" t="n">
        <v>1</v>
      </c>
      <c r="G375" t="n">
        <v>124.99</v>
      </c>
      <c r="H375" t="n">
        <v>11.48</v>
      </c>
      <c r="I375" t="inlineStr">
        <is>
          <t>boleto</t>
        </is>
      </c>
      <c r="J375" t="n">
        <v>28</v>
      </c>
      <c r="K375" t="inlineStr">
        <is>
          <t>Late</t>
        </is>
      </c>
      <c r="L375" t="n">
        <v>4</v>
      </c>
      <c r="M375">
        <f>VLOOKUP(D375,State_Lookup!$A$2:$B$28,2,FALSE)</f>
        <v/>
      </c>
    </row>
    <row r="376">
      <c r="A376" t="inlineStr">
        <is>
          <t>ddf16d77e858a32f36e10c289a28ef61</t>
        </is>
      </c>
      <c r="B376" t="inlineStr">
        <is>
          <t>2017-04-24</t>
        </is>
      </c>
      <c r="C376" t="inlineStr">
        <is>
          <t>2017-04</t>
        </is>
      </c>
      <c r="D376" t="inlineStr">
        <is>
          <t>SC</t>
        </is>
      </c>
      <c r="E376" t="inlineStr">
        <is>
          <t>unknown</t>
        </is>
      </c>
      <c r="F376" t="n">
        <v>1</v>
      </c>
      <c r="G376" t="n">
        <v>29</v>
      </c>
      <c r="H376" t="n">
        <v>14.52</v>
      </c>
      <c r="I376" t="inlineStr">
        <is>
          <t>voucher</t>
        </is>
      </c>
      <c r="J376" t="n">
        <v>11</v>
      </c>
      <c r="K376" t="inlineStr">
        <is>
          <t>On Time</t>
        </is>
      </c>
      <c r="L376" t="n">
        <v>5</v>
      </c>
      <c r="M376">
        <f>VLOOKUP(D376,State_Lookup!$A$2:$B$28,2,FALSE)</f>
        <v/>
      </c>
    </row>
    <row r="377">
      <c r="A377" t="inlineStr">
        <is>
          <t>a1b57552891d32e63b959ed210edad44</t>
        </is>
      </c>
      <c r="B377" t="inlineStr">
        <is>
          <t>2017-04-24</t>
        </is>
      </c>
      <c r="C377" t="inlineStr">
        <is>
          <t>2017-04</t>
        </is>
      </c>
      <c r="D377" t="inlineStr">
        <is>
          <t>ES</t>
        </is>
      </c>
      <c r="E377" t="inlineStr">
        <is>
          <t>computers_accessories</t>
        </is>
      </c>
      <c r="F377" t="n">
        <v>1</v>
      </c>
      <c r="G377" t="n">
        <v>139.99</v>
      </c>
      <c r="H377" t="n">
        <v>33.26</v>
      </c>
      <c r="I377" t="inlineStr">
        <is>
          <t>credit_card</t>
        </is>
      </c>
      <c r="J377" t="n">
        <v>9</v>
      </c>
      <c r="K377" t="inlineStr">
        <is>
          <t>On Time</t>
        </is>
      </c>
      <c r="L377" t="n">
        <v>5</v>
      </c>
      <c r="M377">
        <f>VLOOKUP(D377,State_Lookup!$A$2:$B$28,2,FALSE)</f>
        <v/>
      </c>
    </row>
    <row r="378">
      <c r="A378" t="inlineStr">
        <is>
          <t>1bab77281b20f4719d0a9f87f2282fde</t>
        </is>
      </c>
      <c r="B378" t="inlineStr">
        <is>
          <t>2017-04-24</t>
        </is>
      </c>
      <c r="C378" t="inlineStr">
        <is>
          <t>2017-04</t>
        </is>
      </c>
      <c r="D378" t="inlineStr">
        <is>
          <t>SP</t>
        </is>
      </c>
      <c r="E378" t="inlineStr">
        <is>
          <t>furniture_decor</t>
        </is>
      </c>
      <c r="F378" t="n">
        <v>1</v>
      </c>
      <c r="G378" t="n">
        <v>139.9</v>
      </c>
      <c r="H378" t="n">
        <v>16.09</v>
      </c>
      <c r="I378" t="inlineStr">
        <is>
          <t>boleto</t>
        </is>
      </c>
      <c r="J378" t="n">
        <v>13</v>
      </c>
      <c r="K378" t="inlineStr">
        <is>
          <t>On Time</t>
        </is>
      </c>
      <c r="L378" t="n">
        <v>1</v>
      </c>
      <c r="M378">
        <f>VLOOKUP(D378,State_Lookup!$A$2:$B$28,2,FALSE)</f>
        <v/>
      </c>
    </row>
    <row r="379">
      <c r="A379" t="inlineStr">
        <is>
          <t>a9cabf6172d0b9bf7909cd1235499fa0</t>
        </is>
      </c>
      <c r="B379" t="inlineStr">
        <is>
          <t>2017-04-24</t>
        </is>
      </c>
      <c r="C379" t="inlineStr">
        <is>
          <t>2017-04</t>
        </is>
      </c>
      <c r="D379" t="inlineStr">
        <is>
          <t>RS</t>
        </is>
      </c>
      <c r="E379" t="inlineStr">
        <is>
          <t>cool_stuff</t>
        </is>
      </c>
      <c r="F379" t="n">
        <v>1</v>
      </c>
      <c r="G379" t="n">
        <v>199.99</v>
      </c>
      <c r="H379" t="n">
        <v>19.99</v>
      </c>
      <c r="I379" t="inlineStr">
        <is>
          <t>credit_card</t>
        </is>
      </c>
      <c r="J379" t="n">
        <v>21</v>
      </c>
      <c r="K379" t="inlineStr">
        <is>
          <t>On Time</t>
        </is>
      </c>
      <c r="L379" t="n">
        <v>1</v>
      </c>
      <c r="M379">
        <f>VLOOKUP(D379,State_Lookup!$A$2:$B$28,2,FALSE)</f>
        <v/>
      </c>
    </row>
    <row r="380">
      <c r="A380" t="inlineStr">
        <is>
          <t>04eef545c54d444825c506ba170a26bd</t>
        </is>
      </c>
      <c r="B380" t="inlineStr">
        <is>
          <t>2017-04-24</t>
        </is>
      </c>
      <c r="C380" t="inlineStr">
        <is>
          <t>2017-04</t>
        </is>
      </c>
      <c r="D380" t="inlineStr">
        <is>
          <t>RJ</t>
        </is>
      </c>
      <c r="E380" t="inlineStr">
        <is>
          <t>baby</t>
        </is>
      </c>
      <c r="F380" t="n">
        <v>1</v>
      </c>
      <c r="G380" t="n">
        <v>59.99</v>
      </c>
      <c r="H380" t="n">
        <v>15.63</v>
      </c>
      <c r="I380" t="inlineStr">
        <is>
          <t>credit_card</t>
        </is>
      </c>
      <c r="J380" t="n">
        <v>31</v>
      </c>
      <c r="K380" t="inlineStr">
        <is>
          <t>Late</t>
        </is>
      </c>
      <c r="L380" t="n">
        <v>1</v>
      </c>
      <c r="M380">
        <f>VLOOKUP(D380,State_Lookup!$A$2:$B$28,2,FALSE)</f>
        <v/>
      </c>
    </row>
    <row r="381">
      <c r="A381" t="inlineStr">
        <is>
          <t>ef9b0fd26c25baaf42b8ebc3417fff01</t>
        </is>
      </c>
      <c r="B381" t="inlineStr">
        <is>
          <t>2017-04-24</t>
        </is>
      </c>
      <c r="C381" t="inlineStr">
        <is>
          <t>2017-04</t>
        </is>
      </c>
      <c r="D381" t="inlineStr">
        <is>
          <t>SP</t>
        </is>
      </c>
      <c r="E381" t="inlineStr">
        <is>
          <t>housewares</t>
        </is>
      </c>
      <c r="F381" t="n">
        <v>1</v>
      </c>
      <c r="G381" t="n">
        <v>568.45</v>
      </c>
      <c r="H381" t="n">
        <v>21.27</v>
      </c>
      <c r="I381" t="inlineStr">
        <is>
          <t>credit_card</t>
        </is>
      </c>
      <c r="J381" t="n">
        <v>17</v>
      </c>
      <c r="K381" t="inlineStr">
        <is>
          <t>On Time</t>
        </is>
      </c>
      <c r="L381" t="n">
        <v>5</v>
      </c>
      <c r="M381">
        <f>VLOOKUP(D381,State_Lookup!$A$2:$B$28,2,FALSE)</f>
        <v/>
      </c>
    </row>
    <row r="382">
      <c r="A382" t="inlineStr">
        <is>
          <t>6222f10321c7b098c4d165139993de63</t>
        </is>
      </c>
      <c r="B382" t="inlineStr">
        <is>
          <t>2017-04-25</t>
        </is>
      </c>
      <c r="C382" t="inlineStr">
        <is>
          <t>2017-04</t>
        </is>
      </c>
      <c r="D382" t="inlineStr">
        <is>
          <t>RJ</t>
        </is>
      </c>
      <c r="E382" t="inlineStr">
        <is>
          <t>market_place</t>
        </is>
      </c>
      <c r="F382" t="n">
        <v>1</v>
      </c>
      <c r="G382" t="n">
        <v>289.9</v>
      </c>
      <c r="H382" t="n">
        <v>24.58</v>
      </c>
      <c r="I382" t="inlineStr">
        <is>
          <t>boleto</t>
        </is>
      </c>
      <c r="J382" t="n">
        <v>21</v>
      </c>
      <c r="K382" t="inlineStr">
        <is>
          <t>On Time</t>
        </is>
      </c>
      <c r="L382" t="n">
        <v>1</v>
      </c>
      <c r="M382">
        <f>VLOOKUP(D382,State_Lookup!$A$2:$B$28,2,FALSE)</f>
        <v/>
      </c>
    </row>
    <row r="383">
      <c r="A383" t="inlineStr">
        <is>
          <t>e003ef7043c4587ceeedca63a9e06054</t>
        </is>
      </c>
      <c r="B383" t="inlineStr">
        <is>
          <t>2017-04-25</t>
        </is>
      </c>
      <c r="C383" t="inlineStr">
        <is>
          <t>2017-04</t>
        </is>
      </c>
      <c r="D383" t="inlineStr">
        <is>
          <t>RJ</t>
        </is>
      </c>
      <c r="E383" t="inlineStr">
        <is>
          <t>cool_stuff</t>
        </is>
      </c>
      <c r="F383" t="n">
        <v>1</v>
      </c>
      <c r="G383" t="n">
        <v>156.99</v>
      </c>
      <c r="H383" t="n">
        <v>25.95</v>
      </c>
      <c r="I383" t="inlineStr">
        <is>
          <t>credit_card</t>
        </is>
      </c>
      <c r="J383" t="n">
        <v>14</v>
      </c>
      <c r="K383" t="inlineStr">
        <is>
          <t>On Time</t>
        </is>
      </c>
      <c r="L383" t="n">
        <v>4</v>
      </c>
      <c r="M383">
        <f>VLOOKUP(D383,State_Lookup!$A$2:$B$28,2,FALSE)</f>
        <v/>
      </c>
    </row>
    <row r="384">
      <c r="A384" t="inlineStr">
        <is>
          <t>3eb9297e6fd8ebcad90e3d436f378207</t>
        </is>
      </c>
      <c r="B384" t="inlineStr">
        <is>
          <t>2017-04-25</t>
        </is>
      </c>
      <c r="C384" t="inlineStr">
        <is>
          <t>2017-04</t>
        </is>
      </c>
      <c r="D384" t="inlineStr">
        <is>
          <t>SP</t>
        </is>
      </c>
      <c r="E384" t="inlineStr">
        <is>
          <t>telephony</t>
        </is>
      </c>
      <c r="F384" t="n">
        <v>1</v>
      </c>
      <c r="G384" t="n">
        <v>68.90000000000001</v>
      </c>
      <c r="H384" t="n">
        <v>14.65</v>
      </c>
      <c r="I384" t="inlineStr">
        <is>
          <t>credit_card</t>
        </is>
      </c>
      <c r="J384" t="n">
        <v>12</v>
      </c>
      <c r="K384" t="inlineStr">
        <is>
          <t>On Time</t>
        </is>
      </c>
      <c r="L384" t="n">
        <v>4</v>
      </c>
      <c r="M384">
        <f>VLOOKUP(D384,State_Lookup!$A$2:$B$28,2,FALSE)</f>
        <v/>
      </c>
    </row>
    <row r="385">
      <c r="A385" t="inlineStr">
        <is>
          <t>51a7d7d26116c0eaee6bb35ea667dfda</t>
        </is>
      </c>
      <c r="B385" t="inlineStr">
        <is>
          <t>2017-04-25</t>
        </is>
      </c>
      <c r="C385" t="inlineStr">
        <is>
          <t>2017-04</t>
        </is>
      </c>
      <c r="D385" t="inlineStr">
        <is>
          <t>SP</t>
        </is>
      </c>
      <c r="E385" t="inlineStr">
        <is>
          <t>garden_tools</t>
        </is>
      </c>
      <c r="F385" t="n">
        <v>1</v>
      </c>
      <c r="G385" t="n">
        <v>84.90000000000001</v>
      </c>
      <c r="H385" t="n">
        <v>36.14</v>
      </c>
      <c r="I385" t="inlineStr">
        <is>
          <t>credit_card</t>
        </is>
      </c>
      <c r="J385" t="n">
        <v>8</v>
      </c>
      <c r="K385" t="inlineStr">
        <is>
          <t>On Time</t>
        </is>
      </c>
      <c r="L385" t="n">
        <v>5</v>
      </c>
      <c r="M385">
        <f>VLOOKUP(D385,State_Lookup!$A$2:$B$28,2,FALSE)</f>
        <v/>
      </c>
    </row>
    <row r="386">
      <c r="A386" t="inlineStr">
        <is>
          <t>eb5155f1e2e9054e0ff0e0701ce8f5c8</t>
        </is>
      </c>
      <c r="B386" t="inlineStr">
        <is>
          <t>2017-04-25</t>
        </is>
      </c>
      <c r="C386" t="inlineStr">
        <is>
          <t>2017-04</t>
        </is>
      </c>
      <c r="D386" t="inlineStr">
        <is>
          <t>SP</t>
        </is>
      </c>
      <c r="E386" t="inlineStr">
        <is>
          <t>sports_leisure</t>
        </is>
      </c>
      <c r="F386" t="n">
        <v>1</v>
      </c>
      <c r="G386" t="n">
        <v>159.9</v>
      </c>
      <c r="H386" t="n">
        <v>13.7</v>
      </c>
      <c r="I386" t="inlineStr">
        <is>
          <t>debit_card</t>
        </is>
      </c>
      <c r="J386" t="n">
        <v>13</v>
      </c>
      <c r="K386" t="inlineStr">
        <is>
          <t>On Time</t>
        </is>
      </c>
      <c r="L386" t="n">
        <v>5</v>
      </c>
      <c r="M386">
        <f>VLOOKUP(D386,State_Lookup!$A$2:$B$28,2,FALSE)</f>
        <v/>
      </c>
    </row>
    <row r="387">
      <c r="A387" t="inlineStr">
        <is>
          <t>8c64dfe75b003b8f1eddd9721843049a</t>
        </is>
      </c>
      <c r="B387" t="inlineStr">
        <is>
          <t>2017-04-25</t>
        </is>
      </c>
      <c r="C387" t="inlineStr">
        <is>
          <t>2017-04</t>
        </is>
      </c>
      <c r="D387" t="inlineStr">
        <is>
          <t>PR</t>
        </is>
      </c>
      <c r="E387" t="inlineStr">
        <is>
          <t>furniture_decor</t>
        </is>
      </c>
      <c r="F387" t="n">
        <v>1</v>
      </c>
      <c r="G387" t="n">
        <v>45.9</v>
      </c>
      <c r="H387" t="n">
        <v>14.52</v>
      </c>
      <c r="I387" t="inlineStr">
        <is>
          <t>credit_card</t>
        </is>
      </c>
      <c r="J387" t="n">
        <v>15</v>
      </c>
      <c r="K387" t="inlineStr">
        <is>
          <t>On Time</t>
        </is>
      </c>
      <c r="L387" t="n">
        <v>5</v>
      </c>
      <c r="M387">
        <f>VLOOKUP(D387,State_Lookup!$A$2:$B$28,2,FALSE)</f>
        <v/>
      </c>
    </row>
    <row r="388">
      <c r="A388" t="inlineStr">
        <is>
          <t>e1e2b559781f43694643d53e2ef681fe</t>
        </is>
      </c>
      <c r="B388" t="inlineStr">
        <is>
          <t>2017-04-25</t>
        </is>
      </c>
      <c r="C388" t="inlineStr">
        <is>
          <t>2017-04</t>
        </is>
      </c>
      <c r="D388" t="inlineStr">
        <is>
          <t>MG</t>
        </is>
      </c>
      <c r="E388" t="inlineStr">
        <is>
          <t>furniture_decor</t>
        </is>
      </c>
      <c r="F388" t="n">
        <v>1</v>
      </c>
      <c r="G388" t="n">
        <v>169.9</v>
      </c>
      <c r="H388" t="n">
        <v>45.29</v>
      </c>
      <c r="I388" t="inlineStr">
        <is>
          <t>credit_card</t>
        </is>
      </c>
      <c r="J388" t="n">
        <v>14</v>
      </c>
      <c r="K388" t="inlineStr">
        <is>
          <t>On Time</t>
        </is>
      </c>
      <c r="L388" t="n">
        <v>5</v>
      </c>
      <c r="M388">
        <f>VLOOKUP(D388,State_Lookup!$A$2:$B$28,2,FALSE)</f>
        <v/>
      </c>
    </row>
    <row r="389">
      <c r="A389" t="inlineStr">
        <is>
          <t>2930a715e49bf6193fd54abfb9da0d7b</t>
        </is>
      </c>
      <c r="B389" t="inlineStr">
        <is>
          <t>2017-04-25</t>
        </is>
      </c>
      <c r="C389" t="inlineStr">
        <is>
          <t>2017-04</t>
        </is>
      </c>
      <c r="D389" t="inlineStr">
        <is>
          <t>SP</t>
        </is>
      </c>
      <c r="E389" t="inlineStr">
        <is>
          <t>health_beauty</t>
        </is>
      </c>
      <c r="F389" t="n">
        <v>1</v>
      </c>
      <c r="G389" t="n">
        <v>26.9</v>
      </c>
      <c r="H389" t="n">
        <v>10.96</v>
      </c>
      <c r="I389" t="inlineStr">
        <is>
          <t>credit_card</t>
        </is>
      </c>
      <c r="J389" t="n">
        <v>9</v>
      </c>
      <c r="K389" t="inlineStr">
        <is>
          <t>On Time</t>
        </is>
      </c>
      <c r="L389" t="n">
        <v>5</v>
      </c>
      <c r="M389">
        <f>VLOOKUP(D389,State_Lookup!$A$2:$B$28,2,FALSE)</f>
        <v/>
      </c>
    </row>
    <row r="390">
      <c r="A390" t="inlineStr">
        <is>
          <t>741f2c4e19ea249883b7eab05a4061f6</t>
        </is>
      </c>
      <c r="B390" t="inlineStr">
        <is>
          <t>2017-04-26</t>
        </is>
      </c>
      <c r="C390" t="inlineStr">
        <is>
          <t>2017-04</t>
        </is>
      </c>
      <c r="D390" t="inlineStr">
        <is>
          <t>PR</t>
        </is>
      </c>
      <c r="E390" t="inlineStr">
        <is>
          <t>housewares</t>
        </is>
      </c>
      <c r="F390" t="n">
        <v>1</v>
      </c>
      <c r="G390" t="n">
        <v>55</v>
      </c>
      <c r="H390" t="n">
        <v>11.78</v>
      </c>
      <c r="I390" t="inlineStr">
        <is>
          <t>credit_card</t>
        </is>
      </c>
      <c r="J390" t="n">
        <v>13</v>
      </c>
      <c r="K390" t="inlineStr">
        <is>
          <t>On Time</t>
        </is>
      </c>
      <c r="L390" t="n">
        <v>5</v>
      </c>
      <c r="M390">
        <f>VLOOKUP(D390,State_Lookup!$A$2:$B$28,2,FALSE)</f>
        <v/>
      </c>
    </row>
    <row r="391">
      <c r="A391" t="inlineStr">
        <is>
          <t>a6f521d5e68e95961ac13d448a960fd7</t>
        </is>
      </c>
      <c r="B391" t="inlineStr">
        <is>
          <t>2017-04-26</t>
        </is>
      </c>
      <c r="C391" t="inlineStr">
        <is>
          <t>2017-04</t>
        </is>
      </c>
      <c r="D391" t="inlineStr">
        <is>
          <t>RJ</t>
        </is>
      </c>
      <c r="E391" t="inlineStr">
        <is>
          <t>perfumery</t>
        </is>
      </c>
      <c r="F391" t="n">
        <v>1</v>
      </c>
      <c r="G391" t="n">
        <v>56.99</v>
      </c>
      <c r="H391" t="n">
        <v>14.57</v>
      </c>
      <c r="I391" t="inlineStr">
        <is>
          <t>boleto</t>
        </is>
      </c>
      <c r="J391" t="n">
        <v>28</v>
      </c>
      <c r="K391" t="inlineStr">
        <is>
          <t>On Time</t>
        </is>
      </c>
      <c r="L391" t="n">
        <v>4</v>
      </c>
      <c r="M391">
        <f>VLOOKUP(D391,State_Lookup!$A$2:$B$28,2,FALSE)</f>
        <v/>
      </c>
    </row>
    <row r="392">
      <c r="A392" t="inlineStr">
        <is>
          <t>c85ea30e9a24abecb353caa26294c81c</t>
        </is>
      </c>
      <c r="B392" t="inlineStr">
        <is>
          <t>2017-04-26</t>
        </is>
      </c>
      <c r="C392" t="inlineStr">
        <is>
          <t>2017-04</t>
        </is>
      </c>
      <c r="D392" t="inlineStr">
        <is>
          <t>ES</t>
        </is>
      </c>
      <c r="E392" t="inlineStr">
        <is>
          <t>books_general_interest</t>
        </is>
      </c>
      <c r="F392" t="n">
        <v>1</v>
      </c>
      <c r="G392" t="n">
        <v>53.9</v>
      </c>
      <c r="H392" t="n">
        <v>19.08</v>
      </c>
      <c r="I392" t="inlineStr">
        <is>
          <t>credit_card</t>
        </is>
      </c>
      <c r="J392" t="n">
        <v>12</v>
      </c>
      <c r="K392" t="inlineStr">
        <is>
          <t>On Time</t>
        </is>
      </c>
      <c r="L392" t="n">
        <v>4</v>
      </c>
      <c r="M392">
        <f>VLOOKUP(D392,State_Lookup!$A$2:$B$28,2,FALSE)</f>
        <v/>
      </c>
    </row>
    <row r="393">
      <c r="A393" t="inlineStr">
        <is>
          <t>91da0c6e7a09dfed94e7cdd19982467b</t>
        </is>
      </c>
      <c r="B393" t="inlineStr">
        <is>
          <t>2017-04-26</t>
        </is>
      </c>
      <c r="C393" t="inlineStr">
        <is>
          <t>2017-04</t>
        </is>
      </c>
      <c r="D393" t="inlineStr">
        <is>
          <t>SP</t>
        </is>
      </c>
      <c r="E393" t="inlineStr">
        <is>
          <t>bed_bath_table</t>
        </is>
      </c>
      <c r="F393" t="n">
        <v>1</v>
      </c>
      <c r="G393" t="n">
        <v>69.90000000000001</v>
      </c>
      <c r="H393" t="n">
        <v>11.88</v>
      </c>
      <c r="I393" t="inlineStr">
        <is>
          <t>boleto</t>
        </is>
      </c>
      <c r="J393" t="n">
        <v>11</v>
      </c>
      <c r="K393" t="inlineStr">
        <is>
          <t>On Time</t>
        </is>
      </c>
      <c r="L393" t="n">
        <v>4</v>
      </c>
      <c r="M393">
        <f>VLOOKUP(D393,State_Lookup!$A$2:$B$28,2,FALSE)</f>
        <v/>
      </c>
    </row>
    <row r="394">
      <c r="A394" t="inlineStr">
        <is>
          <t>81757cfaa9d5ebd87fd0021a808f4ca9</t>
        </is>
      </c>
      <c r="B394" t="inlineStr">
        <is>
          <t>2017-04-26</t>
        </is>
      </c>
      <c r="C394" t="inlineStr">
        <is>
          <t>2017-04</t>
        </is>
      </c>
      <c r="D394" t="inlineStr">
        <is>
          <t>SP</t>
        </is>
      </c>
      <c r="E394" t="inlineStr">
        <is>
          <t>cool_stuff</t>
        </is>
      </c>
      <c r="F394" t="n">
        <v>1</v>
      </c>
      <c r="G394" t="n">
        <v>219.99</v>
      </c>
      <c r="H394" t="n">
        <v>15.31</v>
      </c>
      <c r="I394" t="inlineStr">
        <is>
          <t>credit_card</t>
        </is>
      </c>
      <c r="J394" t="n">
        <v>11</v>
      </c>
      <c r="K394" t="inlineStr">
        <is>
          <t>On Time</t>
        </is>
      </c>
      <c r="L394" t="n">
        <v>5</v>
      </c>
      <c r="M394">
        <f>VLOOKUP(D394,State_Lookup!$A$2:$B$28,2,FALSE)</f>
        <v/>
      </c>
    </row>
    <row r="395">
      <c r="A395" t="inlineStr">
        <is>
          <t>b4545b4fc2de8025a8a42fb23125cc54</t>
        </is>
      </c>
      <c r="B395" t="inlineStr">
        <is>
          <t>2017-04-26</t>
        </is>
      </c>
      <c r="C395" t="inlineStr">
        <is>
          <t>2017-04</t>
        </is>
      </c>
      <c r="D395" t="inlineStr">
        <is>
          <t>SP</t>
        </is>
      </c>
      <c r="E395" t="inlineStr">
        <is>
          <t>cool_stuff</t>
        </is>
      </c>
      <c r="F395" t="n">
        <v>1</v>
      </c>
      <c r="G395" t="n">
        <v>59.9</v>
      </c>
      <c r="H395" t="n">
        <v>17.16</v>
      </c>
      <c r="I395" t="inlineStr">
        <is>
          <t>boleto</t>
        </is>
      </c>
      <c r="J395" t="n">
        <v>25</v>
      </c>
      <c r="K395" t="inlineStr">
        <is>
          <t>Late</t>
        </is>
      </c>
      <c r="L395" t="n">
        <v>3</v>
      </c>
      <c r="M395">
        <f>VLOOKUP(D395,State_Lookup!$A$2:$B$28,2,FALSE)</f>
        <v/>
      </c>
    </row>
    <row r="396">
      <c r="A396" t="inlineStr">
        <is>
          <t>7c8b338f397fb38ef8936b1dc65f5bc0</t>
        </is>
      </c>
      <c r="B396" t="inlineStr">
        <is>
          <t>2017-04-26</t>
        </is>
      </c>
      <c r="C396" t="inlineStr">
        <is>
          <t>2017-04</t>
        </is>
      </c>
      <c r="D396" t="inlineStr">
        <is>
          <t>RS</t>
        </is>
      </c>
      <c r="E396" t="inlineStr">
        <is>
          <t>luggage_accessories</t>
        </is>
      </c>
      <c r="F396" t="n">
        <v>1</v>
      </c>
      <c r="G396" t="n">
        <v>79.90000000000001</v>
      </c>
      <c r="H396" t="n">
        <v>22.85</v>
      </c>
      <c r="I396" t="inlineStr">
        <is>
          <t>credit_card</t>
        </is>
      </c>
      <c r="J396" t="n">
        <v>11</v>
      </c>
      <c r="K396" t="inlineStr">
        <is>
          <t>On Time</t>
        </is>
      </c>
      <c r="L396" t="n">
        <v>5</v>
      </c>
      <c r="M396">
        <f>VLOOKUP(D396,State_Lookup!$A$2:$B$28,2,FALSE)</f>
        <v/>
      </c>
    </row>
    <row r="397">
      <c r="A397" t="inlineStr">
        <is>
          <t>3ba1f632cf89a08caf9837999bf827ef</t>
        </is>
      </c>
      <c r="B397" t="inlineStr">
        <is>
          <t>2017-04-26</t>
        </is>
      </c>
      <c r="C397" t="inlineStr">
        <is>
          <t>2017-04</t>
        </is>
      </c>
      <c r="D397" t="inlineStr">
        <is>
          <t>PI</t>
        </is>
      </c>
      <c r="E397" t="inlineStr">
        <is>
          <t>toys</t>
        </is>
      </c>
      <c r="F397" t="n">
        <v>1</v>
      </c>
      <c r="G397" t="n">
        <v>164.98</v>
      </c>
      <c r="H397" t="n">
        <v>25.64</v>
      </c>
      <c r="I397" t="inlineStr">
        <is>
          <t>credit_card</t>
        </is>
      </c>
      <c r="J397" t="n">
        <v>15</v>
      </c>
      <c r="K397" t="inlineStr">
        <is>
          <t>On Time</t>
        </is>
      </c>
      <c r="L397" t="n">
        <v>5</v>
      </c>
      <c r="M397">
        <f>VLOOKUP(D397,State_Lookup!$A$2:$B$28,2,FALSE)</f>
        <v/>
      </c>
    </row>
    <row r="398">
      <c r="A398" t="inlineStr">
        <is>
          <t>41fe3abb11743c0c0403af8721d23feb</t>
        </is>
      </c>
      <c r="B398" t="inlineStr">
        <is>
          <t>2017-04-26</t>
        </is>
      </c>
      <c r="C398" t="inlineStr">
        <is>
          <t>2017-04</t>
        </is>
      </c>
      <c r="D398" t="inlineStr">
        <is>
          <t>SP</t>
        </is>
      </c>
      <c r="E398" t="inlineStr">
        <is>
          <t>tablets_printing_image</t>
        </is>
      </c>
      <c r="F398" t="n">
        <v>1</v>
      </c>
      <c r="G398" t="n">
        <v>99</v>
      </c>
      <c r="H398" t="n">
        <v>11.3</v>
      </c>
      <c r="I398" t="inlineStr">
        <is>
          <t>credit_card</t>
        </is>
      </c>
      <c r="J398" t="n">
        <v>12</v>
      </c>
      <c r="K398" t="inlineStr">
        <is>
          <t>On Time</t>
        </is>
      </c>
      <c r="L398" t="n">
        <v>5</v>
      </c>
      <c r="M398">
        <f>VLOOKUP(D398,State_Lookup!$A$2:$B$28,2,FALSE)</f>
        <v/>
      </c>
    </row>
    <row r="399">
      <c r="A399" t="inlineStr">
        <is>
          <t>83f24bbc4f76a2730ba9c9cfa32e6d07</t>
        </is>
      </c>
      <c r="B399" t="inlineStr">
        <is>
          <t>2017-04-27</t>
        </is>
      </c>
      <c r="C399" t="inlineStr">
        <is>
          <t>2017-04</t>
        </is>
      </c>
      <c r="D399" t="inlineStr">
        <is>
          <t>RJ</t>
        </is>
      </c>
      <c r="E399" t="inlineStr">
        <is>
          <t>luggage_accessories</t>
        </is>
      </c>
      <c r="F399" t="n">
        <v>1</v>
      </c>
      <c r="G399" t="n">
        <v>209.9</v>
      </c>
      <c r="H399" t="n">
        <v>21.55</v>
      </c>
      <c r="I399" t="inlineStr">
        <is>
          <t>credit_card</t>
        </is>
      </c>
      <c r="J399" t="n">
        <v>7</v>
      </c>
      <c r="K399" t="inlineStr">
        <is>
          <t>On Time</t>
        </is>
      </c>
      <c r="L399" t="n">
        <v>5</v>
      </c>
      <c r="M399">
        <f>VLOOKUP(D399,State_Lookup!$A$2:$B$28,2,FALSE)</f>
        <v/>
      </c>
    </row>
    <row r="400">
      <c r="A400" t="inlineStr">
        <is>
          <t>19c4ca2f9ed38cdc930ad4d520efa2bb</t>
        </is>
      </c>
      <c r="B400" t="inlineStr">
        <is>
          <t>2017-04-28</t>
        </is>
      </c>
      <c r="C400" t="inlineStr">
        <is>
          <t>2017-04</t>
        </is>
      </c>
      <c r="D400" t="inlineStr">
        <is>
          <t>SP</t>
        </is>
      </c>
      <c r="E400" t="inlineStr">
        <is>
          <t>perfumery</t>
        </is>
      </c>
      <c r="F400" t="n">
        <v>1</v>
      </c>
      <c r="G400" t="n">
        <v>369.9</v>
      </c>
      <c r="H400" t="n">
        <v>16.76</v>
      </c>
      <c r="I400" t="inlineStr">
        <is>
          <t>credit_card</t>
        </is>
      </c>
      <c r="J400" t="n">
        <v>19</v>
      </c>
      <c r="K400" t="inlineStr">
        <is>
          <t>On Time</t>
        </is>
      </c>
      <c r="L400" t="n">
        <v>5</v>
      </c>
      <c r="M400">
        <f>VLOOKUP(D400,State_Lookup!$A$2:$B$28,2,FALSE)</f>
        <v/>
      </c>
    </row>
    <row r="401">
      <c r="A401" t="inlineStr">
        <is>
          <t>24496db5f9de478a647819c7eb075504</t>
        </is>
      </c>
      <c r="B401" t="inlineStr">
        <is>
          <t>2017-04-28</t>
        </is>
      </c>
      <c r="C401" t="inlineStr">
        <is>
          <t>2017-04</t>
        </is>
      </c>
      <c r="D401" t="inlineStr">
        <is>
          <t>TO</t>
        </is>
      </c>
      <c r="E401" t="inlineStr">
        <is>
          <t>sports_leisure</t>
        </is>
      </c>
      <c r="F401" t="n">
        <v>1</v>
      </c>
      <c r="G401" t="n">
        <v>859</v>
      </c>
      <c r="H401" t="n">
        <v>124.39</v>
      </c>
      <c r="I401" t="inlineStr">
        <is>
          <t>credit_card</t>
        </is>
      </c>
      <c r="J401" t="n">
        <v>11</v>
      </c>
      <c r="K401" t="inlineStr">
        <is>
          <t>On Time</t>
        </is>
      </c>
      <c r="L401" t="n">
        <v>5</v>
      </c>
      <c r="M401">
        <f>VLOOKUP(D401,State_Lookup!$A$2:$B$28,2,FALSE)</f>
        <v/>
      </c>
    </row>
    <row r="402">
      <c r="A402" t="inlineStr">
        <is>
          <t>638a540852799faabe1c7c5647646c4e</t>
        </is>
      </c>
      <c r="B402" t="inlineStr">
        <is>
          <t>2017-04-28</t>
        </is>
      </c>
      <c r="C402" t="inlineStr">
        <is>
          <t>2017-04</t>
        </is>
      </c>
      <c r="D402" t="inlineStr">
        <is>
          <t>SC</t>
        </is>
      </c>
      <c r="E402" t="inlineStr">
        <is>
          <t>cool_stuff</t>
        </is>
      </c>
      <c r="F402" t="n">
        <v>1</v>
      </c>
      <c r="G402" t="n">
        <v>119.99</v>
      </c>
      <c r="H402" t="n">
        <v>16.05</v>
      </c>
      <c r="I402" t="inlineStr">
        <is>
          <t>credit_card</t>
        </is>
      </c>
      <c r="J402" t="n">
        <v>14</v>
      </c>
      <c r="K402" t="inlineStr">
        <is>
          <t>On Time</t>
        </is>
      </c>
      <c r="L402" t="n">
        <v>5</v>
      </c>
      <c r="M402">
        <f>VLOOKUP(D402,State_Lookup!$A$2:$B$28,2,FALSE)</f>
        <v/>
      </c>
    </row>
    <row r="403">
      <c r="A403" t="inlineStr">
        <is>
          <t>3462b9aa946649acaf4dbd05d3d61269</t>
        </is>
      </c>
      <c r="B403" t="inlineStr">
        <is>
          <t>2017-04-28</t>
        </is>
      </c>
      <c r="C403" t="inlineStr">
        <is>
          <t>2017-04</t>
        </is>
      </c>
      <c r="D403" t="inlineStr">
        <is>
          <t>BA</t>
        </is>
      </c>
      <c r="E403" t="inlineStr">
        <is>
          <t>computers_accessories</t>
        </is>
      </c>
      <c r="F403" t="n">
        <v>1</v>
      </c>
      <c r="G403" t="n">
        <v>129.99</v>
      </c>
      <c r="H403" t="n">
        <v>42.5</v>
      </c>
      <c r="I403" t="inlineStr">
        <is>
          <t>credit_card</t>
        </is>
      </c>
      <c r="J403" t="n">
        <v>19</v>
      </c>
      <c r="K403" t="inlineStr">
        <is>
          <t>On Time</t>
        </is>
      </c>
      <c r="L403" t="n">
        <v>5</v>
      </c>
      <c r="M403">
        <f>VLOOKUP(D403,State_Lookup!$A$2:$B$28,2,FALSE)</f>
        <v/>
      </c>
    </row>
    <row r="404">
      <c r="A404" t="inlineStr">
        <is>
          <t>64e32e79cb2d36bb6c9848e16fba6029</t>
        </is>
      </c>
      <c r="B404" t="inlineStr">
        <is>
          <t>2017-04-28</t>
        </is>
      </c>
      <c r="C404" t="inlineStr">
        <is>
          <t>2017-04</t>
        </is>
      </c>
      <c r="D404" t="inlineStr">
        <is>
          <t>ES</t>
        </is>
      </c>
      <c r="E404" t="inlineStr">
        <is>
          <t>luggage_accessories</t>
        </is>
      </c>
      <c r="F404" t="n">
        <v>1</v>
      </c>
      <c r="G404" t="n">
        <v>149.9</v>
      </c>
      <c r="H404" t="n">
        <v>16.75</v>
      </c>
      <c r="I404" t="inlineStr">
        <is>
          <t>boleto</t>
        </is>
      </c>
      <c r="J404" t="n">
        <v>19</v>
      </c>
      <c r="K404" t="inlineStr">
        <is>
          <t>On Time</t>
        </is>
      </c>
      <c r="L404" t="n">
        <v>4</v>
      </c>
      <c r="M404">
        <f>VLOOKUP(D404,State_Lookup!$A$2:$B$28,2,FALSE)</f>
        <v/>
      </c>
    </row>
    <row r="405">
      <c r="A405" t="inlineStr">
        <is>
          <t>4b37519166b98d3938e01162a4e29aca</t>
        </is>
      </c>
      <c r="B405" t="inlineStr">
        <is>
          <t>2017-04-29</t>
        </is>
      </c>
      <c r="C405" t="inlineStr">
        <is>
          <t>2017-04</t>
        </is>
      </c>
      <c r="D405" t="inlineStr">
        <is>
          <t>RJ</t>
        </is>
      </c>
      <c r="E405" t="inlineStr">
        <is>
          <t>housewares</t>
        </is>
      </c>
      <c r="F405" t="n">
        <v>1</v>
      </c>
      <c r="G405" t="n">
        <v>85.98999999999999</v>
      </c>
      <c r="H405" t="n">
        <v>14.77</v>
      </c>
      <c r="I405" t="inlineStr">
        <is>
          <t>credit_card</t>
        </is>
      </c>
      <c r="J405" t="n">
        <v>16</v>
      </c>
      <c r="K405" t="inlineStr">
        <is>
          <t>On Time</t>
        </is>
      </c>
      <c r="L405" t="n">
        <v>5</v>
      </c>
      <c r="M405">
        <f>VLOOKUP(D405,State_Lookup!$A$2:$B$28,2,FALSE)</f>
        <v/>
      </c>
    </row>
    <row r="406">
      <c r="A406" t="inlineStr">
        <is>
          <t>ee7b9fca242afe884ce1daf3f17ae656</t>
        </is>
      </c>
      <c r="B406" t="inlineStr">
        <is>
          <t>2017-04-29</t>
        </is>
      </c>
      <c r="C406" t="inlineStr">
        <is>
          <t>2017-04</t>
        </is>
      </c>
      <c r="D406" t="inlineStr">
        <is>
          <t>SP</t>
        </is>
      </c>
      <c r="E406" t="inlineStr">
        <is>
          <t>market_place</t>
        </is>
      </c>
      <c r="F406" t="n">
        <v>1</v>
      </c>
      <c r="G406" t="n">
        <v>289.9</v>
      </c>
      <c r="H406" t="n">
        <v>22.35</v>
      </c>
      <c r="I406" t="inlineStr">
        <is>
          <t>credit_card</t>
        </is>
      </c>
      <c r="J406" t="n">
        <v>11</v>
      </c>
      <c r="K406" t="inlineStr">
        <is>
          <t>On Time</t>
        </is>
      </c>
      <c r="L406" t="n">
        <v>3</v>
      </c>
      <c r="M406">
        <f>VLOOKUP(D406,State_Lookup!$A$2:$B$28,2,FALSE)</f>
        <v/>
      </c>
    </row>
    <row r="407">
      <c r="A407" t="inlineStr">
        <is>
          <t>72b13b37a3e90ebef702948d847e881f</t>
        </is>
      </c>
      <c r="B407" t="inlineStr">
        <is>
          <t>2017-04-29</t>
        </is>
      </c>
      <c r="C407" t="inlineStr">
        <is>
          <t>2017-04</t>
        </is>
      </c>
      <c r="D407" t="inlineStr">
        <is>
          <t>SP</t>
        </is>
      </c>
      <c r="E407" t="inlineStr">
        <is>
          <t>luggage_accessories</t>
        </is>
      </c>
      <c r="F407" t="n">
        <v>1</v>
      </c>
      <c r="G407" t="n">
        <v>109.9</v>
      </c>
      <c r="H407" t="n">
        <v>24.05</v>
      </c>
      <c r="I407" t="inlineStr">
        <is>
          <t>credit_card</t>
        </is>
      </c>
      <c r="J407" t="n">
        <v>8</v>
      </c>
      <c r="K407" t="inlineStr">
        <is>
          <t>On Time</t>
        </is>
      </c>
      <c r="L407" t="n">
        <v>5</v>
      </c>
      <c r="M407">
        <f>VLOOKUP(D407,State_Lookup!$A$2:$B$28,2,FALSE)</f>
        <v/>
      </c>
    </row>
    <row r="408">
      <c r="A408" t="inlineStr">
        <is>
          <t>7c9b7626c3fcc8aa638ece47810323b2</t>
        </is>
      </c>
      <c r="B408" t="inlineStr">
        <is>
          <t>2017-04-29</t>
        </is>
      </c>
      <c r="C408" t="inlineStr">
        <is>
          <t>2017-04</t>
        </is>
      </c>
      <c r="D408" t="inlineStr">
        <is>
          <t>RS</t>
        </is>
      </c>
      <c r="E408" t="inlineStr">
        <is>
          <t>auto</t>
        </is>
      </c>
      <c r="F408" t="n">
        <v>1</v>
      </c>
      <c r="G408" t="n">
        <v>24.79</v>
      </c>
      <c r="H408" t="n">
        <v>16.05</v>
      </c>
      <c r="I408" t="inlineStr">
        <is>
          <t>boleto</t>
        </is>
      </c>
      <c r="J408" t="n">
        <v>10</v>
      </c>
      <c r="K408" t="inlineStr">
        <is>
          <t>On Time</t>
        </is>
      </c>
      <c r="L408" t="n">
        <v>1</v>
      </c>
      <c r="M408">
        <f>VLOOKUP(D408,State_Lookup!$A$2:$B$28,2,FALSE)</f>
        <v/>
      </c>
    </row>
    <row r="409">
      <c r="A409" t="inlineStr">
        <is>
          <t>f9c8ce300676bd838f4a85b8e97d2342</t>
        </is>
      </c>
      <c r="B409" t="inlineStr">
        <is>
          <t>2017-04-30</t>
        </is>
      </c>
      <c r="C409" t="inlineStr">
        <is>
          <t>2017-04</t>
        </is>
      </c>
      <c r="D409" t="inlineStr">
        <is>
          <t>SC</t>
        </is>
      </c>
      <c r="E409" t="inlineStr">
        <is>
          <t>luggage_accessories</t>
        </is>
      </c>
      <c r="F409" t="n">
        <v>1</v>
      </c>
      <c r="G409" t="n">
        <v>59.9</v>
      </c>
      <c r="H409" t="n">
        <v>11.03</v>
      </c>
      <c r="I409" t="inlineStr">
        <is>
          <t>credit_card</t>
        </is>
      </c>
      <c r="J409" t="inlineStr"/>
      <c r="K409" t="inlineStr">
        <is>
          <t>Not Delivered</t>
        </is>
      </c>
      <c r="L409" t="n">
        <v>5</v>
      </c>
      <c r="M409">
        <f>VLOOKUP(D409,State_Lookup!$A$2:$B$28,2,FALSE)</f>
        <v/>
      </c>
    </row>
    <row r="410">
      <c r="A410" t="inlineStr">
        <is>
          <t>2e5c056e25f127f8554fa6a2ee1336a9</t>
        </is>
      </c>
      <c r="B410" t="inlineStr">
        <is>
          <t>2017-04-30</t>
        </is>
      </c>
      <c r="C410" t="inlineStr">
        <is>
          <t>2017-04</t>
        </is>
      </c>
      <c r="D410" t="inlineStr">
        <is>
          <t>AL</t>
        </is>
      </c>
      <c r="E410" t="inlineStr">
        <is>
          <t>sports_leisure</t>
        </is>
      </c>
      <c r="F410" t="n">
        <v>1</v>
      </c>
      <c r="G410" t="n">
        <v>49.9</v>
      </c>
      <c r="H410" t="n">
        <v>26.61</v>
      </c>
      <c r="I410" t="inlineStr">
        <is>
          <t>boleto</t>
        </is>
      </c>
      <c r="J410" t="inlineStr"/>
      <c r="K410" t="inlineStr">
        <is>
          <t>Not Delivered</t>
        </is>
      </c>
      <c r="L410" t="n">
        <v>1</v>
      </c>
      <c r="M410">
        <f>VLOOKUP(D410,State_Lookup!$A$2:$B$28,2,FALSE)</f>
        <v/>
      </c>
    </row>
    <row r="411">
      <c r="A411" t="inlineStr">
        <is>
          <t>7535955a5fee70328e9fe079653e03f1</t>
        </is>
      </c>
      <c r="B411" t="inlineStr">
        <is>
          <t>2017-04-30</t>
        </is>
      </c>
      <c r="C411" t="inlineStr">
        <is>
          <t>2017-04</t>
        </is>
      </c>
      <c r="D411" t="inlineStr">
        <is>
          <t>SP</t>
        </is>
      </c>
      <c r="E411" t="inlineStr">
        <is>
          <t>telephony</t>
        </is>
      </c>
      <c r="F411" t="n">
        <v>1</v>
      </c>
      <c r="G411" t="n">
        <v>199.9</v>
      </c>
      <c r="H411" t="n">
        <v>9.77</v>
      </c>
      <c r="I411" t="inlineStr">
        <is>
          <t>credit_card</t>
        </is>
      </c>
      <c r="J411" t="n">
        <v>8</v>
      </c>
      <c r="K411" t="inlineStr">
        <is>
          <t>On Time</t>
        </is>
      </c>
      <c r="L411" t="n">
        <v>5</v>
      </c>
      <c r="M411">
        <f>VLOOKUP(D411,State_Lookup!$A$2:$B$28,2,FALSE)</f>
        <v/>
      </c>
    </row>
    <row r="412">
      <c r="A412" t="inlineStr">
        <is>
          <t>bdd26d22582f5a2f6321493e0d8677ea</t>
        </is>
      </c>
      <c r="B412" t="inlineStr">
        <is>
          <t>2017-04-30</t>
        </is>
      </c>
      <c r="C412" t="inlineStr">
        <is>
          <t>2017-04</t>
        </is>
      </c>
      <c r="D412" t="inlineStr">
        <is>
          <t>SP</t>
        </is>
      </c>
      <c r="E412" t="inlineStr">
        <is>
          <t>luggage_accessories</t>
        </is>
      </c>
      <c r="F412" t="n">
        <v>1</v>
      </c>
      <c r="G412" t="n">
        <v>139.9</v>
      </c>
      <c r="H412" t="n">
        <v>26.21</v>
      </c>
      <c r="I412" t="inlineStr">
        <is>
          <t>credit_card</t>
        </is>
      </c>
      <c r="J412" t="n">
        <v>16</v>
      </c>
      <c r="K412" t="inlineStr">
        <is>
          <t>On Time</t>
        </is>
      </c>
      <c r="L412" t="n">
        <v>4</v>
      </c>
      <c r="M412">
        <f>VLOOKUP(D412,State_Lookup!$A$2:$B$28,2,FALSE)</f>
        <v/>
      </c>
    </row>
    <row r="413">
      <c r="A413" t="inlineStr">
        <is>
          <t>22ee91c7febb94838b3468761b7dd72c</t>
        </is>
      </c>
      <c r="B413" t="inlineStr">
        <is>
          <t>2017-05-01</t>
        </is>
      </c>
      <c r="C413" t="inlineStr">
        <is>
          <t>2017-05</t>
        </is>
      </c>
      <c r="D413" t="inlineStr">
        <is>
          <t>SP</t>
        </is>
      </c>
      <c r="E413" t="inlineStr">
        <is>
          <t>telephony</t>
        </is>
      </c>
      <c r="F413" t="n">
        <v>1</v>
      </c>
      <c r="G413" t="n">
        <v>12.5</v>
      </c>
      <c r="H413" t="n">
        <v>10.96</v>
      </c>
      <c r="I413" t="inlineStr">
        <is>
          <t>credit_card</t>
        </is>
      </c>
      <c r="J413" t="n">
        <v>9</v>
      </c>
      <c r="K413" t="inlineStr">
        <is>
          <t>On Time</t>
        </is>
      </c>
      <c r="L413" t="n">
        <v>5</v>
      </c>
      <c r="M413">
        <f>VLOOKUP(D413,State_Lookup!$A$2:$B$28,2,FALSE)</f>
        <v/>
      </c>
    </row>
    <row r="414">
      <c r="A414" t="inlineStr">
        <is>
          <t>edc75396403e226e7ac4e42085860602</t>
        </is>
      </c>
      <c r="B414" t="inlineStr">
        <is>
          <t>2017-05-01</t>
        </is>
      </c>
      <c r="C414" t="inlineStr">
        <is>
          <t>2017-05</t>
        </is>
      </c>
      <c r="D414" t="inlineStr">
        <is>
          <t>CE</t>
        </is>
      </c>
      <c r="E414" t="inlineStr">
        <is>
          <t>baby</t>
        </is>
      </c>
      <c r="F414" t="n">
        <v>1</v>
      </c>
      <c r="G414" t="n">
        <v>164.33</v>
      </c>
      <c r="H414" t="n">
        <v>21.6</v>
      </c>
      <c r="I414" t="inlineStr">
        <is>
          <t>credit_card</t>
        </is>
      </c>
      <c r="J414" t="n">
        <v>31</v>
      </c>
      <c r="K414" t="inlineStr">
        <is>
          <t>On Time</t>
        </is>
      </c>
      <c r="L414" t="n">
        <v>5</v>
      </c>
      <c r="M414">
        <f>VLOOKUP(D414,State_Lookup!$A$2:$B$28,2,FALSE)</f>
        <v/>
      </c>
    </row>
    <row r="415">
      <c r="A415" t="inlineStr">
        <is>
          <t>369b845bc7aec357372149df304bd341</t>
        </is>
      </c>
      <c r="B415" t="inlineStr">
        <is>
          <t>2017-05-01</t>
        </is>
      </c>
      <c r="C415" t="inlineStr">
        <is>
          <t>2017-05</t>
        </is>
      </c>
      <c r="D415" t="inlineStr">
        <is>
          <t>PR</t>
        </is>
      </c>
      <c r="E415" t="inlineStr">
        <is>
          <t>health_beauty</t>
        </is>
      </c>
      <c r="F415" t="n">
        <v>1</v>
      </c>
      <c r="G415" t="n">
        <v>19.99</v>
      </c>
      <c r="H415" t="n">
        <v>14.52</v>
      </c>
      <c r="I415" t="inlineStr">
        <is>
          <t>credit_card</t>
        </is>
      </c>
      <c r="J415" t="n">
        <v>5</v>
      </c>
      <c r="K415" t="inlineStr">
        <is>
          <t>On Time</t>
        </is>
      </c>
      <c r="L415" t="n">
        <v>2</v>
      </c>
      <c r="M415">
        <f>VLOOKUP(D415,State_Lookup!$A$2:$B$28,2,FALSE)</f>
        <v/>
      </c>
    </row>
    <row r="416">
      <c r="A416" t="inlineStr">
        <is>
          <t>3902c863a4cc7b325b57a420f8012a0e</t>
        </is>
      </c>
      <c r="B416" t="inlineStr">
        <is>
          <t>2017-05-01</t>
        </is>
      </c>
      <c r="C416" t="inlineStr">
        <is>
          <t>2017-05</t>
        </is>
      </c>
      <c r="D416" t="inlineStr">
        <is>
          <t>DF</t>
        </is>
      </c>
      <c r="E416" t="inlineStr">
        <is>
          <t>toys</t>
        </is>
      </c>
      <c r="F416" t="n">
        <v>2</v>
      </c>
      <c r="G416" t="n">
        <v>104.8</v>
      </c>
      <c r="H416" t="n">
        <v>31.4</v>
      </c>
      <c r="I416" t="inlineStr">
        <is>
          <t>credit_card</t>
        </is>
      </c>
      <c r="J416" t="n">
        <v>8</v>
      </c>
      <c r="K416" t="inlineStr">
        <is>
          <t>On Time</t>
        </is>
      </c>
      <c r="L416" t="n">
        <v>5</v>
      </c>
      <c r="M416">
        <f>VLOOKUP(D416,State_Lookup!$A$2:$B$28,2,FALSE)</f>
        <v/>
      </c>
    </row>
    <row r="417">
      <c r="A417" t="inlineStr">
        <is>
          <t>fd9486ae13f513ac59c3f6c23bb003c7</t>
        </is>
      </c>
      <c r="B417" t="inlineStr">
        <is>
          <t>2017-05-01</t>
        </is>
      </c>
      <c r="C417" t="inlineStr">
        <is>
          <t>2017-05</t>
        </is>
      </c>
      <c r="D417" t="inlineStr">
        <is>
          <t>SP</t>
        </is>
      </c>
      <c r="E417" t="inlineStr">
        <is>
          <t>health_beauty</t>
        </is>
      </c>
      <c r="F417" t="n">
        <v>1</v>
      </c>
      <c r="G417" t="n">
        <v>99.90000000000001</v>
      </c>
      <c r="H417" t="n">
        <v>12.09</v>
      </c>
      <c r="I417" t="inlineStr">
        <is>
          <t>boleto</t>
        </is>
      </c>
      <c r="J417" t="n">
        <v>9</v>
      </c>
      <c r="K417" t="inlineStr">
        <is>
          <t>On Time</t>
        </is>
      </c>
      <c r="L417" t="n">
        <v>5</v>
      </c>
      <c r="M417">
        <f>VLOOKUP(D417,State_Lookup!$A$2:$B$28,2,FALSE)</f>
        <v/>
      </c>
    </row>
    <row r="418">
      <c r="A418" t="inlineStr">
        <is>
          <t>24940d1052df86d8e24f16e5adf2868e</t>
        </is>
      </c>
      <c r="B418" t="inlineStr">
        <is>
          <t>2017-05-01</t>
        </is>
      </c>
      <c r="C418" t="inlineStr">
        <is>
          <t>2017-05</t>
        </is>
      </c>
      <c r="D418" t="inlineStr">
        <is>
          <t>SP</t>
        </is>
      </c>
      <c r="E418" t="inlineStr">
        <is>
          <t>stationery</t>
        </is>
      </c>
      <c r="F418" t="n">
        <v>1</v>
      </c>
      <c r="G418" t="n">
        <v>174.9</v>
      </c>
      <c r="H418" t="n">
        <v>12.61</v>
      </c>
      <c r="I418" t="inlineStr">
        <is>
          <t>credit_card</t>
        </is>
      </c>
      <c r="J418" t="n">
        <v>15</v>
      </c>
      <c r="K418" t="inlineStr">
        <is>
          <t>On Time</t>
        </is>
      </c>
      <c r="L418" t="n">
        <v>5</v>
      </c>
      <c r="M418">
        <f>VLOOKUP(D418,State_Lookup!$A$2:$B$28,2,FALSE)</f>
        <v/>
      </c>
    </row>
    <row r="419">
      <c r="A419" t="inlineStr">
        <is>
          <t>aafd191085488777c9d6b1aa8335ddd7</t>
        </is>
      </c>
      <c r="B419" t="inlineStr">
        <is>
          <t>2017-05-02</t>
        </is>
      </c>
      <c r="C419" t="inlineStr">
        <is>
          <t>2017-05</t>
        </is>
      </c>
      <c r="D419" t="inlineStr">
        <is>
          <t>ES</t>
        </is>
      </c>
      <c r="E419" t="inlineStr">
        <is>
          <t>sports_leisure</t>
        </is>
      </c>
      <c r="F419" t="n">
        <v>1</v>
      </c>
      <c r="G419" t="n">
        <v>99.7</v>
      </c>
      <c r="H419" t="n">
        <v>14.87</v>
      </c>
      <c r="I419" t="inlineStr">
        <is>
          <t>boleto</t>
        </is>
      </c>
      <c r="J419" t="n">
        <v>12</v>
      </c>
      <c r="K419" t="inlineStr">
        <is>
          <t>On Time</t>
        </is>
      </c>
      <c r="L419" t="n">
        <v>1</v>
      </c>
      <c r="M419">
        <f>VLOOKUP(D419,State_Lookup!$A$2:$B$28,2,FALSE)</f>
        <v/>
      </c>
    </row>
    <row r="420">
      <c r="A420" t="inlineStr">
        <is>
          <t>e37a0ddb7818d37e517904371d679c74</t>
        </is>
      </c>
      <c r="B420" t="inlineStr">
        <is>
          <t>2017-05-02</t>
        </is>
      </c>
      <c r="C420" t="inlineStr">
        <is>
          <t>2017-05</t>
        </is>
      </c>
      <c r="D420" t="inlineStr">
        <is>
          <t>SP</t>
        </is>
      </c>
      <c r="E420" t="inlineStr">
        <is>
          <t>telephony</t>
        </is>
      </c>
      <c r="F420" t="n">
        <v>1</v>
      </c>
      <c r="G420" t="n">
        <v>13.98</v>
      </c>
      <c r="H420" t="n">
        <v>10.96</v>
      </c>
      <c r="I420" t="inlineStr">
        <is>
          <t>boleto</t>
        </is>
      </c>
      <c r="J420" t="n">
        <v>16</v>
      </c>
      <c r="K420" t="inlineStr">
        <is>
          <t>On Time</t>
        </is>
      </c>
      <c r="L420" t="n">
        <v>4</v>
      </c>
      <c r="M420">
        <f>VLOOKUP(D420,State_Lookup!$A$2:$B$28,2,FALSE)</f>
        <v/>
      </c>
    </row>
    <row r="421">
      <c r="A421" t="inlineStr">
        <is>
          <t>be82da060fda4b85c7fe6ea6512f67e8</t>
        </is>
      </c>
      <c r="B421" t="inlineStr">
        <is>
          <t>2017-05-02</t>
        </is>
      </c>
      <c r="C421" t="inlineStr">
        <is>
          <t>2017-05</t>
        </is>
      </c>
      <c r="D421" t="inlineStr">
        <is>
          <t>SP</t>
        </is>
      </c>
      <c r="E421" t="inlineStr">
        <is>
          <t>sports_leisure</t>
        </is>
      </c>
      <c r="F421" t="n">
        <v>2</v>
      </c>
      <c r="G421" t="n">
        <v>90</v>
      </c>
      <c r="H421" t="n">
        <v>73.5</v>
      </c>
      <c r="I421" t="inlineStr">
        <is>
          <t>credit_card</t>
        </is>
      </c>
      <c r="J421" t="n">
        <v>12</v>
      </c>
      <c r="K421" t="inlineStr">
        <is>
          <t>On Time</t>
        </is>
      </c>
      <c r="L421" t="n">
        <v>5</v>
      </c>
      <c r="M421">
        <f>VLOOKUP(D421,State_Lookup!$A$2:$B$28,2,FALSE)</f>
        <v/>
      </c>
    </row>
    <row r="422">
      <c r="A422" t="inlineStr">
        <is>
          <t>e0dfe8c4850a7ad0b8e41d3a4290ce49</t>
        </is>
      </c>
      <c r="B422" t="inlineStr">
        <is>
          <t>2017-05-02</t>
        </is>
      </c>
      <c r="C422" t="inlineStr">
        <is>
          <t>2017-05</t>
        </is>
      </c>
      <c r="D422" t="inlineStr">
        <is>
          <t>RS</t>
        </is>
      </c>
      <c r="E422" t="inlineStr">
        <is>
          <t>telephony</t>
        </is>
      </c>
      <c r="F422" t="n">
        <v>1</v>
      </c>
      <c r="G422" t="n">
        <v>49.99</v>
      </c>
      <c r="H422" t="n">
        <v>16.05</v>
      </c>
      <c r="I422" t="inlineStr">
        <is>
          <t>credit_card</t>
        </is>
      </c>
      <c r="J422" t="n">
        <v>8</v>
      </c>
      <c r="K422" t="inlineStr">
        <is>
          <t>On Time</t>
        </is>
      </c>
      <c r="L422" t="n">
        <v>5</v>
      </c>
      <c r="M422">
        <f>VLOOKUP(D422,State_Lookup!$A$2:$B$28,2,FALSE)</f>
        <v/>
      </c>
    </row>
    <row r="423">
      <c r="A423" t="inlineStr">
        <is>
          <t>3cedecb4c098aed91d062c54ece4bca4</t>
        </is>
      </c>
      <c r="B423" t="inlineStr">
        <is>
          <t>2017-05-02</t>
        </is>
      </c>
      <c r="C423" t="inlineStr">
        <is>
          <t>2017-05</t>
        </is>
      </c>
      <c r="D423" t="inlineStr">
        <is>
          <t>SP</t>
        </is>
      </c>
      <c r="E423" t="inlineStr">
        <is>
          <t>housewares</t>
        </is>
      </c>
      <c r="F423" t="n">
        <v>2</v>
      </c>
      <c r="G423" t="n">
        <v>109.89</v>
      </c>
      <c r="H423" t="n">
        <v>25.29</v>
      </c>
      <c r="I423" t="inlineStr">
        <is>
          <t>credit_card</t>
        </is>
      </c>
      <c r="J423" t="n">
        <v>18</v>
      </c>
      <c r="K423" t="inlineStr">
        <is>
          <t>On Time</t>
        </is>
      </c>
      <c r="L423" t="n">
        <v>5</v>
      </c>
      <c r="M423">
        <f>VLOOKUP(D423,State_Lookup!$A$2:$B$28,2,FALSE)</f>
        <v/>
      </c>
    </row>
    <row r="424">
      <c r="A424" t="inlineStr">
        <is>
          <t>ffdab5e1596138d37793566aa1424d0c</t>
        </is>
      </c>
      <c r="B424" t="inlineStr">
        <is>
          <t>2017-05-02</t>
        </is>
      </c>
      <c r="C424" t="inlineStr">
        <is>
          <t>2017-05</t>
        </is>
      </c>
      <c r="D424" t="inlineStr">
        <is>
          <t>RS</t>
        </is>
      </c>
      <c r="E424" t="inlineStr">
        <is>
          <t>musical_instruments</t>
        </is>
      </c>
      <c r="F424" t="n">
        <v>1</v>
      </c>
      <c r="G424" t="n">
        <v>399.85</v>
      </c>
      <c r="H424" t="n">
        <v>18.5</v>
      </c>
      <c r="I424" t="inlineStr">
        <is>
          <t>boleto</t>
        </is>
      </c>
      <c r="J424" t="n">
        <v>9</v>
      </c>
      <c r="K424" t="inlineStr">
        <is>
          <t>On Time</t>
        </is>
      </c>
      <c r="L424" t="n">
        <v>5</v>
      </c>
      <c r="M424">
        <f>VLOOKUP(D424,State_Lookup!$A$2:$B$28,2,FALSE)</f>
        <v/>
      </c>
    </row>
    <row r="425">
      <c r="A425" t="inlineStr">
        <is>
          <t>f25ef046203c850005cd4200f7f8c190</t>
        </is>
      </c>
      <c r="B425" t="inlineStr">
        <is>
          <t>2017-05-02</t>
        </is>
      </c>
      <c r="C425" t="inlineStr">
        <is>
          <t>2017-05</t>
        </is>
      </c>
      <c r="D425" t="inlineStr">
        <is>
          <t>SP</t>
        </is>
      </c>
      <c r="E425" t="inlineStr">
        <is>
          <t>housewares</t>
        </is>
      </c>
      <c r="F425" t="n">
        <v>1</v>
      </c>
      <c r="G425" t="n">
        <v>16.99</v>
      </c>
      <c r="H425" t="n">
        <v>14.52</v>
      </c>
      <c r="I425" t="inlineStr">
        <is>
          <t>credit_card</t>
        </is>
      </c>
      <c r="J425" t="n">
        <v>8</v>
      </c>
      <c r="K425" t="inlineStr">
        <is>
          <t>On Time</t>
        </is>
      </c>
      <c r="L425" t="n">
        <v>5</v>
      </c>
      <c r="M425">
        <f>VLOOKUP(D425,State_Lookup!$A$2:$B$28,2,FALSE)</f>
        <v/>
      </c>
    </row>
    <row r="426">
      <c r="A426" t="inlineStr">
        <is>
          <t>833fbc971cf15276b9fa3a392f73b4e6</t>
        </is>
      </c>
      <c r="B426" t="inlineStr">
        <is>
          <t>2017-05-02</t>
        </is>
      </c>
      <c r="C426" t="inlineStr">
        <is>
          <t>2017-05</t>
        </is>
      </c>
      <c r="D426" t="inlineStr">
        <is>
          <t>RS</t>
        </is>
      </c>
      <c r="E426" t="inlineStr">
        <is>
          <t>sports_leisure</t>
        </is>
      </c>
      <c r="F426" t="n">
        <v>1</v>
      </c>
      <c r="G426" t="n">
        <v>119.99</v>
      </c>
      <c r="H426" t="n">
        <v>25.04</v>
      </c>
      <c r="I426" t="inlineStr">
        <is>
          <t>credit_card</t>
        </is>
      </c>
      <c r="J426" t="n">
        <v>28</v>
      </c>
      <c r="K426" t="inlineStr">
        <is>
          <t>On Time</t>
        </is>
      </c>
      <c r="L426" t="n">
        <v>5</v>
      </c>
      <c r="M426">
        <f>VLOOKUP(D426,State_Lookup!$A$2:$B$28,2,FALSE)</f>
        <v/>
      </c>
    </row>
    <row r="427">
      <c r="A427" t="inlineStr">
        <is>
          <t>0dbdc97d32b0efccbdcbdf750aee17b9</t>
        </is>
      </c>
      <c r="B427" t="inlineStr">
        <is>
          <t>2017-05-03</t>
        </is>
      </c>
      <c r="C427" t="inlineStr">
        <is>
          <t>2017-05</t>
        </is>
      </c>
      <c r="D427" t="inlineStr">
        <is>
          <t>DF</t>
        </is>
      </c>
      <c r="E427" t="inlineStr">
        <is>
          <t>health_beauty</t>
        </is>
      </c>
      <c r="F427" t="n">
        <v>1</v>
      </c>
      <c r="G427" t="n">
        <v>64.98999999999999</v>
      </c>
      <c r="H427" t="n">
        <v>16.15</v>
      </c>
      <c r="I427" t="inlineStr">
        <is>
          <t>boleto</t>
        </is>
      </c>
      <c r="J427" t="n">
        <v>9</v>
      </c>
      <c r="K427" t="inlineStr">
        <is>
          <t>On Time</t>
        </is>
      </c>
      <c r="L427" t="n">
        <v>5</v>
      </c>
      <c r="M427">
        <f>VLOOKUP(D427,State_Lookup!$A$2:$B$28,2,FALSE)</f>
        <v/>
      </c>
    </row>
    <row r="428">
      <c r="A428" t="inlineStr">
        <is>
          <t>41223ff2c9f99053ad5379603589764b</t>
        </is>
      </c>
      <c r="B428" t="inlineStr">
        <is>
          <t>2017-05-03</t>
        </is>
      </c>
      <c r="C428" t="inlineStr">
        <is>
          <t>2017-05</t>
        </is>
      </c>
      <c r="D428" t="inlineStr">
        <is>
          <t>MG</t>
        </is>
      </c>
      <c r="E428" t="inlineStr">
        <is>
          <t>cool_stuff</t>
        </is>
      </c>
      <c r="F428" t="n">
        <v>1</v>
      </c>
      <c r="G428" t="n">
        <v>138.9</v>
      </c>
      <c r="H428" t="n">
        <v>17.71</v>
      </c>
      <c r="I428" t="inlineStr">
        <is>
          <t>credit_card</t>
        </is>
      </c>
      <c r="J428" t="n">
        <v>9</v>
      </c>
      <c r="K428" t="inlineStr">
        <is>
          <t>On Time</t>
        </is>
      </c>
      <c r="L428" t="n">
        <v>5</v>
      </c>
      <c r="M428">
        <f>VLOOKUP(D428,State_Lookup!$A$2:$B$28,2,FALSE)</f>
        <v/>
      </c>
    </row>
    <row r="429">
      <c r="A429" t="inlineStr">
        <is>
          <t>0394e320572c0048e41267320a28270e</t>
        </is>
      </c>
      <c r="B429" t="inlineStr">
        <is>
          <t>2017-05-03</t>
        </is>
      </c>
      <c r="C429" t="inlineStr">
        <is>
          <t>2017-05</t>
        </is>
      </c>
      <c r="D429" t="inlineStr">
        <is>
          <t>AP</t>
        </is>
      </c>
      <c r="E429" t="inlineStr">
        <is>
          <t>health_beauty</t>
        </is>
      </c>
      <c r="F429" t="n">
        <v>1</v>
      </c>
      <c r="G429" t="n">
        <v>116</v>
      </c>
      <c r="H429" t="n">
        <v>25.3</v>
      </c>
      <c r="I429" t="inlineStr">
        <is>
          <t>boleto</t>
        </is>
      </c>
      <c r="J429" t="n">
        <v>21</v>
      </c>
      <c r="K429" t="inlineStr">
        <is>
          <t>On Time</t>
        </is>
      </c>
      <c r="L429" t="n">
        <v>3</v>
      </c>
      <c r="M429">
        <f>VLOOKUP(D429,State_Lookup!$A$2:$B$28,2,FALSE)</f>
        <v/>
      </c>
    </row>
    <row r="430">
      <c r="A430" t="inlineStr">
        <is>
          <t>232ed087a5c59841a1a56af1fe8d797d</t>
        </is>
      </c>
      <c r="B430" t="inlineStr">
        <is>
          <t>2017-05-03</t>
        </is>
      </c>
      <c r="C430" t="inlineStr">
        <is>
          <t>2017-05</t>
        </is>
      </c>
      <c r="D430" t="inlineStr">
        <is>
          <t>PI</t>
        </is>
      </c>
      <c r="E430" t="inlineStr">
        <is>
          <t>auto</t>
        </is>
      </c>
      <c r="F430" t="n">
        <v>1</v>
      </c>
      <c r="G430" t="n">
        <v>74.90000000000001</v>
      </c>
      <c r="H430" t="n">
        <v>35.14</v>
      </c>
      <c r="I430" t="inlineStr">
        <is>
          <t>voucher</t>
        </is>
      </c>
      <c r="J430" t="n">
        <v>19</v>
      </c>
      <c r="K430" t="inlineStr">
        <is>
          <t>On Time</t>
        </is>
      </c>
      <c r="L430" t="n">
        <v>4</v>
      </c>
      <c r="M430">
        <f>VLOOKUP(D430,State_Lookup!$A$2:$B$28,2,FALSE)</f>
        <v/>
      </c>
    </row>
    <row r="431">
      <c r="A431" t="inlineStr">
        <is>
          <t>4e345c55d847fa86f3500c1abfcbdb8b</t>
        </is>
      </c>
      <c r="B431" t="inlineStr">
        <is>
          <t>2017-05-04</t>
        </is>
      </c>
      <c r="C431" t="inlineStr">
        <is>
          <t>2017-05</t>
        </is>
      </c>
      <c r="D431" t="inlineStr">
        <is>
          <t>SC</t>
        </is>
      </c>
      <c r="E431" t="inlineStr">
        <is>
          <t>cool_stuff</t>
        </is>
      </c>
      <c r="F431" t="n">
        <v>1</v>
      </c>
      <c r="G431" t="n">
        <v>219.99</v>
      </c>
      <c r="H431" t="n">
        <v>19.82</v>
      </c>
      <c r="I431" t="inlineStr">
        <is>
          <t>boleto</t>
        </is>
      </c>
      <c r="J431" t="n">
        <v>16</v>
      </c>
      <c r="K431" t="inlineStr">
        <is>
          <t>On Time</t>
        </is>
      </c>
      <c r="L431" t="n">
        <v>3</v>
      </c>
      <c r="M431">
        <f>VLOOKUP(D431,State_Lookup!$A$2:$B$28,2,FALSE)</f>
        <v/>
      </c>
    </row>
    <row r="432">
      <c r="A432" t="inlineStr">
        <is>
          <t>aef9c99ee1272a501f52167fe0c5631a</t>
        </is>
      </c>
      <c r="B432" t="inlineStr">
        <is>
          <t>2017-05-04</t>
        </is>
      </c>
      <c r="C432" t="inlineStr">
        <is>
          <t>2017-05</t>
        </is>
      </c>
      <c r="D432" t="inlineStr">
        <is>
          <t>TO</t>
        </is>
      </c>
      <c r="E432" t="inlineStr">
        <is>
          <t>health_beauty</t>
        </is>
      </c>
      <c r="F432" t="n">
        <v>1</v>
      </c>
      <c r="G432" t="n">
        <v>199</v>
      </c>
      <c r="H432" t="n">
        <v>22.02</v>
      </c>
      <c r="I432" t="inlineStr">
        <is>
          <t>credit_card</t>
        </is>
      </c>
      <c r="J432" t="n">
        <v>12</v>
      </c>
      <c r="K432" t="inlineStr">
        <is>
          <t>On Time</t>
        </is>
      </c>
      <c r="L432" t="n">
        <v>5</v>
      </c>
      <c r="M432">
        <f>VLOOKUP(D432,State_Lookup!$A$2:$B$28,2,FALSE)</f>
        <v/>
      </c>
    </row>
    <row r="433">
      <c r="A433" t="inlineStr">
        <is>
          <t>8fc027e2e96d738a4816f043f2c946ba</t>
        </is>
      </c>
      <c r="B433" t="inlineStr">
        <is>
          <t>2017-05-04</t>
        </is>
      </c>
      <c r="C433" t="inlineStr">
        <is>
          <t>2017-05</t>
        </is>
      </c>
      <c r="D433" t="inlineStr">
        <is>
          <t>BA</t>
        </is>
      </c>
      <c r="E433" t="inlineStr">
        <is>
          <t>home_confort</t>
        </is>
      </c>
      <c r="F433" t="n">
        <v>1</v>
      </c>
      <c r="G433" t="n">
        <v>89.90000000000001</v>
      </c>
      <c r="H433" t="n">
        <v>21.08</v>
      </c>
      <c r="I433" t="inlineStr">
        <is>
          <t>credit_card</t>
        </is>
      </c>
      <c r="J433" t="n">
        <v>23</v>
      </c>
      <c r="K433" t="inlineStr">
        <is>
          <t>On Time</t>
        </is>
      </c>
      <c r="L433" t="n">
        <v>3</v>
      </c>
      <c r="M433">
        <f>VLOOKUP(D433,State_Lookup!$A$2:$B$28,2,FALSE)</f>
        <v/>
      </c>
    </row>
    <row r="434">
      <c r="A434" t="inlineStr">
        <is>
          <t>6d953888a914b67350d5bc4d48f2acab</t>
        </is>
      </c>
      <c r="B434" t="inlineStr">
        <is>
          <t>2017-05-05</t>
        </is>
      </c>
      <c r="C434" t="inlineStr">
        <is>
          <t>2017-05</t>
        </is>
      </c>
      <c r="D434" t="inlineStr">
        <is>
          <t>MG</t>
        </is>
      </c>
      <c r="E434" t="inlineStr">
        <is>
          <t>sports_leisure</t>
        </is>
      </c>
      <c r="F434" t="n">
        <v>1</v>
      </c>
      <c r="G434" t="n">
        <v>101.7</v>
      </c>
      <c r="H434" t="n">
        <v>15.92</v>
      </c>
      <c r="I434" t="inlineStr">
        <is>
          <t>credit_card</t>
        </is>
      </c>
      <c r="J434" t="n">
        <v>28</v>
      </c>
      <c r="K434" t="inlineStr">
        <is>
          <t>Late</t>
        </is>
      </c>
      <c r="L434" t="n">
        <v>1</v>
      </c>
      <c r="M434">
        <f>VLOOKUP(D434,State_Lookup!$A$2:$B$28,2,FALSE)</f>
        <v/>
      </c>
    </row>
    <row r="435">
      <c r="A435" t="inlineStr">
        <is>
          <t>300acffc653419f09eea9de45afa0460</t>
        </is>
      </c>
      <c r="B435" t="inlineStr">
        <is>
          <t>2017-05-05</t>
        </is>
      </c>
      <c r="C435" t="inlineStr">
        <is>
          <t>2017-05</t>
        </is>
      </c>
      <c r="D435" t="inlineStr">
        <is>
          <t>SE</t>
        </is>
      </c>
      <c r="E435" t="inlineStr">
        <is>
          <t>stationery</t>
        </is>
      </c>
      <c r="F435" t="n">
        <v>1</v>
      </c>
      <c r="G435" t="n">
        <v>89</v>
      </c>
      <c r="H435" t="n">
        <v>24.55</v>
      </c>
      <c r="I435" t="inlineStr">
        <is>
          <t>credit_card</t>
        </is>
      </c>
      <c r="J435" t="n">
        <v>25</v>
      </c>
      <c r="K435" t="inlineStr">
        <is>
          <t>On Time</t>
        </is>
      </c>
      <c r="L435" t="n">
        <v>5</v>
      </c>
      <c r="M435">
        <f>VLOOKUP(D435,State_Lookup!$A$2:$B$28,2,FALSE)</f>
        <v/>
      </c>
    </row>
    <row r="436">
      <c r="A436" t="inlineStr">
        <is>
          <t>dcddaf0d2359e8b282ad24f1d84857bc</t>
        </is>
      </c>
      <c r="B436" t="inlineStr">
        <is>
          <t>2017-05-05</t>
        </is>
      </c>
      <c r="C436" t="inlineStr">
        <is>
          <t>2017-05</t>
        </is>
      </c>
      <c r="D436" t="inlineStr">
        <is>
          <t>PE</t>
        </is>
      </c>
      <c r="E436" t="inlineStr">
        <is>
          <t>cool_stuff</t>
        </is>
      </c>
      <c r="F436" t="n">
        <v>1</v>
      </c>
      <c r="G436" t="n">
        <v>59.9</v>
      </c>
      <c r="H436" t="n">
        <v>24.55</v>
      </c>
      <c r="I436" t="inlineStr">
        <is>
          <t>boleto</t>
        </is>
      </c>
      <c r="J436" t="n">
        <v>52</v>
      </c>
      <c r="K436" t="inlineStr">
        <is>
          <t>Late</t>
        </is>
      </c>
      <c r="L436" t="n">
        <v>1</v>
      </c>
      <c r="M436">
        <f>VLOOKUP(D436,State_Lookup!$A$2:$B$28,2,FALSE)</f>
        <v/>
      </c>
    </row>
    <row r="437">
      <c r="A437" t="inlineStr">
        <is>
          <t>9cfff951160cff8164e3eb826dd83dd8</t>
        </is>
      </c>
      <c r="B437" t="inlineStr">
        <is>
          <t>2017-05-05</t>
        </is>
      </c>
      <c r="C437" t="inlineStr">
        <is>
          <t>2017-05</t>
        </is>
      </c>
      <c r="D437" t="inlineStr">
        <is>
          <t>SP</t>
        </is>
      </c>
      <c r="E437" t="inlineStr">
        <is>
          <t>audio</t>
        </is>
      </c>
      <c r="F437" t="n">
        <v>1</v>
      </c>
      <c r="G437" t="n">
        <v>89.90000000000001</v>
      </c>
      <c r="H437" t="n">
        <v>9</v>
      </c>
      <c r="I437" t="inlineStr">
        <is>
          <t>credit_card</t>
        </is>
      </c>
      <c r="J437" t="n">
        <v>7</v>
      </c>
      <c r="K437" t="inlineStr">
        <is>
          <t>On Time</t>
        </is>
      </c>
      <c r="L437" t="n">
        <v>5</v>
      </c>
      <c r="M437">
        <f>VLOOKUP(D437,State_Lookup!$A$2:$B$28,2,FALSE)</f>
        <v/>
      </c>
    </row>
    <row r="438">
      <c r="A438" t="inlineStr">
        <is>
          <t>2f124d00fd77d40d0847e9c97db27ce0</t>
        </is>
      </c>
      <c r="B438" t="inlineStr">
        <is>
          <t>2017-05-05</t>
        </is>
      </c>
      <c r="C438" t="inlineStr">
        <is>
          <t>2017-05</t>
        </is>
      </c>
      <c r="D438" t="inlineStr">
        <is>
          <t>MT</t>
        </is>
      </c>
      <c r="E438" t="inlineStr">
        <is>
          <t>baby</t>
        </is>
      </c>
      <c r="F438" t="n">
        <v>1</v>
      </c>
      <c r="G438" t="n">
        <v>98</v>
      </c>
      <c r="H438" t="n">
        <v>21.14</v>
      </c>
      <c r="I438" t="inlineStr">
        <is>
          <t>voucher</t>
        </is>
      </c>
      <c r="J438" t="n">
        <v>11</v>
      </c>
      <c r="K438" t="inlineStr">
        <is>
          <t>On Time</t>
        </is>
      </c>
      <c r="L438" t="n">
        <v>4</v>
      </c>
      <c r="M438">
        <f>VLOOKUP(D438,State_Lookup!$A$2:$B$28,2,FALSE)</f>
        <v/>
      </c>
    </row>
    <row r="439">
      <c r="A439" t="inlineStr">
        <is>
          <t>32e132ee5e808c1933c32c3c9ec17361</t>
        </is>
      </c>
      <c r="B439" t="inlineStr">
        <is>
          <t>2017-05-05</t>
        </is>
      </c>
      <c r="C439" t="inlineStr">
        <is>
          <t>2017-05</t>
        </is>
      </c>
      <c r="D439" t="inlineStr">
        <is>
          <t>BA</t>
        </is>
      </c>
      <c r="E439" t="inlineStr">
        <is>
          <t>telephony</t>
        </is>
      </c>
      <c r="F439" t="n">
        <v>1</v>
      </c>
      <c r="G439" t="n">
        <v>25.99</v>
      </c>
      <c r="H439" t="n">
        <v>20.4</v>
      </c>
      <c r="I439" t="inlineStr">
        <is>
          <t>credit_card</t>
        </is>
      </c>
      <c r="J439" t="n">
        <v>13</v>
      </c>
      <c r="K439" t="inlineStr">
        <is>
          <t>On Time</t>
        </is>
      </c>
      <c r="L439" t="n">
        <v>5</v>
      </c>
      <c r="M439">
        <f>VLOOKUP(D439,State_Lookup!$A$2:$B$28,2,FALSE)</f>
        <v/>
      </c>
    </row>
    <row r="440">
      <c r="A440" t="inlineStr">
        <is>
          <t>9f3c15fb0dfc4d3f2d9f5e8e9323a9e5</t>
        </is>
      </c>
      <c r="B440" t="inlineStr">
        <is>
          <t>2017-05-05</t>
        </is>
      </c>
      <c r="C440" t="inlineStr">
        <is>
          <t>2017-05</t>
        </is>
      </c>
      <c r="D440" t="inlineStr">
        <is>
          <t>PB</t>
        </is>
      </c>
      <c r="E440" t="inlineStr">
        <is>
          <t>perfumery</t>
        </is>
      </c>
      <c r="F440" t="n">
        <v>1</v>
      </c>
      <c r="G440" t="n">
        <v>79.98999999999999</v>
      </c>
      <c r="H440" t="n">
        <v>25.05</v>
      </c>
      <c r="I440" t="inlineStr">
        <is>
          <t>credit_card</t>
        </is>
      </c>
      <c r="J440" t="n">
        <v>13</v>
      </c>
      <c r="K440" t="inlineStr">
        <is>
          <t>On Time</t>
        </is>
      </c>
      <c r="L440" t="n">
        <v>5</v>
      </c>
      <c r="M440">
        <f>VLOOKUP(D440,State_Lookup!$A$2:$B$28,2,FALSE)</f>
        <v/>
      </c>
    </row>
    <row r="441">
      <c r="A441" t="inlineStr">
        <is>
          <t>17e6035d2c8a3c133174ada65347a2e4</t>
        </is>
      </c>
      <c r="B441" t="inlineStr">
        <is>
          <t>2017-05-06</t>
        </is>
      </c>
      <c r="C441" t="inlineStr">
        <is>
          <t>2017-05</t>
        </is>
      </c>
      <c r="D441" t="inlineStr">
        <is>
          <t>RJ</t>
        </is>
      </c>
      <c r="E441" t="inlineStr">
        <is>
          <t>baby</t>
        </is>
      </c>
      <c r="F441" t="n">
        <v>1</v>
      </c>
      <c r="G441" t="n">
        <v>59.9</v>
      </c>
      <c r="H441" t="n">
        <v>16.99</v>
      </c>
      <c r="I441" t="inlineStr">
        <is>
          <t>credit_card</t>
        </is>
      </c>
      <c r="J441" t="n">
        <v>10</v>
      </c>
      <c r="K441" t="inlineStr">
        <is>
          <t>On Time</t>
        </is>
      </c>
      <c r="L441" t="n">
        <v>5</v>
      </c>
      <c r="M441">
        <f>VLOOKUP(D441,State_Lookup!$A$2:$B$28,2,FALSE)</f>
        <v/>
      </c>
    </row>
    <row r="442">
      <c r="A442" t="inlineStr">
        <is>
          <t>84f5e6c0a0e3155e38c00f434ba90ce8</t>
        </is>
      </c>
      <c r="B442" t="inlineStr">
        <is>
          <t>2017-05-06</t>
        </is>
      </c>
      <c r="C442" t="inlineStr">
        <is>
          <t>2017-05</t>
        </is>
      </c>
      <c r="D442" t="inlineStr">
        <is>
          <t>MS</t>
        </is>
      </c>
      <c r="E442" t="inlineStr">
        <is>
          <t>home_appliances</t>
        </is>
      </c>
      <c r="F442" t="n">
        <v>1</v>
      </c>
      <c r="G442" t="n">
        <v>35</v>
      </c>
      <c r="H442" t="n">
        <v>16.11</v>
      </c>
      <c r="I442" t="inlineStr">
        <is>
          <t>credit_card</t>
        </is>
      </c>
      <c r="J442" t="n">
        <v>10</v>
      </c>
      <c r="K442" t="inlineStr">
        <is>
          <t>On Time</t>
        </is>
      </c>
      <c r="L442" t="n">
        <v>5</v>
      </c>
      <c r="M442">
        <f>VLOOKUP(D442,State_Lookup!$A$2:$B$28,2,FALSE)</f>
        <v/>
      </c>
    </row>
    <row r="443">
      <c r="A443" t="inlineStr">
        <is>
          <t>d9e44c3fd2ce16086619f299e92e12d8</t>
        </is>
      </c>
      <c r="B443" t="inlineStr">
        <is>
          <t>2017-05-06</t>
        </is>
      </c>
      <c r="C443" t="inlineStr">
        <is>
          <t>2017-05</t>
        </is>
      </c>
      <c r="D443" t="inlineStr">
        <is>
          <t>MS</t>
        </is>
      </c>
      <c r="E443" t="inlineStr">
        <is>
          <t>home_appliances</t>
        </is>
      </c>
      <c r="F443" t="n">
        <v>1</v>
      </c>
      <c r="G443" t="n">
        <v>35</v>
      </c>
      <c r="H443" t="n">
        <v>16.11</v>
      </c>
      <c r="I443" t="inlineStr">
        <is>
          <t>credit_card</t>
        </is>
      </c>
      <c r="J443" t="n">
        <v>10</v>
      </c>
      <c r="K443" t="inlineStr">
        <is>
          <t>On Time</t>
        </is>
      </c>
      <c r="L443" t="n">
        <v>5</v>
      </c>
      <c r="M443">
        <f>VLOOKUP(D443,State_Lookup!$A$2:$B$28,2,FALSE)</f>
        <v/>
      </c>
    </row>
    <row r="444">
      <c r="A444" t="inlineStr">
        <is>
          <t>2e90d155b85776a842b3b1c59aa4b340</t>
        </is>
      </c>
      <c r="B444" t="inlineStr">
        <is>
          <t>2017-05-06</t>
        </is>
      </c>
      <c r="C444" t="inlineStr">
        <is>
          <t>2017-05</t>
        </is>
      </c>
      <c r="D444" t="inlineStr">
        <is>
          <t>MA</t>
        </is>
      </c>
      <c r="E444" t="inlineStr">
        <is>
          <t>baby</t>
        </is>
      </c>
      <c r="F444" t="n">
        <v>1</v>
      </c>
      <c r="G444" t="n">
        <v>25.9</v>
      </c>
      <c r="H444" t="n">
        <v>21.15</v>
      </c>
      <c r="I444" t="inlineStr">
        <is>
          <t>credit_card</t>
        </is>
      </c>
      <c r="J444" t="inlineStr"/>
      <c r="K444" t="inlineStr">
        <is>
          <t>Not Delivered</t>
        </is>
      </c>
      <c r="L444" t="n">
        <v>1</v>
      </c>
      <c r="M444">
        <f>VLOOKUP(D444,State_Lookup!$A$2:$B$28,2,FALSE)</f>
        <v/>
      </c>
    </row>
    <row r="445">
      <c r="A445" t="inlineStr">
        <is>
          <t>e5c0d192e1f883b21e7673f73cb644b9</t>
        </is>
      </c>
      <c r="B445" t="inlineStr">
        <is>
          <t>2017-05-06</t>
        </is>
      </c>
      <c r="C445" t="inlineStr">
        <is>
          <t>2017-05</t>
        </is>
      </c>
      <c r="D445" t="inlineStr">
        <is>
          <t>SP</t>
        </is>
      </c>
      <c r="E445" t="inlineStr">
        <is>
          <t>bed_bath_table</t>
        </is>
      </c>
      <c r="F445" t="n">
        <v>1</v>
      </c>
      <c r="G445" t="n">
        <v>68.90000000000001</v>
      </c>
      <c r="H445" t="n">
        <v>12.82</v>
      </c>
      <c r="I445" t="inlineStr">
        <is>
          <t>credit_card</t>
        </is>
      </c>
      <c r="J445" t="n">
        <v>9</v>
      </c>
      <c r="K445" t="inlineStr">
        <is>
          <t>On Time</t>
        </is>
      </c>
      <c r="L445" t="n">
        <v>5</v>
      </c>
      <c r="M445">
        <f>VLOOKUP(D445,State_Lookup!$A$2:$B$28,2,FALSE)</f>
        <v/>
      </c>
    </row>
    <row r="446">
      <c r="A446" t="inlineStr">
        <is>
          <t>91342c574ec0463ab295f7591d0fc8ac</t>
        </is>
      </c>
      <c r="B446" t="inlineStr">
        <is>
          <t>2017-05-06</t>
        </is>
      </c>
      <c r="C446" t="inlineStr">
        <is>
          <t>2017-05</t>
        </is>
      </c>
      <c r="D446" t="inlineStr">
        <is>
          <t>SP</t>
        </is>
      </c>
      <c r="E446" t="inlineStr">
        <is>
          <t>computers_accessories</t>
        </is>
      </c>
      <c r="F446" t="n">
        <v>1</v>
      </c>
      <c r="G446" t="n">
        <v>75</v>
      </c>
      <c r="H446" t="n">
        <v>12.03</v>
      </c>
      <c r="I446" t="inlineStr">
        <is>
          <t>credit_card</t>
        </is>
      </c>
      <c r="J446" t="n">
        <v>11</v>
      </c>
      <c r="K446" t="inlineStr">
        <is>
          <t>On Time</t>
        </is>
      </c>
      <c r="L446" t="n">
        <v>5</v>
      </c>
      <c r="M446">
        <f>VLOOKUP(D446,State_Lookup!$A$2:$B$28,2,FALSE)</f>
        <v/>
      </c>
    </row>
    <row r="447">
      <c r="A447" t="inlineStr">
        <is>
          <t>a26e448f7fe0273a370e603cd60933e0</t>
        </is>
      </c>
      <c r="B447" t="inlineStr">
        <is>
          <t>2017-05-07</t>
        </is>
      </c>
      <c r="C447" t="inlineStr">
        <is>
          <t>2017-05</t>
        </is>
      </c>
      <c r="D447" t="inlineStr">
        <is>
          <t>SP</t>
        </is>
      </c>
      <c r="E447" t="inlineStr">
        <is>
          <t>watches_gifts</t>
        </is>
      </c>
      <c r="F447" t="n">
        <v>1</v>
      </c>
      <c r="G447" t="n">
        <v>26.69</v>
      </c>
      <c r="H447" t="n">
        <v>15.1</v>
      </c>
      <c r="I447" t="inlineStr">
        <is>
          <t>credit_card</t>
        </is>
      </c>
      <c r="J447" t="n">
        <v>8</v>
      </c>
      <c r="K447" t="inlineStr">
        <is>
          <t>On Time</t>
        </is>
      </c>
      <c r="L447" t="n">
        <v>5</v>
      </c>
      <c r="M447">
        <f>VLOOKUP(D447,State_Lookup!$A$2:$B$28,2,FALSE)</f>
        <v/>
      </c>
    </row>
    <row r="448">
      <c r="A448" t="inlineStr">
        <is>
          <t>dbf0ef2523a1685c333401eca1edac76</t>
        </is>
      </c>
      <c r="B448" t="inlineStr">
        <is>
          <t>2017-05-07</t>
        </is>
      </c>
      <c r="C448" t="inlineStr">
        <is>
          <t>2017-05</t>
        </is>
      </c>
      <c r="D448" t="inlineStr">
        <is>
          <t>MG</t>
        </is>
      </c>
      <c r="E448" t="inlineStr">
        <is>
          <t>garden_tools</t>
        </is>
      </c>
      <c r="F448" t="n">
        <v>1</v>
      </c>
      <c r="G448" t="n">
        <v>249.9</v>
      </c>
      <c r="H448" t="n">
        <v>17.51</v>
      </c>
      <c r="I448" t="inlineStr">
        <is>
          <t>credit_card</t>
        </is>
      </c>
      <c r="J448" t="n">
        <v>9</v>
      </c>
      <c r="K448" t="inlineStr">
        <is>
          <t>On Time</t>
        </is>
      </c>
      <c r="L448" t="n">
        <v>5</v>
      </c>
      <c r="M448">
        <f>VLOOKUP(D448,State_Lookup!$A$2:$B$28,2,FALSE)</f>
        <v/>
      </c>
    </row>
    <row r="449">
      <c r="A449" t="inlineStr">
        <is>
          <t>5b2b9ac65739f66309f4ca13b999dc19</t>
        </is>
      </c>
      <c r="B449" t="inlineStr">
        <is>
          <t>2017-05-07</t>
        </is>
      </c>
      <c r="C449" t="inlineStr">
        <is>
          <t>2017-05</t>
        </is>
      </c>
      <c r="D449" t="inlineStr">
        <is>
          <t>MA</t>
        </is>
      </c>
      <c r="E449" t="inlineStr">
        <is>
          <t>telephony</t>
        </is>
      </c>
      <c r="F449" t="n">
        <v>1</v>
      </c>
      <c r="G449" t="n">
        <v>13.98</v>
      </c>
      <c r="H449" t="n">
        <v>21.15</v>
      </c>
      <c r="I449" t="inlineStr">
        <is>
          <t>credit_card</t>
        </is>
      </c>
      <c r="J449" t="n">
        <v>24</v>
      </c>
      <c r="K449" t="inlineStr">
        <is>
          <t>On Time</t>
        </is>
      </c>
      <c r="L449" t="n">
        <v>1</v>
      </c>
      <c r="M449">
        <f>VLOOKUP(D449,State_Lookup!$A$2:$B$28,2,FALSE)</f>
        <v/>
      </c>
    </row>
    <row r="450">
      <c r="A450" t="inlineStr">
        <is>
          <t>b12e5d725658a4566286153c51727af2</t>
        </is>
      </c>
      <c r="B450" t="inlineStr">
        <is>
          <t>2017-05-07</t>
        </is>
      </c>
      <c r="C450" t="inlineStr">
        <is>
          <t>2017-05</t>
        </is>
      </c>
      <c r="D450" t="inlineStr">
        <is>
          <t>SP</t>
        </is>
      </c>
      <c r="E450" t="inlineStr">
        <is>
          <t>housewares</t>
        </is>
      </c>
      <c r="F450" t="n">
        <v>1</v>
      </c>
      <c r="G450" t="n">
        <v>8.9</v>
      </c>
      <c r="H450" t="n">
        <v>11.85</v>
      </c>
      <c r="I450" t="inlineStr">
        <is>
          <t>voucher</t>
        </is>
      </c>
      <c r="J450" t="n">
        <v>10</v>
      </c>
      <c r="K450" t="inlineStr">
        <is>
          <t>On Time</t>
        </is>
      </c>
      <c r="L450" t="n">
        <v>4</v>
      </c>
      <c r="M450">
        <f>VLOOKUP(D450,State_Lookup!$A$2:$B$28,2,FALSE)</f>
        <v/>
      </c>
    </row>
    <row r="451">
      <c r="A451" t="inlineStr">
        <is>
          <t>3948c2f40e71b2178b6cec0916332ccd</t>
        </is>
      </c>
      <c r="B451" t="inlineStr">
        <is>
          <t>2017-05-07</t>
        </is>
      </c>
      <c r="C451" t="inlineStr">
        <is>
          <t>2017-05</t>
        </is>
      </c>
      <c r="D451" t="inlineStr">
        <is>
          <t>PR</t>
        </is>
      </c>
      <c r="E451" t="inlineStr">
        <is>
          <t>housewares</t>
        </is>
      </c>
      <c r="F451" t="n">
        <v>1</v>
      </c>
      <c r="G451" t="n">
        <v>26.4</v>
      </c>
      <c r="H451" t="n">
        <v>14.1</v>
      </c>
      <c r="I451" t="inlineStr">
        <is>
          <t>credit_card</t>
        </is>
      </c>
      <c r="J451" t="n">
        <v>11</v>
      </c>
      <c r="K451" t="inlineStr">
        <is>
          <t>On Time</t>
        </is>
      </c>
      <c r="L451" t="n">
        <v>5</v>
      </c>
      <c r="M451">
        <f>VLOOKUP(D451,State_Lookup!$A$2:$B$28,2,FALSE)</f>
        <v/>
      </c>
    </row>
    <row r="452">
      <c r="A452" t="inlineStr">
        <is>
          <t>a979479c1af57af858b45dfd2d67ee04</t>
        </is>
      </c>
      <c r="B452" t="inlineStr">
        <is>
          <t>2017-05-07</t>
        </is>
      </c>
      <c r="C452" t="inlineStr">
        <is>
          <t>2017-05</t>
        </is>
      </c>
      <c r="D452" t="inlineStr">
        <is>
          <t>SP</t>
        </is>
      </c>
      <c r="E452" t="inlineStr">
        <is>
          <t>furniture_decor</t>
        </is>
      </c>
      <c r="F452" t="n">
        <v>1</v>
      </c>
      <c r="G452" t="n">
        <v>39.9</v>
      </c>
      <c r="H452" t="n">
        <v>12.69</v>
      </c>
      <c r="I452" t="inlineStr">
        <is>
          <t>voucher</t>
        </is>
      </c>
      <c r="J452" t="n">
        <v>15</v>
      </c>
      <c r="K452" t="inlineStr">
        <is>
          <t>On Time</t>
        </is>
      </c>
      <c r="L452" t="n">
        <v>4</v>
      </c>
      <c r="M452">
        <f>VLOOKUP(D452,State_Lookup!$A$2:$B$28,2,FALSE)</f>
        <v/>
      </c>
    </row>
    <row r="453">
      <c r="A453" t="inlineStr">
        <is>
          <t>14772df2ec0499946fb20841a70659e4</t>
        </is>
      </c>
      <c r="B453" t="inlineStr">
        <is>
          <t>2017-05-07</t>
        </is>
      </c>
      <c r="C453" t="inlineStr">
        <is>
          <t>2017-05</t>
        </is>
      </c>
      <c r="D453" t="inlineStr">
        <is>
          <t>RJ</t>
        </is>
      </c>
      <c r="E453" t="inlineStr">
        <is>
          <t>sports_leisure</t>
        </is>
      </c>
      <c r="F453" t="n">
        <v>1</v>
      </c>
      <c r="G453" t="n">
        <v>29.5</v>
      </c>
      <c r="H453" t="n">
        <v>16.79</v>
      </c>
      <c r="I453" t="inlineStr">
        <is>
          <t>credit_card</t>
        </is>
      </c>
      <c r="J453" t="n">
        <v>8</v>
      </c>
      <c r="K453" t="inlineStr">
        <is>
          <t>On Time</t>
        </is>
      </c>
      <c r="L453" t="n">
        <v>5</v>
      </c>
      <c r="M453">
        <f>VLOOKUP(D453,State_Lookup!$A$2:$B$28,2,FALSE)</f>
        <v/>
      </c>
    </row>
    <row r="454">
      <c r="A454" t="inlineStr">
        <is>
          <t>40b24dab374c01e18e3e6f269f67c8ad</t>
        </is>
      </c>
      <c r="B454" t="inlineStr">
        <is>
          <t>2017-05-08</t>
        </is>
      </c>
      <c r="C454" t="inlineStr">
        <is>
          <t>2017-05</t>
        </is>
      </c>
      <c r="D454" t="inlineStr">
        <is>
          <t>MG</t>
        </is>
      </c>
      <c r="E454" t="inlineStr">
        <is>
          <t>bed_bath_table</t>
        </is>
      </c>
      <c r="F454" t="n">
        <v>1</v>
      </c>
      <c r="G454" t="n">
        <v>45.95</v>
      </c>
      <c r="H454" t="n">
        <v>15.1</v>
      </c>
      <c r="I454" t="inlineStr">
        <is>
          <t>credit_card</t>
        </is>
      </c>
      <c r="J454" t="n">
        <v>8</v>
      </c>
      <c r="K454" t="inlineStr">
        <is>
          <t>On Time</t>
        </is>
      </c>
      <c r="L454" t="n">
        <v>5</v>
      </c>
      <c r="M454">
        <f>VLOOKUP(D454,State_Lookup!$A$2:$B$28,2,FALSE)</f>
        <v/>
      </c>
    </row>
    <row r="455">
      <c r="A455" t="inlineStr">
        <is>
          <t>481d2cbce45c1d2281aead91bff6dcae</t>
        </is>
      </c>
      <c r="B455" t="inlineStr">
        <is>
          <t>2017-05-08</t>
        </is>
      </c>
      <c r="C455" t="inlineStr">
        <is>
          <t>2017-05</t>
        </is>
      </c>
      <c r="D455" t="inlineStr">
        <is>
          <t>PR</t>
        </is>
      </c>
      <c r="E455" t="inlineStr">
        <is>
          <t>garden_tools</t>
        </is>
      </c>
      <c r="F455" t="n">
        <v>2</v>
      </c>
      <c r="G455" t="n">
        <v>119.8</v>
      </c>
      <c r="H455" t="n">
        <v>35.34</v>
      </c>
      <c r="I455" t="inlineStr">
        <is>
          <t>credit_card</t>
        </is>
      </c>
      <c r="J455" t="n">
        <v>38</v>
      </c>
      <c r="K455" t="inlineStr">
        <is>
          <t>Late</t>
        </is>
      </c>
      <c r="L455" t="n">
        <v>5</v>
      </c>
      <c r="M455">
        <f>VLOOKUP(D455,State_Lookup!$A$2:$B$28,2,FALSE)</f>
        <v/>
      </c>
    </row>
    <row r="456">
      <c r="A456" t="inlineStr">
        <is>
          <t>9562b424b05978a493db2a5122ecab1f</t>
        </is>
      </c>
      <c r="B456" t="inlineStr">
        <is>
          <t>2017-05-08</t>
        </is>
      </c>
      <c r="C456" t="inlineStr">
        <is>
          <t>2017-05</t>
        </is>
      </c>
      <c r="D456" t="inlineStr">
        <is>
          <t>SP</t>
        </is>
      </c>
      <c r="E456" t="inlineStr">
        <is>
          <t>furniture_decor</t>
        </is>
      </c>
      <c r="F456" t="n">
        <v>1</v>
      </c>
      <c r="G456" t="n">
        <v>46.99</v>
      </c>
      <c r="H456" t="n">
        <v>12.69</v>
      </c>
      <c r="I456" t="inlineStr">
        <is>
          <t>boleto</t>
        </is>
      </c>
      <c r="J456" t="n">
        <v>9</v>
      </c>
      <c r="K456" t="inlineStr">
        <is>
          <t>On Time</t>
        </is>
      </c>
      <c r="L456" t="n">
        <v>5</v>
      </c>
      <c r="M456">
        <f>VLOOKUP(D456,State_Lookup!$A$2:$B$28,2,FALSE)</f>
        <v/>
      </c>
    </row>
    <row r="457">
      <c r="A457" t="inlineStr">
        <is>
          <t>240c0f6bd7e77f416cff9b55d12d10c1</t>
        </is>
      </c>
      <c r="B457" t="inlineStr">
        <is>
          <t>2017-05-08</t>
        </is>
      </c>
      <c r="C457" t="inlineStr">
        <is>
          <t>2017-05</t>
        </is>
      </c>
      <c r="D457" t="inlineStr">
        <is>
          <t>RJ</t>
        </is>
      </c>
      <c r="E457" t="inlineStr">
        <is>
          <t>cool_stuff</t>
        </is>
      </c>
      <c r="F457" t="n">
        <v>1</v>
      </c>
      <c r="G457" t="n">
        <v>199.99</v>
      </c>
      <c r="H457" t="n">
        <v>17.65</v>
      </c>
      <c r="I457" t="inlineStr">
        <is>
          <t>credit_card</t>
        </is>
      </c>
      <c r="J457" t="n">
        <v>15</v>
      </c>
      <c r="K457" t="inlineStr">
        <is>
          <t>On Time</t>
        </is>
      </c>
      <c r="L457" t="n">
        <v>5</v>
      </c>
      <c r="M457">
        <f>VLOOKUP(D457,State_Lookup!$A$2:$B$28,2,FALSE)</f>
        <v/>
      </c>
    </row>
    <row r="458">
      <c r="A458" t="inlineStr">
        <is>
          <t>4d3c0c9b78aca6355fc67075364b2b05</t>
        </is>
      </c>
      <c r="B458" t="inlineStr">
        <is>
          <t>2017-05-08</t>
        </is>
      </c>
      <c r="C458" t="inlineStr">
        <is>
          <t>2017-05</t>
        </is>
      </c>
      <c r="D458" t="inlineStr">
        <is>
          <t>PR</t>
        </is>
      </c>
      <c r="E458" t="inlineStr">
        <is>
          <t>furniture_decor</t>
        </is>
      </c>
      <c r="F458" t="n">
        <v>1</v>
      </c>
      <c r="G458" t="n">
        <v>61.9</v>
      </c>
      <c r="H458" t="n">
        <v>16.19</v>
      </c>
      <c r="I458" t="inlineStr">
        <is>
          <t>boleto</t>
        </is>
      </c>
      <c r="J458" t="n">
        <v>9</v>
      </c>
      <c r="K458" t="inlineStr">
        <is>
          <t>On Time</t>
        </is>
      </c>
      <c r="L458" t="n">
        <v>5</v>
      </c>
      <c r="M458">
        <f>VLOOKUP(D458,State_Lookup!$A$2:$B$28,2,FALSE)</f>
        <v/>
      </c>
    </row>
    <row r="459">
      <c r="A459" t="inlineStr">
        <is>
          <t>7b3dfd5f6a78e3b430e083bf1a909da0</t>
        </is>
      </c>
      <c r="B459" t="inlineStr">
        <is>
          <t>2017-05-08</t>
        </is>
      </c>
      <c r="C459" t="inlineStr">
        <is>
          <t>2017-05</t>
        </is>
      </c>
      <c r="D459" t="inlineStr">
        <is>
          <t>RS</t>
        </is>
      </c>
      <c r="E459" t="inlineStr">
        <is>
          <t>bed_bath_table</t>
        </is>
      </c>
      <c r="F459" t="n">
        <v>1</v>
      </c>
      <c r="G459" t="n">
        <v>77.75</v>
      </c>
      <c r="H459" t="n">
        <v>16.3</v>
      </c>
      <c r="I459" t="inlineStr">
        <is>
          <t>credit_card</t>
        </is>
      </c>
      <c r="J459" t="n">
        <v>15</v>
      </c>
      <c r="K459" t="inlineStr">
        <is>
          <t>On Time</t>
        </is>
      </c>
      <c r="L459" t="n">
        <v>5</v>
      </c>
      <c r="M459">
        <f>VLOOKUP(D459,State_Lookup!$A$2:$B$28,2,FALSE)</f>
        <v/>
      </c>
    </row>
    <row r="460">
      <c r="A460" t="inlineStr">
        <is>
          <t>66bb146968e449c413c58a15e510a6f8</t>
        </is>
      </c>
      <c r="B460" t="inlineStr">
        <is>
          <t>2017-05-08</t>
        </is>
      </c>
      <c r="C460" t="inlineStr">
        <is>
          <t>2017-05</t>
        </is>
      </c>
      <c r="D460" t="inlineStr">
        <is>
          <t>PR</t>
        </is>
      </c>
      <c r="E460" t="inlineStr">
        <is>
          <t>baby</t>
        </is>
      </c>
      <c r="F460" t="n">
        <v>1</v>
      </c>
      <c r="G460" t="n">
        <v>79.90000000000001</v>
      </c>
      <c r="H460" t="n">
        <v>15.31</v>
      </c>
      <c r="I460" t="inlineStr">
        <is>
          <t>credit_card</t>
        </is>
      </c>
      <c r="J460" t="n">
        <v>6</v>
      </c>
      <c r="K460" t="inlineStr">
        <is>
          <t>On Time</t>
        </is>
      </c>
      <c r="L460" t="n">
        <v>4</v>
      </c>
      <c r="M460">
        <f>VLOOKUP(D460,State_Lookup!$A$2:$B$28,2,FALSE)</f>
        <v/>
      </c>
    </row>
    <row r="461">
      <c r="A461" t="inlineStr">
        <is>
          <t>0b0bf8f9977e22517521efeefa4b7a27</t>
        </is>
      </c>
      <c r="B461" t="inlineStr">
        <is>
          <t>2017-05-09</t>
        </is>
      </c>
      <c r="C461" t="inlineStr">
        <is>
          <t>2017-05</t>
        </is>
      </c>
      <c r="D461" t="inlineStr">
        <is>
          <t>MG</t>
        </is>
      </c>
      <c r="E461" t="inlineStr">
        <is>
          <t>bed_bath_table</t>
        </is>
      </c>
      <c r="F461" t="n">
        <v>1</v>
      </c>
      <c r="G461" t="n">
        <v>146</v>
      </c>
      <c r="H461" t="n">
        <v>21.51</v>
      </c>
      <c r="I461" t="inlineStr">
        <is>
          <t>credit_card</t>
        </is>
      </c>
      <c r="J461" t="n">
        <v>14</v>
      </c>
      <c r="K461" t="inlineStr">
        <is>
          <t>On Time</t>
        </is>
      </c>
      <c r="L461" t="n">
        <v>3</v>
      </c>
      <c r="M461">
        <f>VLOOKUP(D461,State_Lookup!$A$2:$B$28,2,FALSE)</f>
        <v/>
      </c>
    </row>
    <row r="462">
      <c r="A462" t="inlineStr">
        <is>
          <t>0b65284a1a74114ea029b7676fdc1ba3</t>
        </is>
      </c>
      <c r="B462" t="inlineStr">
        <is>
          <t>2017-05-09</t>
        </is>
      </c>
      <c r="C462" t="inlineStr">
        <is>
          <t>2017-05</t>
        </is>
      </c>
      <c r="D462" t="inlineStr">
        <is>
          <t>PE</t>
        </is>
      </c>
      <c r="E462" t="inlineStr">
        <is>
          <t>computers_accessories</t>
        </is>
      </c>
      <c r="F462" t="n">
        <v>1</v>
      </c>
      <c r="G462" t="n">
        <v>89.90000000000001</v>
      </c>
      <c r="H462" t="n">
        <v>54.3</v>
      </c>
      <c r="I462" t="inlineStr">
        <is>
          <t>credit_card</t>
        </is>
      </c>
      <c r="J462" t="n">
        <v>31</v>
      </c>
      <c r="K462" t="inlineStr">
        <is>
          <t>On Time</t>
        </is>
      </c>
      <c r="L462" t="n">
        <v>5</v>
      </c>
      <c r="M462">
        <f>VLOOKUP(D462,State_Lookup!$A$2:$B$28,2,FALSE)</f>
        <v/>
      </c>
    </row>
    <row r="463">
      <c r="A463" t="inlineStr">
        <is>
          <t>8b9fde773dec0dfd4be4beaa1ada46bf</t>
        </is>
      </c>
      <c r="B463" t="inlineStr">
        <is>
          <t>2017-05-09</t>
        </is>
      </c>
      <c r="C463" t="inlineStr">
        <is>
          <t>2017-05</t>
        </is>
      </c>
      <c r="D463" t="inlineStr">
        <is>
          <t>SP</t>
        </is>
      </c>
      <c r="E463" t="inlineStr">
        <is>
          <t>health_beauty</t>
        </is>
      </c>
      <c r="F463" t="n">
        <v>1</v>
      </c>
      <c r="G463" t="n">
        <v>19.9</v>
      </c>
      <c r="H463" t="n">
        <v>7.78</v>
      </c>
      <c r="I463" t="inlineStr">
        <is>
          <t>voucher</t>
        </is>
      </c>
      <c r="J463" t="n">
        <v>12</v>
      </c>
      <c r="K463" t="inlineStr">
        <is>
          <t>Late</t>
        </is>
      </c>
      <c r="L463" t="n">
        <v>2</v>
      </c>
      <c r="M463">
        <f>VLOOKUP(D463,State_Lookup!$A$2:$B$28,2,FALSE)</f>
        <v/>
      </c>
    </row>
    <row r="464">
      <c r="A464" t="inlineStr">
        <is>
          <t>814f83a0c457db5d3220e5e7367a944d</t>
        </is>
      </c>
      <c r="B464" t="inlineStr">
        <is>
          <t>2017-05-09</t>
        </is>
      </c>
      <c r="C464" t="inlineStr">
        <is>
          <t>2017-05</t>
        </is>
      </c>
      <c r="D464" t="inlineStr">
        <is>
          <t>RJ</t>
        </is>
      </c>
      <c r="E464" t="inlineStr">
        <is>
          <t>baby</t>
        </is>
      </c>
      <c r="F464" t="n">
        <v>1</v>
      </c>
      <c r="G464" t="n">
        <v>79.90000000000001</v>
      </c>
      <c r="H464" t="n">
        <v>14.31</v>
      </c>
      <c r="I464" t="inlineStr">
        <is>
          <t>credit_card</t>
        </is>
      </c>
      <c r="J464" t="n">
        <v>7</v>
      </c>
      <c r="K464" t="inlineStr">
        <is>
          <t>On Time</t>
        </is>
      </c>
      <c r="L464" t="n">
        <v>5</v>
      </c>
      <c r="M464">
        <f>VLOOKUP(D464,State_Lookup!$A$2:$B$28,2,FALSE)</f>
        <v/>
      </c>
    </row>
    <row r="465">
      <c r="A465" t="inlineStr">
        <is>
          <t>e7d84e43b5d477e3b4a6fd6d90db1cac</t>
        </is>
      </c>
      <c r="B465" t="inlineStr">
        <is>
          <t>2017-05-09</t>
        </is>
      </c>
      <c r="C465" t="inlineStr">
        <is>
          <t>2017-05</t>
        </is>
      </c>
      <c r="D465" t="inlineStr">
        <is>
          <t>RJ</t>
        </is>
      </c>
      <c r="E465" t="inlineStr">
        <is>
          <t>sports_leisure</t>
        </is>
      </c>
      <c r="F465" t="n">
        <v>1</v>
      </c>
      <c r="G465" t="n">
        <v>54.9</v>
      </c>
      <c r="H465" t="n">
        <v>14.13</v>
      </c>
      <c r="I465" t="inlineStr">
        <is>
          <t>credit_card</t>
        </is>
      </c>
      <c r="J465" t="n">
        <v>8</v>
      </c>
      <c r="K465" t="inlineStr">
        <is>
          <t>On Time</t>
        </is>
      </c>
      <c r="L465" t="n">
        <v>5</v>
      </c>
      <c r="M465">
        <f>VLOOKUP(D465,State_Lookup!$A$2:$B$28,2,FALSE)</f>
        <v/>
      </c>
    </row>
    <row r="466">
      <c r="A466" t="inlineStr">
        <is>
          <t>b8817cf40f8cf861cbe022a3b0c61893</t>
        </is>
      </c>
      <c r="B466" t="inlineStr">
        <is>
          <t>2017-05-09</t>
        </is>
      </c>
      <c r="C466" t="inlineStr">
        <is>
          <t>2017-05</t>
        </is>
      </c>
      <c r="D466" t="inlineStr">
        <is>
          <t>BA</t>
        </is>
      </c>
      <c r="E466" t="inlineStr">
        <is>
          <t>cool_stuff</t>
        </is>
      </c>
      <c r="F466" t="n">
        <v>2</v>
      </c>
      <c r="G466" t="n">
        <v>125.98</v>
      </c>
      <c r="H466" t="n">
        <v>37.36</v>
      </c>
      <c r="I466" t="inlineStr">
        <is>
          <t>credit_card</t>
        </is>
      </c>
      <c r="J466" t="n">
        <v>14</v>
      </c>
      <c r="K466" t="inlineStr">
        <is>
          <t>On Time</t>
        </is>
      </c>
      <c r="L466" t="n">
        <v>5</v>
      </c>
      <c r="M466">
        <f>VLOOKUP(D466,State_Lookup!$A$2:$B$28,2,FALSE)</f>
        <v/>
      </c>
    </row>
    <row r="467">
      <c r="A467" t="inlineStr">
        <is>
          <t>23dd9b9b8eb4352e2905bf46a41e5ad2</t>
        </is>
      </c>
      <c r="B467" t="inlineStr">
        <is>
          <t>2017-05-09</t>
        </is>
      </c>
      <c r="C467" t="inlineStr">
        <is>
          <t>2017-05</t>
        </is>
      </c>
      <c r="D467" t="inlineStr">
        <is>
          <t>SP</t>
        </is>
      </c>
      <c r="E467" t="inlineStr">
        <is>
          <t>cool_stuff</t>
        </is>
      </c>
      <c r="F467" t="n">
        <v>1</v>
      </c>
      <c r="G467" t="n">
        <v>69.98999999999999</v>
      </c>
      <c r="H467" t="n">
        <v>11.73</v>
      </c>
      <c r="I467" t="inlineStr">
        <is>
          <t>credit_card</t>
        </is>
      </c>
      <c r="J467" t="n">
        <v>2</v>
      </c>
      <c r="K467" t="inlineStr">
        <is>
          <t>On Time</t>
        </is>
      </c>
      <c r="L467" t="n">
        <v>5</v>
      </c>
      <c r="M467">
        <f>VLOOKUP(D467,State_Lookup!$A$2:$B$28,2,FALSE)</f>
        <v/>
      </c>
    </row>
    <row r="468">
      <c r="A468" t="inlineStr">
        <is>
          <t>cb00f9d32f51bf65823f130e9c146173</t>
        </is>
      </c>
      <c r="B468" t="inlineStr">
        <is>
          <t>2017-05-10</t>
        </is>
      </c>
      <c r="C468" t="inlineStr">
        <is>
          <t>2017-05</t>
        </is>
      </c>
      <c r="D468" t="inlineStr">
        <is>
          <t>MG</t>
        </is>
      </c>
      <c r="E468" t="inlineStr">
        <is>
          <t>perfumery</t>
        </is>
      </c>
      <c r="F468" t="n">
        <v>1</v>
      </c>
      <c r="G468" t="n">
        <v>56.99</v>
      </c>
      <c r="H468" t="n">
        <v>15.15</v>
      </c>
      <c r="I468" t="inlineStr">
        <is>
          <t>credit_card</t>
        </is>
      </c>
      <c r="J468" t="n">
        <v>12</v>
      </c>
      <c r="K468" t="inlineStr">
        <is>
          <t>On Time</t>
        </is>
      </c>
      <c r="L468" t="n">
        <v>5</v>
      </c>
      <c r="M468">
        <f>VLOOKUP(D468,State_Lookup!$A$2:$B$28,2,FALSE)</f>
        <v/>
      </c>
    </row>
    <row r="469">
      <c r="A469" t="inlineStr">
        <is>
          <t>b0934c7d9368624b044fc218c11776e9</t>
        </is>
      </c>
      <c r="B469" t="inlineStr">
        <is>
          <t>2017-05-10</t>
        </is>
      </c>
      <c r="C469" t="inlineStr">
        <is>
          <t>2017-05</t>
        </is>
      </c>
      <c r="D469" t="inlineStr">
        <is>
          <t>BA</t>
        </is>
      </c>
      <c r="E469" t="inlineStr">
        <is>
          <t>garden_tools</t>
        </is>
      </c>
      <c r="F469" t="n">
        <v>1</v>
      </c>
      <c r="G469" t="n">
        <v>59.9</v>
      </c>
      <c r="H469" t="n">
        <v>19.66</v>
      </c>
      <c r="I469" t="inlineStr">
        <is>
          <t>credit_card</t>
        </is>
      </c>
      <c r="J469" t="n">
        <v>17</v>
      </c>
      <c r="K469" t="inlineStr">
        <is>
          <t>On Time</t>
        </is>
      </c>
      <c r="L469" t="n">
        <v>5</v>
      </c>
      <c r="M469">
        <f>VLOOKUP(D469,State_Lookup!$A$2:$B$28,2,FALSE)</f>
        <v/>
      </c>
    </row>
    <row r="470">
      <c r="A470" t="inlineStr">
        <is>
          <t>177536550949ab384987dfa5e898b1cc</t>
        </is>
      </c>
      <c r="B470" t="inlineStr">
        <is>
          <t>2017-05-11</t>
        </is>
      </c>
      <c r="C470" t="inlineStr">
        <is>
          <t>2017-05</t>
        </is>
      </c>
      <c r="D470" t="inlineStr">
        <is>
          <t>RN</t>
        </is>
      </c>
      <c r="E470" t="inlineStr">
        <is>
          <t>watches_gifts</t>
        </is>
      </c>
      <c r="F470" t="n">
        <v>1</v>
      </c>
      <c r="G470" t="n">
        <v>145</v>
      </c>
      <c r="H470" t="n">
        <v>26.04</v>
      </c>
      <c r="I470" t="inlineStr">
        <is>
          <t>credit_card</t>
        </is>
      </c>
      <c r="J470" t="n">
        <v>11</v>
      </c>
      <c r="K470" t="inlineStr">
        <is>
          <t>On Time</t>
        </is>
      </c>
      <c r="L470" t="n">
        <v>5</v>
      </c>
      <c r="M470">
        <f>VLOOKUP(D470,State_Lookup!$A$2:$B$28,2,FALSE)</f>
        <v/>
      </c>
    </row>
    <row r="471">
      <c r="A471" t="inlineStr">
        <is>
          <t>c89fd00e1f223872ff105cd5abf2f659</t>
        </is>
      </c>
      <c r="B471" t="inlineStr">
        <is>
          <t>2017-05-11</t>
        </is>
      </c>
      <c r="C471" t="inlineStr">
        <is>
          <t>2017-05</t>
        </is>
      </c>
      <c r="D471" t="inlineStr">
        <is>
          <t>SP</t>
        </is>
      </c>
      <c r="E471" t="inlineStr">
        <is>
          <t>toys</t>
        </is>
      </c>
      <c r="F471" t="n">
        <v>1</v>
      </c>
      <c r="G471" t="n">
        <v>89.90000000000001</v>
      </c>
      <c r="H471" t="n">
        <v>12.13</v>
      </c>
      <c r="I471" t="inlineStr">
        <is>
          <t>boleto</t>
        </is>
      </c>
      <c r="J471" t="n">
        <v>5</v>
      </c>
      <c r="K471" t="inlineStr">
        <is>
          <t>On Time</t>
        </is>
      </c>
      <c r="L471" t="n">
        <v>5</v>
      </c>
      <c r="M471">
        <f>VLOOKUP(D471,State_Lookup!$A$2:$B$28,2,FALSE)</f>
        <v/>
      </c>
    </row>
    <row r="472">
      <c r="A472" t="inlineStr">
        <is>
          <t>c92d9519d152fad30fdcaa7bcbdbc30c</t>
        </is>
      </c>
      <c r="B472" t="inlineStr">
        <is>
          <t>2017-05-11</t>
        </is>
      </c>
      <c r="C472" t="inlineStr">
        <is>
          <t>2017-05</t>
        </is>
      </c>
      <c r="D472" t="inlineStr">
        <is>
          <t>PR</t>
        </is>
      </c>
      <c r="E472" t="inlineStr">
        <is>
          <t>luggage_accessories</t>
        </is>
      </c>
      <c r="F472" t="n">
        <v>1</v>
      </c>
      <c r="G472" t="n">
        <v>109.9</v>
      </c>
      <c r="H472" t="n">
        <v>16.21</v>
      </c>
      <c r="I472" t="inlineStr">
        <is>
          <t>credit_card</t>
        </is>
      </c>
      <c r="J472" t="n">
        <v>5</v>
      </c>
      <c r="K472" t="inlineStr">
        <is>
          <t>On Time</t>
        </is>
      </c>
      <c r="L472" t="n">
        <v>2</v>
      </c>
      <c r="M472">
        <f>VLOOKUP(D472,State_Lookup!$A$2:$B$28,2,FALSE)</f>
        <v/>
      </c>
    </row>
    <row r="473">
      <c r="A473" t="inlineStr">
        <is>
          <t>8aec3a066f732dd927ec8fef1752415b</t>
        </is>
      </c>
      <c r="B473" t="inlineStr">
        <is>
          <t>2017-05-11</t>
        </is>
      </c>
      <c r="C473" t="inlineStr">
        <is>
          <t>2017-05</t>
        </is>
      </c>
      <c r="D473" t="inlineStr">
        <is>
          <t>PR</t>
        </is>
      </c>
      <c r="E473" t="inlineStr">
        <is>
          <t>bed_bath_table</t>
        </is>
      </c>
      <c r="F473" t="n">
        <v>1</v>
      </c>
      <c r="G473" t="n">
        <v>15.9</v>
      </c>
      <c r="H473" t="n">
        <v>16.11</v>
      </c>
      <c r="I473" t="inlineStr">
        <is>
          <t>credit_card</t>
        </is>
      </c>
      <c r="J473" t="inlineStr"/>
      <c r="K473" t="inlineStr">
        <is>
          <t>Not Delivered</t>
        </is>
      </c>
      <c r="L473" t="n">
        <v>3</v>
      </c>
      <c r="M473">
        <f>VLOOKUP(D473,State_Lookup!$A$2:$B$28,2,FALSE)</f>
        <v/>
      </c>
    </row>
    <row r="474">
      <c r="A474" t="inlineStr">
        <is>
          <t>fa638db0d045b2d04da362622e1f48c9</t>
        </is>
      </c>
      <c r="B474" t="inlineStr">
        <is>
          <t>2017-05-11</t>
        </is>
      </c>
      <c r="C474" t="inlineStr">
        <is>
          <t>2017-05</t>
        </is>
      </c>
      <c r="D474" t="inlineStr">
        <is>
          <t>SP</t>
        </is>
      </c>
      <c r="E474" t="inlineStr">
        <is>
          <t>fashion_bags_accessories</t>
        </is>
      </c>
      <c r="F474" t="n">
        <v>1</v>
      </c>
      <c r="G474" t="n">
        <v>24.99</v>
      </c>
      <c r="H474" t="n">
        <v>7.78</v>
      </c>
      <c r="I474" t="inlineStr">
        <is>
          <t>boleto</t>
        </is>
      </c>
      <c r="J474" t="n">
        <v>12</v>
      </c>
      <c r="K474" t="inlineStr">
        <is>
          <t>On Time</t>
        </is>
      </c>
      <c r="L474" t="n">
        <v>5</v>
      </c>
      <c r="M474">
        <f>VLOOKUP(D474,State_Lookup!$A$2:$B$28,2,FALSE)</f>
        <v/>
      </c>
    </row>
    <row r="475">
      <c r="A475" t="inlineStr">
        <is>
          <t>01835ef41c5ac66dd9ec6084fa1d0533</t>
        </is>
      </c>
      <c r="B475" t="inlineStr">
        <is>
          <t>2017-05-11</t>
        </is>
      </c>
      <c r="C475" t="inlineStr">
        <is>
          <t>2017-05</t>
        </is>
      </c>
      <c r="D475" t="inlineStr">
        <is>
          <t>RJ</t>
        </is>
      </c>
      <c r="E475" t="inlineStr">
        <is>
          <t>perfumery</t>
        </is>
      </c>
      <c r="F475" t="n">
        <v>1</v>
      </c>
      <c r="G475" t="n">
        <v>56.99</v>
      </c>
      <c r="H475" t="n">
        <v>15.15</v>
      </c>
      <c r="I475" t="inlineStr">
        <is>
          <t>credit_card</t>
        </is>
      </c>
      <c r="J475" t="n">
        <v>12</v>
      </c>
      <c r="K475" t="inlineStr">
        <is>
          <t>On Time</t>
        </is>
      </c>
      <c r="L475" t="n">
        <v>1</v>
      </c>
      <c r="M475">
        <f>VLOOKUP(D475,State_Lookup!$A$2:$B$28,2,FALSE)</f>
        <v/>
      </c>
    </row>
    <row r="476">
      <c r="A476" t="inlineStr">
        <is>
          <t>fa4a86f6961b73c40db2f5f3199705ad</t>
        </is>
      </c>
      <c r="B476" t="inlineStr">
        <is>
          <t>2017-05-12</t>
        </is>
      </c>
      <c r="C476" t="inlineStr">
        <is>
          <t>2017-05</t>
        </is>
      </c>
      <c r="D476" t="inlineStr">
        <is>
          <t>SP</t>
        </is>
      </c>
      <c r="E476" t="inlineStr">
        <is>
          <t>health_beauty</t>
        </is>
      </c>
      <c r="F476" t="n">
        <v>1</v>
      </c>
      <c r="G476" t="n">
        <v>14.9</v>
      </c>
      <c r="H476" t="n">
        <v>11.85</v>
      </c>
      <c r="I476" t="inlineStr">
        <is>
          <t>boleto</t>
        </is>
      </c>
      <c r="J476" t="n">
        <v>7</v>
      </c>
      <c r="K476" t="inlineStr">
        <is>
          <t>On Time</t>
        </is>
      </c>
      <c r="L476" t="n">
        <v>5</v>
      </c>
      <c r="M476">
        <f>VLOOKUP(D476,State_Lookup!$A$2:$B$28,2,FALSE)</f>
        <v/>
      </c>
    </row>
    <row r="477">
      <c r="A477" t="inlineStr">
        <is>
          <t>755eebcb667b0fc5148bdcee47fe9f28</t>
        </is>
      </c>
      <c r="B477" t="inlineStr">
        <is>
          <t>2017-05-12</t>
        </is>
      </c>
      <c r="C477" t="inlineStr">
        <is>
          <t>2017-05</t>
        </is>
      </c>
      <c r="D477" t="inlineStr">
        <is>
          <t>SP</t>
        </is>
      </c>
      <c r="E477" t="inlineStr">
        <is>
          <t>bed_bath_table</t>
        </is>
      </c>
      <c r="F477" t="n">
        <v>1</v>
      </c>
      <c r="G477" t="n">
        <v>59.9</v>
      </c>
      <c r="H477" t="n">
        <v>11.92</v>
      </c>
      <c r="I477" t="inlineStr">
        <is>
          <t>boleto</t>
        </is>
      </c>
      <c r="J477" t="n">
        <v>10</v>
      </c>
      <c r="K477" t="inlineStr">
        <is>
          <t>On Time</t>
        </is>
      </c>
      <c r="L477" t="n">
        <v>5</v>
      </c>
      <c r="M477">
        <f>VLOOKUP(D477,State_Lookup!$A$2:$B$28,2,FALSE)</f>
        <v/>
      </c>
    </row>
    <row r="478">
      <c r="A478" t="inlineStr">
        <is>
          <t>4b16d0a302a6bd19d22825d08d17d973</t>
        </is>
      </c>
      <c r="B478" t="inlineStr">
        <is>
          <t>2017-05-13</t>
        </is>
      </c>
      <c r="C478" t="inlineStr">
        <is>
          <t>2017-05</t>
        </is>
      </c>
      <c r="D478" t="inlineStr">
        <is>
          <t>MG</t>
        </is>
      </c>
      <c r="E478" t="inlineStr">
        <is>
          <t>auto</t>
        </is>
      </c>
      <c r="F478" t="n">
        <v>1</v>
      </c>
      <c r="G478" t="n">
        <v>749</v>
      </c>
      <c r="H478" t="n">
        <v>70.05</v>
      </c>
      <c r="I478" t="inlineStr">
        <is>
          <t>credit_card</t>
        </is>
      </c>
      <c r="J478" t="n">
        <v>11</v>
      </c>
      <c r="K478" t="inlineStr">
        <is>
          <t>On Time</t>
        </is>
      </c>
      <c r="L478" t="n">
        <v>5</v>
      </c>
      <c r="M478">
        <f>VLOOKUP(D478,State_Lookup!$A$2:$B$28,2,FALSE)</f>
        <v/>
      </c>
    </row>
    <row r="479">
      <c r="A479" t="inlineStr">
        <is>
          <t>6ea1fb8b83a7703077033993d1bdc5fc</t>
        </is>
      </c>
      <c r="B479" t="inlineStr">
        <is>
          <t>2017-05-13</t>
        </is>
      </c>
      <c r="C479" t="inlineStr">
        <is>
          <t>2017-05</t>
        </is>
      </c>
      <c r="D479" t="inlineStr">
        <is>
          <t>SP</t>
        </is>
      </c>
      <c r="E479" t="inlineStr">
        <is>
          <t>telephony</t>
        </is>
      </c>
      <c r="F479" t="n">
        <v>1</v>
      </c>
      <c r="G479" t="n">
        <v>39.99</v>
      </c>
      <c r="H479" t="n">
        <v>11.85</v>
      </c>
      <c r="I479" t="inlineStr">
        <is>
          <t>credit_card</t>
        </is>
      </c>
      <c r="J479" t="n">
        <v>9</v>
      </c>
      <c r="K479" t="inlineStr">
        <is>
          <t>On Time</t>
        </is>
      </c>
      <c r="L479" t="n">
        <v>4</v>
      </c>
      <c r="M479">
        <f>VLOOKUP(D479,State_Lookup!$A$2:$B$28,2,FALSE)</f>
        <v/>
      </c>
    </row>
    <row r="480">
      <c r="A480" t="inlineStr">
        <is>
          <t>dbe715996d171c4b2877daa01c0d6aca</t>
        </is>
      </c>
      <c r="B480" t="inlineStr">
        <is>
          <t>2017-05-14</t>
        </is>
      </c>
      <c r="C480" t="inlineStr">
        <is>
          <t>2017-05</t>
        </is>
      </c>
      <c r="D480" t="inlineStr">
        <is>
          <t>RS</t>
        </is>
      </c>
      <c r="E480" t="inlineStr">
        <is>
          <t>unknown</t>
        </is>
      </c>
      <c r="F480" t="n">
        <v>1</v>
      </c>
      <c r="G480" t="n">
        <v>32.9</v>
      </c>
      <c r="H480" t="n">
        <v>15.1</v>
      </c>
      <c r="I480" t="inlineStr">
        <is>
          <t>boleto</t>
        </is>
      </c>
      <c r="J480" t="n">
        <v>8</v>
      </c>
      <c r="K480" t="inlineStr">
        <is>
          <t>On Time</t>
        </is>
      </c>
      <c r="L480" t="n">
        <v>4</v>
      </c>
      <c r="M480">
        <f>VLOOKUP(D480,State_Lookup!$A$2:$B$28,2,FALSE)</f>
        <v/>
      </c>
    </row>
    <row r="481">
      <c r="A481" t="inlineStr">
        <is>
          <t>56fe40ecc356cf04f67dc6c69f010ddd</t>
        </is>
      </c>
      <c r="B481" t="inlineStr">
        <is>
          <t>2017-05-14</t>
        </is>
      </c>
      <c r="C481" t="inlineStr">
        <is>
          <t>2017-05</t>
        </is>
      </c>
      <c r="D481" t="inlineStr">
        <is>
          <t>RS</t>
        </is>
      </c>
      <c r="E481" t="inlineStr">
        <is>
          <t>bed_bath_table</t>
        </is>
      </c>
      <c r="F481" t="n">
        <v>1</v>
      </c>
      <c r="G481" t="n">
        <v>629.9</v>
      </c>
      <c r="H481" t="n">
        <v>29.25</v>
      </c>
      <c r="I481" t="inlineStr">
        <is>
          <t>credit_card</t>
        </is>
      </c>
      <c r="J481" t="n">
        <v>10</v>
      </c>
      <c r="K481" t="inlineStr">
        <is>
          <t>On Time</t>
        </is>
      </c>
      <c r="L481" t="n">
        <v>5</v>
      </c>
      <c r="M481">
        <f>VLOOKUP(D481,State_Lookup!$A$2:$B$28,2,FALSE)</f>
        <v/>
      </c>
    </row>
    <row r="482">
      <c r="A482" t="inlineStr">
        <is>
          <t>2b0ff3c2ec4265091bba2e1e5d9aa762</t>
        </is>
      </c>
      <c r="B482" t="inlineStr">
        <is>
          <t>2017-05-14</t>
        </is>
      </c>
      <c r="C482" t="inlineStr">
        <is>
          <t>2017-05</t>
        </is>
      </c>
      <c r="D482" t="inlineStr">
        <is>
          <t>SP</t>
        </is>
      </c>
      <c r="E482" t="inlineStr">
        <is>
          <t>telephony</t>
        </is>
      </c>
      <c r="F482" t="n">
        <v>3</v>
      </c>
      <c r="G482" t="n">
        <v>89.97</v>
      </c>
      <c r="H482" t="n">
        <v>23.34</v>
      </c>
      <c r="I482" t="inlineStr">
        <is>
          <t>credit_card</t>
        </is>
      </c>
      <c r="J482" t="n">
        <v>3</v>
      </c>
      <c r="K482" t="inlineStr">
        <is>
          <t>On Time</t>
        </is>
      </c>
      <c r="L482" t="n">
        <v>4</v>
      </c>
      <c r="M482">
        <f>VLOOKUP(D482,State_Lookup!$A$2:$B$28,2,FALSE)</f>
        <v/>
      </c>
    </row>
    <row r="483">
      <c r="A483" t="inlineStr">
        <is>
          <t>52fbf883cea22e6627c1aa7c49ecd8f8</t>
        </is>
      </c>
      <c r="B483" t="inlineStr">
        <is>
          <t>2017-05-14</t>
        </is>
      </c>
      <c r="C483" t="inlineStr">
        <is>
          <t>2017-05</t>
        </is>
      </c>
      <c r="D483" t="inlineStr">
        <is>
          <t>PI</t>
        </is>
      </c>
      <c r="E483" t="inlineStr">
        <is>
          <t>furniture_decor</t>
        </is>
      </c>
      <c r="F483" t="n">
        <v>1</v>
      </c>
      <c r="G483" t="n">
        <v>50.9</v>
      </c>
      <c r="H483" t="n">
        <v>35.68</v>
      </c>
      <c r="I483" t="inlineStr">
        <is>
          <t>credit_card</t>
        </is>
      </c>
      <c r="J483" t="n">
        <v>16</v>
      </c>
      <c r="K483" t="inlineStr">
        <is>
          <t>On Time</t>
        </is>
      </c>
      <c r="L483" t="n">
        <v>5</v>
      </c>
      <c r="M483">
        <f>VLOOKUP(D483,State_Lookup!$A$2:$B$28,2,FALSE)</f>
        <v/>
      </c>
    </row>
    <row r="484">
      <c r="A484" t="inlineStr">
        <is>
          <t>22662a013483e2c073232f69182716db</t>
        </is>
      </c>
      <c r="B484" t="inlineStr">
        <is>
          <t>2017-05-14</t>
        </is>
      </c>
      <c r="C484" t="inlineStr">
        <is>
          <t>2017-05</t>
        </is>
      </c>
      <c r="D484" t="inlineStr">
        <is>
          <t>RJ</t>
        </is>
      </c>
      <c r="E484" t="inlineStr">
        <is>
          <t>toys</t>
        </is>
      </c>
      <c r="F484" t="n">
        <v>1</v>
      </c>
      <c r="G484" t="n">
        <v>44.95</v>
      </c>
      <c r="H484" t="n">
        <v>14.1</v>
      </c>
      <c r="I484" t="inlineStr">
        <is>
          <t>credit_card</t>
        </is>
      </c>
      <c r="J484" t="n">
        <v>16</v>
      </c>
      <c r="K484" t="inlineStr">
        <is>
          <t>On Time</t>
        </is>
      </c>
      <c r="L484" t="n">
        <v>4</v>
      </c>
      <c r="M484">
        <f>VLOOKUP(D484,State_Lookup!$A$2:$B$28,2,FALSE)</f>
        <v/>
      </c>
    </row>
    <row r="485">
      <c r="A485" t="inlineStr">
        <is>
          <t>58c4df4904044782bb1361c5cb001538</t>
        </is>
      </c>
      <c r="B485" t="inlineStr">
        <is>
          <t>2017-05-14</t>
        </is>
      </c>
      <c r="C485" t="inlineStr">
        <is>
          <t>2017-05</t>
        </is>
      </c>
      <c r="D485" t="inlineStr">
        <is>
          <t>SP</t>
        </is>
      </c>
      <c r="E485" t="inlineStr">
        <is>
          <t>cool_stuff</t>
        </is>
      </c>
      <c r="F485" t="n">
        <v>2</v>
      </c>
      <c r="G485" t="n">
        <v>388.9</v>
      </c>
      <c r="H485" t="n">
        <v>19.66</v>
      </c>
      <c r="I485" t="inlineStr">
        <is>
          <t>credit_card</t>
        </is>
      </c>
      <c r="J485" t="n">
        <v>3</v>
      </c>
      <c r="K485" t="inlineStr">
        <is>
          <t>On Time</t>
        </is>
      </c>
      <c r="L485" t="n">
        <v>5</v>
      </c>
      <c r="M485">
        <f>VLOOKUP(D485,State_Lookup!$A$2:$B$28,2,FALSE)</f>
        <v/>
      </c>
    </row>
    <row r="486">
      <c r="A486" t="inlineStr">
        <is>
          <t>de2d0036fb45333e82bb658ced9a4fd0</t>
        </is>
      </c>
      <c r="B486" t="inlineStr">
        <is>
          <t>2017-05-14</t>
        </is>
      </c>
      <c r="C486" t="inlineStr">
        <is>
          <t>2017-05</t>
        </is>
      </c>
      <c r="D486" t="inlineStr">
        <is>
          <t>MG</t>
        </is>
      </c>
      <c r="E486" t="inlineStr">
        <is>
          <t>bed_bath_table</t>
        </is>
      </c>
      <c r="F486" t="n">
        <v>1</v>
      </c>
      <c r="G486" t="n">
        <v>89.90000000000001</v>
      </c>
      <c r="H486" t="n">
        <v>15.38</v>
      </c>
      <c r="I486" t="inlineStr">
        <is>
          <t>credit_card</t>
        </is>
      </c>
      <c r="J486" t="n">
        <v>9</v>
      </c>
      <c r="K486" t="inlineStr">
        <is>
          <t>On Time</t>
        </is>
      </c>
      <c r="L486" t="n">
        <v>5</v>
      </c>
      <c r="M486">
        <f>VLOOKUP(D486,State_Lookup!$A$2:$B$28,2,FALSE)</f>
        <v/>
      </c>
    </row>
    <row r="487">
      <c r="A487" t="inlineStr">
        <is>
          <t>e6fab5eab715bc4786f1f555aac7b32b</t>
        </is>
      </c>
      <c r="B487" t="inlineStr">
        <is>
          <t>2017-05-15</t>
        </is>
      </c>
      <c r="C487" t="inlineStr">
        <is>
          <t>2017-05</t>
        </is>
      </c>
      <c r="D487" t="inlineStr">
        <is>
          <t>RJ</t>
        </is>
      </c>
      <c r="E487" t="inlineStr">
        <is>
          <t>garden_tools</t>
        </is>
      </c>
      <c r="F487" t="n">
        <v>1</v>
      </c>
      <c r="G487" t="n">
        <v>89.15000000000001</v>
      </c>
      <c r="H487" t="n">
        <v>15.38</v>
      </c>
      <c r="I487" t="inlineStr">
        <is>
          <t>boleto</t>
        </is>
      </c>
      <c r="J487" t="n">
        <v>8</v>
      </c>
      <c r="K487" t="inlineStr">
        <is>
          <t>On Time</t>
        </is>
      </c>
      <c r="L487" t="n">
        <v>5</v>
      </c>
      <c r="M487">
        <f>VLOOKUP(D487,State_Lookup!$A$2:$B$28,2,FALSE)</f>
        <v/>
      </c>
    </row>
    <row r="488">
      <c r="A488" t="inlineStr">
        <is>
          <t>2c6df2cdea838bd21bc2dc78dac3029b</t>
        </is>
      </c>
      <c r="B488" t="inlineStr">
        <is>
          <t>2017-05-15</t>
        </is>
      </c>
      <c r="C488" t="inlineStr">
        <is>
          <t>2017-05</t>
        </is>
      </c>
      <c r="D488" t="inlineStr">
        <is>
          <t>RJ</t>
        </is>
      </c>
      <c r="E488" t="inlineStr">
        <is>
          <t>home_appliances</t>
        </is>
      </c>
      <c r="F488" t="n">
        <v>1</v>
      </c>
      <c r="G488" t="n">
        <v>26</v>
      </c>
      <c r="H488" t="n">
        <v>16.11</v>
      </c>
      <c r="I488" t="inlineStr">
        <is>
          <t>credit_card</t>
        </is>
      </c>
      <c r="J488" t="n">
        <v>8</v>
      </c>
      <c r="K488" t="inlineStr">
        <is>
          <t>On Time</t>
        </is>
      </c>
      <c r="L488" t="n">
        <v>5</v>
      </c>
      <c r="M488">
        <f>VLOOKUP(D488,State_Lookup!$A$2:$B$28,2,FALSE)</f>
        <v/>
      </c>
    </row>
    <row r="489">
      <c r="A489" t="inlineStr">
        <is>
          <t>ca929fa6d3db41b0d698c716875ccd26</t>
        </is>
      </c>
      <c r="B489" t="inlineStr">
        <is>
          <t>2017-05-15</t>
        </is>
      </c>
      <c r="C489" t="inlineStr">
        <is>
          <t>2017-05</t>
        </is>
      </c>
      <c r="D489" t="inlineStr">
        <is>
          <t>SC</t>
        </is>
      </c>
      <c r="E489" t="inlineStr">
        <is>
          <t>sports_leisure</t>
        </is>
      </c>
      <c r="F489" t="n">
        <v>1</v>
      </c>
      <c r="G489" t="n">
        <v>68</v>
      </c>
      <c r="H489" t="n">
        <v>15.23</v>
      </c>
      <c r="I489" t="inlineStr">
        <is>
          <t>voucher</t>
        </is>
      </c>
      <c r="J489" t="n">
        <v>10</v>
      </c>
      <c r="K489" t="inlineStr">
        <is>
          <t>On Time</t>
        </is>
      </c>
      <c r="L489" t="n">
        <v>5</v>
      </c>
      <c r="M489">
        <f>VLOOKUP(D489,State_Lookup!$A$2:$B$28,2,FALSE)</f>
        <v/>
      </c>
    </row>
    <row r="490">
      <c r="A490" t="inlineStr">
        <is>
          <t>b83427fcf80fd88d941541011ac876f8</t>
        </is>
      </c>
      <c r="B490" t="inlineStr">
        <is>
          <t>2017-05-15</t>
        </is>
      </c>
      <c r="C490" t="inlineStr">
        <is>
          <t>2017-05</t>
        </is>
      </c>
      <c r="D490" t="inlineStr">
        <is>
          <t>PR</t>
        </is>
      </c>
      <c r="E490" t="inlineStr">
        <is>
          <t>health_beauty</t>
        </is>
      </c>
      <c r="F490" t="n">
        <v>1</v>
      </c>
      <c r="G490" t="n">
        <v>459.9</v>
      </c>
      <c r="H490" t="n">
        <v>16.97</v>
      </c>
      <c r="I490" t="inlineStr">
        <is>
          <t>credit_card</t>
        </is>
      </c>
      <c r="J490" t="n">
        <v>7</v>
      </c>
      <c r="K490" t="inlineStr">
        <is>
          <t>On Time</t>
        </is>
      </c>
      <c r="L490" t="n">
        <v>4</v>
      </c>
      <c r="M490">
        <f>VLOOKUP(D490,State_Lookup!$A$2:$B$28,2,FALSE)</f>
        <v/>
      </c>
    </row>
    <row r="491">
      <c r="A491" t="inlineStr">
        <is>
          <t>b6ec749459197dc03576375a5b65f5a4</t>
        </is>
      </c>
      <c r="B491" t="inlineStr">
        <is>
          <t>2017-05-15</t>
        </is>
      </c>
      <c r="C491" t="inlineStr">
        <is>
          <t>2017-05</t>
        </is>
      </c>
      <c r="D491" t="inlineStr">
        <is>
          <t>RS</t>
        </is>
      </c>
      <c r="E491" t="inlineStr">
        <is>
          <t>office_furniture</t>
        </is>
      </c>
      <c r="F491" t="n">
        <v>1</v>
      </c>
      <c r="G491" t="n">
        <v>112.99</v>
      </c>
      <c r="H491" t="n">
        <v>34.15</v>
      </c>
      <c r="I491" t="inlineStr">
        <is>
          <t>boleto</t>
        </is>
      </c>
      <c r="J491" t="n">
        <v>16</v>
      </c>
      <c r="K491" t="inlineStr">
        <is>
          <t>On Time</t>
        </is>
      </c>
      <c r="L491" t="n">
        <v>3</v>
      </c>
      <c r="M491">
        <f>VLOOKUP(D491,State_Lookup!$A$2:$B$28,2,FALSE)</f>
        <v/>
      </c>
    </row>
    <row r="492">
      <c r="A492" t="inlineStr">
        <is>
          <t>ae83ac701e482df677985b4dfe2960dc</t>
        </is>
      </c>
      <c r="B492" t="inlineStr">
        <is>
          <t>2017-05-15</t>
        </is>
      </c>
      <c r="C492" t="inlineStr">
        <is>
          <t>2017-05</t>
        </is>
      </c>
      <c r="D492" t="inlineStr">
        <is>
          <t>SP</t>
        </is>
      </c>
      <c r="E492" t="inlineStr">
        <is>
          <t>fashion_bags_accessories</t>
        </is>
      </c>
      <c r="F492" t="n">
        <v>1</v>
      </c>
      <c r="G492" t="n">
        <v>21.99</v>
      </c>
      <c r="H492" t="n">
        <v>8.27</v>
      </c>
      <c r="I492" t="inlineStr">
        <is>
          <t>credit_card</t>
        </is>
      </c>
      <c r="J492" t="inlineStr"/>
      <c r="K492" t="inlineStr">
        <is>
          <t>Not Delivered</t>
        </is>
      </c>
      <c r="L492" t="inlineStr"/>
      <c r="M492">
        <f>VLOOKUP(D492,State_Lookup!$A$2:$B$28,2,FALSE)</f>
        <v/>
      </c>
    </row>
    <row r="493">
      <c r="A493" t="inlineStr">
        <is>
          <t>583dfa864ad33b5056f352e0cff6b713</t>
        </is>
      </c>
      <c r="B493" t="inlineStr">
        <is>
          <t>2017-05-15</t>
        </is>
      </c>
      <c r="C493" t="inlineStr">
        <is>
          <t>2017-05</t>
        </is>
      </c>
      <c r="D493" t="inlineStr">
        <is>
          <t>SP</t>
        </is>
      </c>
      <c r="E493" t="inlineStr">
        <is>
          <t>small_appliances</t>
        </is>
      </c>
      <c r="F493" t="n">
        <v>1</v>
      </c>
      <c r="G493" t="n">
        <v>447</v>
      </c>
      <c r="H493" t="n">
        <v>19.84</v>
      </c>
      <c r="I493" t="inlineStr">
        <is>
          <t>boleto</t>
        </is>
      </c>
      <c r="J493" t="n">
        <v>16</v>
      </c>
      <c r="K493" t="inlineStr">
        <is>
          <t>On Time</t>
        </is>
      </c>
      <c r="L493" t="n">
        <v>3</v>
      </c>
      <c r="M493">
        <f>VLOOKUP(D493,State_Lookup!$A$2:$B$28,2,FALSE)</f>
        <v/>
      </c>
    </row>
    <row r="494">
      <c r="A494" t="inlineStr">
        <is>
          <t>8b72765c9ae45dda52e1aeb36d56d0e6</t>
        </is>
      </c>
      <c r="B494" t="inlineStr">
        <is>
          <t>2017-05-15</t>
        </is>
      </c>
      <c r="C494" t="inlineStr">
        <is>
          <t>2017-05</t>
        </is>
      </c>
      <c r="D494" t="inlineStr">
        <is>
          <t>SP</t>
        </is>
      </c>
      <c r="E494" t="inlineStr">
        <is>
          <t>sports_leisure</t>
        </is>
      </c>
      <c r="F494" t="n">
        <v>1</v>
      </c>
      <c r="G494" t="n">
        <v>104</v>
      </c>
      <c r="H494" t="n">
        <v>13.07</v>
      </c>
      <c r="I494" t="inlineStr">
        <is>
          <t>boleto</t>
        </is>
      </c>
      <c r="J494" t="n">
        <v>4</v>
      </c>
      <c r="K494" t="inlineStr">
        <is>
          <t>On Time</t>
        </is>
      </c>
      <c r="L494" t="n">
        <v>5</v>
      </c>
      <c r="M494">
        <f>VLOOKUP(D494,State_Lookup!$A$2:$B$28,2,FALSE)</f>
        <v/>
      </c>
    </row>
    <row r="495">
      <c r="A495" t="inlineStr">
        <is>
          <t>25f22c7921c0a8d9aece054f7daab2b8</t>
        </is>
      </c>
      <c r="B495" t="inlineStr">
        <is>
          <t>2017-05-16</t>
        </is>
      </c>
      <c r="C495" t="inlineStr">
        <is>
          <t>2017-05</t>
        </is>
      </c>
      <c r="D495" t="inlineStr">
        <is>
          <t>PE</t>
        </is>
      </c>
      <c r="E495" t="inlineStr">
        <is>
          <t>telephony</t>
        </is>
      </c>
      <c r="F495" t="n">
        <v>1</v>
      </c>
      <c r="G495" t="n">
        <v>25.99</v>
      </c>
      <c r="H495" t="n">
        <v>17.63</v>
      </c>
      <c r="I495" t="inlineStr">
        <is>
          <t>credit_card</t>
        </is>
      </c>
      <c r="J495" t="n">
        <v>6</v>
      </c>
      <c r="K495" t="inlineStr">
        <is>
          <t>On Time</t>
        </is>
      </c>
      <c r="L495" t="n">
        <v>2</v>
      </c>
      <c r="M495">
        <f>VLOOKUP(D495,State_Lookup!$A$2:$B$28,2,FALSE)</f>
        <v/>
      </c>
    </row>
    <row r="496">
      <c r="A496" t="inlineStr">
        <is>
          <t>afcc3e09a357bc8f3c1caba3702d1e33</t>
        </is>
      </c>
      <c r="B496" t="inlineStr">
        <is>
          <t>2017-05-16</t>
        </is>
      </c>
      <c r="C496" t="inlineStr">
        <is>
          <t>2017-05</t>
        </is>
      </c>
      <c r="D496" t="inlineStr">
        <is>
          <t>SP</t>
        </is>
      </c>
      <c r="E496" t="inlineStr">
        <is>
          <t>telephony</t>
        </is>
      </c>
      <c r="F496" t="n">
        <v>1</v>
      </c>
      <c r="G496" t="n">
        <v>290</v>
      </c>
      <c r="H496" t="n">
        <v>13.53</v>
      </c>
      <c r="I496" t="inlineStr">
        <is>
          <t>credit_card</t>
        </is>
      </c>
      <c r="J496" t="n">
        <v>6</v>
      </c>
      <c r="K496" t="inlineStr">
        <is>
          <t>On Time</t>
        </is>
      </c>
      <c r="L496" t="n">
        <v>4</v>
      </c>
      <c r="M496">
        <f>VLOOKUP(D496,State_Lookup!$A$2:$B$28,2,FALSE)</f>
        <v/>
      </c>
    </row>
    <row r="497">
      <c r="A497" t="inlineStr">
        <is>
          <t>65d9b3fd87de7509d12d3cd45c661269</t>
        </is>
      </c>
      <c r="B497" t="inlineStr">
        <is>
          <t>2017-05-16</t>
        </is>
      </c>
      <c r="C497" t="inlineStr">
        <is>
          <t>2017-05</t>
        </is>
      </c>
      <c r="D497" t="inlineStr">
        <is>
          <t>SC</t>
        </is>
      </c>
      <c r="E497" t="inlineStr">
        <is>
          <t>furniture_decor</t>
        </is>
      </c>
      <c r="F497" t="n">
        <v>1</v>
      </c>
      <c r="G497" t="n">
        <v>207.06</v>
      </c>
      <c r="H497" t="n">
        <v>17.89</v>
      </c>
      <c r="I497" t="inlineStr">
        <is>
          <t>credit_card</t>
        </is>
      </c>
      <c r="J497" t="n">
        <v>6</v>
      </c>
      <c r="K497" t="inlineStr">
        <is>
          <t>On Time</t>
        </is>
      </c>
      <c r="L497" t="n">
        <v>5</v>
      </c>
      <c r="M497">
        <f>VLOOKUP(D497,State_Lookup!$A$2:$B$28,2,FALSE)</f>
        <v/>
      </c>
    </row>
    <row r="498">
      <c r="A498" t="inlineStr">
        <is>
          <t>27da527c266684c5bfb86fc601060406</t>
        </is>
      </c>
      <c r="B498" t="inlineStr">
        <is>
          <t>2017-05-16</t>
        </is>
      </c>
      <c r="C498" t="inlineStr">
        <is>
          <t>2017-05</t>
        </is>
      </c>
      <c r="D498" t="inlineStr">
        <is>
          <t>RS</t>
        </is>
      </c>
      <c r="E498" t="inlineStr">
        <is>
          <t>computers_accessories</t>
        </is>
      </c>
      <c r="F498" t="n">
        <v>1</v>
      </c>
      <c r="G498" t="n">
        <v>99</v>
      </c>
      <c r="H498" t="n">
        <v>14.42</v>
      </c>
      <c r="I498" t="inlineStr">
        <is>
          <t>credit_card</t>
        </is>
      </c>
      <c r="J498" t="n">
        <v>6</v>
      </c>
      <c r="K498" t="inlineStr">
        <is>
          <t>On Time</t>
        </is>
      </c>
      <c r="L498" t="n">
        <v>5</v>
      </c>
      <c r="M498">
        <f>VLOOKUP(D498,State_Lookup!$A$2:$B$28,2,FALSE)</f>
        <v/>
      </c>
    </row>
    <row r="499">
      <c r="A499" t="inlineStr">
        <is>
          <t>d33a24a5ea67f8f5a06b0a32e53f3acf</t>
        </is>
      </c>
      <c r="B499" t="inlineStr">
        <is>
          <t>2017-05-16</t>
        </is>
      </c>
      <c r="C499" t="inlineStr">
        <is>
          <t>2017-05</t>
        </is>
      </c>
      <c r="D499" t="inlineStr">
        <is>
          <t>SC</t>
        </is>
      </c>
      <c r="E499" t="inlineStr">
        <is>
          <t>stationery</t>
        </is>
      </c>
      <c r="F499" t="n">
        <v>1</v>
      </c>
      <c r="G499" t="n">
        <v>63</v>
      </c>
      <c r="H499" t="n">
        <v>15.19</v>
      </c>
      <c r="I499" t="inlineStr">
        <is>
          <t>boleto</t>
        </is>
      </c>
      <c r="J499" t="n">
        <v>6</v>
      </c>
      <c r="K499" t="inlineStr">
        <is>
          <t>On Time</t>
        </is>
      </c>
      <c r="L499" t="n">
        <v>4</v>
      </c>
      <c r="M499">
        <f>VLOOKUP(D499,State_Lookup!$A$2:$B$28,2,FALSE)</f>
        <v/>
      </c>
    </row>
    <row r="500">
      <c r="A500" t="inlineStr">
        <is>
          <t>eccf3572dd199488a18da264de60e1b0</t>
        </is>
      </c>
      <c r="B500" t="inlineStr">
        <is>
          <t>2017-05-16</t>
        </is>
      </c>
      <c r="C500" t="inlineStr">
        <is>
          <t>2017-05</t>
        </is>
      </c>
      <c r="D500" t="inlineStr">
        <is>
          <t>MG</t>
        </is>
      </c>
      <c r="E500" t="inlineStr">
        <is>
          <t>sports_leisure</t>
        </is>
      </c>
      <c r="F500" t="n">
        <v>1</v>
      </c>
      <c r="G500" t="n">
        <v>79.98999999999999</v>
      </c>
      <c r="H500" t="n">
        <v>12.69</v>
      </c>
      <c r="I500" t="inlineStr">
        <is>
          <t>credit_card</t>
        </is>
      </c>
      <c r="J500" t="n">
        <v>5</v>
      </c>
      <c r="K500" t="inlineStr">
        <is>
          <t>On Time</t>
        </is>
      </c>
      <c r="L500" t="n">
        <v>4</v>
      </c>
      <c r="M500">
        <f>VLOOKUP(D500,State_Lookup!$A$2:$B$28,2,FALSE)</f>
        <v/>
      </c>
    </row>
    <row r="501">
      <c r="A501" t="inlineStr">
        <is>
          <t>6c2332524797ccf47797e85207250b4a</t>
        </is>
      </c>
      <c r="B501" t="inlineStr">
        <is>
          <t>2017-05-16</t>
        </is>
      </c>
      <c r="C501" t="inlineStr">
        <is>
          <t>2017-05</t>
        </is>
      </c>
      <c r="D501" t="inlineStr">
        <is>
          <t>RJ</t>
        </is>
      </c>
      <c r="E501" t="inlineStr">
        <is>
          <t>sports_leisure</t>
        </is>
      </c>
      <c r="F501" t="n">
        <v>4</v>
      </c>
      <c r="G501" t="n">
        <v>416</v>
      </c>
      <c r="H501" t="n">
        <v>65.95999999999999</v>
      </c>
      <c r="I501" t="inlineStr">
        <is>
          <t>credit_card</t>
        </is>
      </c>
      <c r="J501" t="n">
        <v>6</v>
      </c>
      <c r="K501" t="inlineStr">
        <is>
          <t>On Time</t>
        </is>
      </c>
      <c r="L501" t="n">
        <v>1</v>
      </c>
      <c r="M501">
        <f>VLOOKUP(D501,State_Lookup!$A$2:$B$28,2,FALSE)</f>
        <v/>
      </c>
    </row>
    <row r="502">
      <c r="A502" t="inlineStr">
        <is>
          <t>64f475afc29a44f71955d00897cbeac5</t>
        </is>
      </c>
      <c r="B502" t="inlineStr">
        <is>
          <t>2017-05-17</t>
        </is>
      </c>
      <c r="C502" t="inlineStr">
        <is>
          <t>2017-05</t>
        </is>
      </c>
      <c r="D502" t="inlineStr">
        <is>
          <t>SP</t>
        </is>
      </c>
      <c r="E502" t="inlineStr">
        <is>
          <t>baby</t>
        </is>
      </c>
      <c r="F502" t="n">
        <v>1</v>
      </c>
      <c r="G502" t="n">
        <v>109.9</v>
      </c>
      <c r="H502" t="n">
        <v>18.02</v>
      </c>
      <c r="I502" t="inlineStr">
        <is>
          <t>credit_card</t>
        </is>
      </c>
      <c r="J502" t="n">
        <v>11</v>
      </c>
      <c r="K502" t="inlineStr">
        <is>
          <t>On Time</t>
        </is>
      </c>
      <c r="L502" t="n">
        <v>4</v>
      </c>
      <c r="M502">
        <f>VLOOKUP(D502,State_Lookup!$A$2:$B$28,2,FALSE)</f>
        <v/>
      </c>
    </row>
    <row r="503">
      <c r="A503" t="inlineStr">
        <is>
          <t>ee86b68eb9222b0cad7da50f4f758a35</t>
        </is>
      </c>
      <c r="B503" t="inlineStr">
        <is>
          <t>2017-05-17</t>
        </is>
      </c>
      <c r="C503" t="inlineStr">
        <is>
          <t>2017-05</t>
        </is>
      </c>
      <c r="D503" t="inlineStr">
        <is>
          <t>RJ</t>
        </is>
      </c>
      <c r="E503" t="inlineStr">
        <is>
          <t>fashion_childrens_clothes</t>
        </is>
      </c>
      <c r="F503" t="n">
        <v>1</v>
      </c>
      <c r="G503" t="n">
        <v>110</v>
      </c>
      <c r="H503" t="n">
        <v>14.52</v>
      </c>
      <c r="I503" t="inlineStr">
        <is>
          <t>credit_card</t>
        </is>
      </c>
      <c r="J503" t="n">
        <v>2</v>
      </c>
      <c r="K503" t="inlineStr">
        <is>
          <t>On Time</t>
        </is>
      </c>
      <c r="L503" t="n">
        <v>5</v>
      </c>
      <c r="M503">
        <f>VLOOKUP(D503,State_Lookup!$A$2:$B$28,2,FALSE)</f>
        <v/>
      </c>
    </row>
    <row r="504">
      <c r="A504" t="inlineStr">
        <is>
          <t>8b0357c1bad60045f29531041ed96942</t>
        </is>
      </c>
      <c r="B504" t="inlineStr">
        <is>
          <t>2017-05-17</t>
        </is>
      </c>
      <c r="C504" t="inlineStr">
        <is>
          <t>2017-05</t>
        </is>
      </c>
      <c r="D504" t="inlineStr">
        <is>
          <t>BA</t>
        </is>
      </c>
      <c r="E504" t="inlineStr">
        <is>
          <t>housewares</t>
        </is>
      </c>
      <c r="F504" t="n">
        <v>1</v>
      </c>
      <c r="G504" t="n">
        <v>85.98999999999999</v>
      </c>
      <c r="H504" t="n">
        <v>16.04</v>
      </c>
      <c r="I504" t="inlineStr">
        <is>
          <t>credit_card</t>
        </is>
      </c>
      <c r="J504" t="n">
        <v>21</v>
      </c>
      <c r="K504" t="inlineStr">
        <is>
          <t>On Time</t>
        </is>
      </c>
      <c r="L504" t="n">
        <v>3</v>
      </c>
      <c r="M504">
        <f>VLOOKUP(D504,State_Lookup!$A$2:$B$28,2,FALSE)</f>
        <v/>
      </c>
    </row>
    <row r="505">
      <c r="A505" t="inlineStr">
        <is>
          <t>7b0991b804c1f59ff08aed876cd41c5b</t>
        </is>
      </c>
      <c r="B505" t="inlineStr">
        <is>
          <t>2017-05-17</t>
        </is>
      </c>
      <c r="C505" t="inlineStr">
        <is>
          <t>2017-05</t>
        </is>
      </c>
      <c r="D505" t="inlineStr">
        <is>
          <t>SP</t>
        </is>
      </c>
      <c r="E505" t="inlineStr">
        <is>
          <t>housewares</t>
        </is>
      </c>
      <c r="F505" t="n">
        <v>1</v>
      </c>
      <c r="G505" t="n">
        <v>59.9</v>
      </c>
      <c r="H505" t="n">
        <v>11.73</v>
      </c>
      <c r="I505" t="inlineStr">
        <is>
          <t>credit_card</t>
        </is>
      </c>
      <c r="J505" t="n">
        <v>1</v>
      </c>
      <c r="K505" t="inlineStr">
        <is>
          <t>On Time</t>
        </is>
      </c>
      <c r="L505" t="n">
        <v>1</v>
      </c>
      <c r="M505">
        <f>VLOOKUP(D505,State_Lookup!$A$2:$B$28,2,FALSE)</f>
        <v/>
      </c>
    </row>
    <row r="506">
      <c r="A506" t="inlineStr">
        <is>
          <t>4886bdc3d38b4558a42cca69e30e0808</t>
        </is>
      </c>
      <c r="B506" t="inlineStr">
        <is>
          <t>2017-05-17</t>
        </is>
      </c>
      <c r="C506" t="inlineStr">
        <is>
          <t>2017-05</t>
        </is>
      </c>
      <c r="D506" t="inlineStr">
        <is>
          <t>SP</t>
        </is>
      </c>
      <c r="E506" t="inlineStr">
        <is>
          <t>health_beauty</t>
        </is>
      </c>
      <c r="F506" t="n">
        <v>1</v>
      </c>
      <c r="G506" t="n">
        <v>299.99</v>
      </c>
      <c r="H506" t="n">
        <v>10.29</v>
      </c>
      <c r="I506" t="inlineStr">
        <is>
          <t>credit_card</t>
        </is>
      </c>
      <c r="J506" t="n">
        <v>7</v>
      </c>
      <c r="K506" t="inlineStr">
        <is>
          <t>On Time</t>
        </is>
      </c>
      <c r="L506" t="n">
        <v>4</v>
      </c>
      <c r="M506">
        <f>VLOOKUP(D506,State_Lookup!$A$2:$B$28,2,FALSE)</f>
        <v/>
      </c>
    </row>
    <row r="507">
      <c r="A507" t="inlineStr">
        <is>
          <t>5852550cf22fcb9c36345a0b65992ff5</t>
        </is>
      </c>
      <c r="B507" t="inlineStr">
        <is>
          <t>2017-05-17</t>
        </is>
      </c>
      <c r="C507" t="inlineStr">
        <is>
          <t>2017-05</t>
        </is>
      </c>
      <c r="D507" t="inlineStr">
        <is>
          <t>MG</t>
        </is>
      </c>
      <c r="E507" t="inlineStr">
        <is>
          <t>housewares</t>
        </is>
      </c>
      <c r="F507" t="n">
        <v>1</v>
      </c>
      <c r="G507" t="n">
        <v>47.25</v>
      </c>
      <c r="H507" t="n">
        <v>15.1</v>
      </c>
      <c r="I507" t="inlineStr">
        <is>
          <t>boleto</t>
        </is>
      </c>
      <c r="J507" t="n">
        <v>7</v>
      </c>
      <c r="K507" t="inlineStr">
        <is>
          <t>On Time</t>
        </is>
      </c>
      <c r="L507" t="n">
        <v>4</v>
      </c>
      <c r="M507">
        <f>VLOOKUP(D507,State_Lookup!$A$2:$B$28,2,FALSE)</f>
        <v/>
      </c>
    </row>
    <row r="508">
      <c r="A508" t="inlineStr">
        <is>
          <t>83e72081383fc363b9d9b2d509917824</t>
        </is>
      </c>
      <c r="B508" t="inlineStr">
        <is>
          <t>2017-05-18</t>
        </is>
      </c>
      <c r="C508" t="inlineStr">
        <is>
          <t>2017-05</t>
        </is>
      </c>
      <c r="D508" t="inlineStr">
        <is>
          <t>PR</t>
        </is>
      </c>
      <c r="E508" t="inlineStr">
        <is>
          <t>luggage_accessories</t>
        </is>
      </c>
      <c r="F508" t="n">
        <v>1</v>
      </c>
      <c r="G508" t="n">
        <v>139.9</v>
      </c>
      <c r="H508" t="n">
        <v>49.51</v>
      </c>
      <c r="I508" t="inlineStr">
        <is>
          <t>credit_card</t>
        </is>
      </c>
      <c r="J508" t="n">
        <v>11</v>
      </c>
      <c r="K508" t="inlineStr">
        <is>
          <t>On Time</t>
        </is>
      </c>
      <c r="L508" t="n">
        <v>5</v>
      </c>
      <c r="M508">
        <f>VLOOKUP(D508,State_Lookup!$A$2:$B$28,2,FALSE)</f>
        <v/>
      </c>
    </row>
    <row r="509">
      <c r="A509" t="inlineStr">
        <is>
          <t>d7265f36cbd2814e8be76a4fca48a1d8</t>
        </is>
      </c>
      <c r="B509" t="inlineStr">
        <is>
          <t>2017-05-18</t>
        </is>
      </c>
      <c r="C509" t="inlineStr">
        <is>
          <t>2017-05</t>
        </is>
      </c>
      <c r="D509" t="inlineStr">
        <is>
          <t>RJ</t>
        </is>
      </c>
      <c r="E509" t="inlineStr">
        <is>
          <t>housewares</t>
        </is>
      </c>
      <c r="F509" t="n">
        <v>1</v>
      </c>
      <c r="G509" t="n">
        <v>79</v>
      </c>
      <c r="H509" t="n">
        <v>16.31</v>
      </c>
      <c r="I509" t="inlineStr">
        <is>
          <t>credit_card</t>
        </is>
      </c>
      <c r="J509" t="n">
        <v>14</v>
      </c>
      <c r="K509" t="inlineStr">
        <is>
          <t>On Time</t>
        </is>
      </c>
      <c r="L509" t="n">
        <v>5</v>
      </c>
      <c r="M509">
        <f>VLOOKUP(D509,State_Lookup!$A$2:$B$28,2,FALSE)</f>
        <v/>
      </c>
    </row>
    <row r="510">
      <c r="A510" t="inlineStr">
        <is>
          <t>3b7a97d5bd2789c9087188dbfa105445</t>
        </is>
      </c>
      <c r="B510" t="inlineStr">
        <is>
          <t>2017-05-18</t>
        </is>
      </c>
      <c r="C510" t="inlineStr">
        <is>
          <t>2017-05</t>
        </is>
      </c>
      <c r="D510" t="inlineStr">
        <is>
          <t>SP</t>
        </is>
      </c>
      <c r="E510" t="inlineStr">
        <is>
          <t>sports_leisure</t>
        </is>
      </c>
      <c r="F510" t="n">
        <v>2</v>
      </c>
      <c r="G510" t="n">
        <v>490</v>
      </c>
      <c r="H510" t="n">
        <v>32.08</v>
      </c>
      <c r="I510" t="inlineStr">
        <is>
          <t>credit_card</t>
        </is>
      </c>
      <c r="J510" t="n">
        <v>8</v>
      </c>
      <c r="K510" t="inlineStr">
        <is>
          <t>On Time</t>
        </is>
      </c>
      <c r="L510" t="n">
        <v>5</v>
      </c>
      <c r="M510">
        <f>VLOOKUP(D510,State_Lookup!$A$2:$B$28,2,FALSE)</f>
        <v/>
      </c>
    </row>
    <row r="511">
      <c r="A511" t="inlineStr">
        <is>
          <t>4d3acbe72723c00c24fdbf452160d13b</t>
        </is>
      </c>
      <c r="B511" t="inlineStr">
        <is>
          <t>2017-05-19</t>
        </is>
      </c>
      <c r="C511" t="inlineStr">
        <is>
          <t>2017-05</t>
        </is>
      </c>
      <c r="D511" t="inlineStr">
        <is>
          <t>SP</t>
        </is>
      </c>
      <c r="E511" t="inlineStr">
        <is>
          <t>health_beauty</t>
        </is>
      </c>
      <c r="F511" t="n">
        <v>1</v>
      </c>
      <c r="G511" t="n">
        <v>89.90000000000001</v>
      </c>
      <c r="H511" t="n">
        <v>17.2</v>
      </c>
      <c r="I511" t="inlineStr">
        <is>
          <t>credit_card</t>
        </is>
      </c>
      <c r="J511" t="n">
        <v>10</v>
      </c>
      <c r="K511" t="inlineStr">
        <is>
          <t>On Time</t>
        </is>
      </c>
      <c r="L511" t="n">
        <v>5</v>
      </c>
      <c r="M511">
        <f>VLOOKUP(D511,State_Lookup!$A$2:$B$28,2,FALSE)</f>
        <v/>
      </c>
    </row>
    <row r="512">
      <c r="A512" t="inlineStr">
        <is>
          <t>404840d41d032edfc533e78d6e6ee416</t>
        </is>
      </c>
      <c r="B512" t="inlineStr">
        <is>
          <t>2017-05-19</t>
        </is>
      </c>
      <c r="C512" t="inlineStr">
        <is>
          <t>2017-05</t>
        </is>
      </c>
      <c r="D512" t="inlineStr">
        <is>
          <t>MG</t>
        </is>
      </c>
      <c r="E512" t="inlineStr">
        <is>
          <t>cool_stuff</t>
        </is>
      </c>
      <c r="F512" t="n">
        <v>1</v>
      </c>
      <c r="G512" t="n">
        <v>119.99</v>
      </c>
      <c r="H512" t="n">
        <v>13.86</v>
      </c>
      <c r="I512" t="inlineStr">
        <is>
          <t>credit_card</t>
        </is>
      </c>
      <c r="J512" t="n">
        <v>6</v>
      </c>
      <c r="K512" t="inlineStr">
        <is>
          <t>On Time</t>
        </is>
      </c>
      <c r="L512" t="n">
        <v>5</v>
      </c>
      <c r="M512">
        <f>VLOOKUP(D512,State_Lookup!$A$2:$B$28,2,FALSE)</f>
        <v/>
      </c>
    </row>
    <row r="513">
      <c r="A513" t="inlineStr">
        <is>
          <t>7d514be6da81debca0ed96cb31d6ed12</t>
        </is>
      </c>
      <c r="B513" t="inlineStr">
        <is>
          <t>2017-05-19</t>
        </is>
      </c>
      <c r="C513" t="inlineStr">
        <is>
          <t>2017-05</t>
        </is>
      </c>
      <c r="D513" t="inlineStr">
        <is>
          <t>SP</t>
        </is>
      </c>
      <c r="E513" t="inlineStr">
        <is>
          <t>perfumery</t>
        </is>
      </c>
      <c r="F513" t="n">
        <v>1</v>
      </c>
      <c r="G513" t="n">
        <v>19.99</v>
      </c>
      <c r="H513" t="n">
        <v>7.78</v>
      </c>
      <c r="I513" t="inlineStr">
        <is>
          <t>credit_card</t>
        </is>
      </c>
      <c r="J513" t="n">
        <v>4</v>
      </c>
      <c r="K513" t="inlineStr">
        <is>
          <t>On Time</t>
        </is>
      </c>
      <c r="L513" t="n">
        <v>5</v>
      </c>
      <c r="M513">
        <f>VLOOKUP(D513,State_Lookup!$A$2:$B$28,2,FALSE)</f>
        <v/>
      </c>
    </row>
    <row r="514">
      <c r="A514" t="inlineStr">
        <is>
          <t>3734ef852a0ffc47fd80c97740466f68</t>
        </is>
      </c>
      <c r="B514" t="inlineStr">
        <is>
          <t>2017-05-19</t>
        </is>
      </c>
      <c r="C514" t="inlineStr">
        <is>
          <t>2017-05</t>
        </is>
      </c>
      <c r="D514" t="inlineStr">
        <is>
          <t>SP</t>
        </is>
      </c>
      <c r="E514" t="inlineStr">
        <is>
          <t>computers_accessories</t>
        </is>
      </c>
      <c r="F514" t="n">
        <v>1</v>
      </c>
      <c r="G514" t="n">
        <v>349</v>
      </c>
      <c r="H514" t="n">
        <v>14.78</v>
      </c>
      <c r="I514" t="inlineStr">
        <is>
          <t>credit_card</t>
        </is>
      </c>
      <c r="J514" t="n">
        <v>12</v>
      </c>
      <c r="K514" t="inlineStr">
        <is>
          <t>On Time</t>
        </is>
      </c>
      <c r="L514" t="n">
        <v>5</v>
      </c>
      <c r="M514">
        <f>VLOOKUP(D514,State_Lookup!$A$2:$B$28,2,FALSE)</f>
        <v/>
      </c>
    </row>
    <row r="515">
      <c r="A515" t="inlineStr">
        <is>
          <t>3749e1bbc7bc1d318446e7c177727a01</t>
        </is>
      </c>
      <c r="B515" t="inlineStr">
        <is>
          <t>2017-05-19</t>
        </is>
      </c>
      <c r="C515" t="inlineStr">
        <is>
          <t>2017-05</t>
        </is>
      </c>
      <c r="D515" t="inlineStr">
        <is>
          <t>RJ</t>
        </is>
      </c>
      <c r="E515" t="inlineStr">
        <is>
          <t>furniture_decor</t>
        </is>
      </c>
      <c r="F515" t="n">
        <v>1</v>
      </c>
      <c r="G515" t="n">
        <v>135</v>
      </c>
      <c r="H515" t="n">
        <v>20.44</v>
      </c>
      <c r="I515" t="inlineStr">
        <is>
          <t>credit_card</t>
        </is>
      </c>
      <c r="J515" t="n">
        <v>10</v>
      </c>
      <c r="K515" t="inlineStr">
        <is>
          <t>On Time</t>
        </is>
      </c>
      <c r="L515" t="n">
        <v>5</v>
      </c>
      <c r="M515">
        <f>VLOOKUP(D515,State_Lookup!$A$2:$B$28,2,FALSE)</f>
        <v/>
      </c>
    </row>
    <row r="516">
      <c r="A516" t="inlineStr">
        <is>
          <t>04d0a4d84d5dc9cc343ca4d0e4120a4d</t>
        </is>
      </c>
      <c r="B516" t="inlineStr">
        <is>
          <t>2017-05-20</t>
        </is>
      </c>
      <c r="C516" t="inlineStr">
        <is>
          <t>2017-05</t>
        </is>
      </c>
      <c r="D516" t="inlineStr">
        <is>
          <t>MG</t>
        </is>
      </c>
      <c r="E516" t="inlineStr">
        <is>
          <t>toys</t>
        </is>
      </c>
      <c r="F516" t="n">
        <v>1</v>
      </c>
      <c r="G516" t="n">
        <v>52.9</v>
      </c>
      <c r="H516" t="n">
        <v>20.86</v>
      </c>
      <c r="I516" t="inlineStr">
        <is>
          <t>credit_card</t>
        </is>
      </c>
      <c r="J516" t="n">
        <v>8</v>
      </c>
      <c r="K516" t="inlineStr">
        <is>
          <t>On Time</t>
        </is>
      </c>
      <c r="L516" t="n">
        <v>5</v>
      </c>
      <c r="M516">
        <f>VLOOKUP(D516,State_Lookup!$A$2:$B$28,2,FALSE)</f>
        <v/>
      </c>
    </row>
    <row r="517">
      <c r="A517" t="inlineStr">
        <is>
          <t>20b6d93cb808407fbfa6438a2582538c</t>
        </is>
      </c>
      <c r="B517" t="inlineStr">
        <is>
          <t>2017-05-20</t>
        </is>
      </c>
      <c r="C517" t="inlineStr">
        <is>
          <t>2017-05</t>
        </is>
      </c>
      <c r="D517" t="inlineStr">
        <is>
          <t>SP</t>
        </is>
      </c>
      <c r="E517" t="inlineStr">
        <is>
          <t>cool_stuff</t>
        </is>
      </c>
      <c r="F517" t="n">
        <v>1</v>
      </c>
      <c r="G517" t="n">
        <v>99.98999999999999</v>
      </c>
      <c r="H517" t="n">
        <v>9.51</v>
      </c>
      <c r="I517" t="inlineStr">
        <is>
          <t>credit_card</t>
        </is>
      </c>
      <c r="J517" t="n">
        <v>3</v>
      </c>
      <c r="K517" t="inlineStr">
        <is>
          <t>On Time</t>
        </is>
      </c>
      <c r="L517" t="n">
        <v>5</v>
      </c>
      <c r="M517">
        <f>VLOOKUP(D517,State_Lookup!$A$2:$B$28,2,FALSE)</f>
        <v/>
      </c>
    </row>
    <row r="518">
      <c r="A518" t="inlineStr">
        <is>
          <t>93be546e44a3791eed28fb2e62d9c319</t>
        </is>
      </c>
      <c r="B518" t="inlineStr">
        <is>
          <t>2017-05-20</t>
        </is>
      </c>
      <c r="C518" t="inlineStr">
        <is>
          <t>2017-05</t>
        </is>
      </c>
      <c r="D518" t="inlineStr">
        <is>
          <t>MG</t>
        </is>
      </c>
      <c r="E518" t="inlineStr">
        <is>
          <t>toys</t>
        </is>
      </c>
      <c r="F518" t="n">
        <v>1</v>
      </c>
      <c r="G518" t="n">
        <v>144.9</v>
      </c>
      <c r="H518" t="n">
        <v>13.14</v>
      </c>
      <c r="I518" t="inlineStr">
        <is>
          <t>credit_card</t>
        </is>
      </c>
      <c r="J518" t="n">
        <v>4</v>
      </c>
      <c r="K518" t="inlineStr">
        <is>
          <t>On Time</t>
        </is>
      </c>
      <c r="L518" t="n">
        <v>5</v>
      </c>
      <c r="M518">
        <f>VLOOKUP(D518,State_Lookup!$A$2:$B$28,2,FALSE)</f>
        <v/>
      </c>
    </row>
    <row r="519">
      <c r="A519" t="inlineStr">
        <is>
          <t>1ca9b19a39f0b18a4a1470eba6eb5cda</t>
        </is>
      </c>
      <c r="B519" t="inlineStr">
        <is>
          <t>2017-05-20</t>
        </is>
      </c>
      <c r="C519" t="inlineStr">
        <is>
          <t>2017-05</t>
        </is>
      </c>
      <c r="D519" t="inlineStr">
        <is>
          <t>RJ</t>
        </is>
      </c>
      <c r="E519" t="inlineStr">
        <is>
          <t>computers_accessories</t>
        </is>
      </c>
      <c r="F519" t="n">
        <v>1</v>
      </c>
      <c r="G519" t="n">
        <v>93.90000000000001</v>
      </c>
      <c r="H519" t="n">
        <v>17.1</v>
      </c>
      <c r="I519" t="inlineStr">
        <is>
          <t>credit_card</t>
        </is>
      </c>
      <c r="J519" t="n">
        <v>8</v>
      </c>
      <c r="K519" t="inlineStr">
        <is>
          <t>On Time</t>
        </is>
      </c>
      <c r="L519" t="n">
        <v>4</v>
      </c>
      <c r="M519">
        <f>VLOOKUP(D519,State_Lookup!$A$2:$B$28,2,FALSE)</f>
        <v/>
      </c>
    </row>
    <row r="520">
      <c r="A520" t="inlineStr">
        <is>
          <t>cd746016263cf0a8ac68de73ee79506d</t>
        </is>
      </c>
      <c r="B520" t="inlineStr">
        <is>
          <t>2017-05-20</t>
        </is>
      </c>
      <c r="C520" t="inlineStr">
        <is>
          <t>2017-05</t>
        </is>
      </c>
      <c r="D520" t="inlineStr">
        <is>
          <t>MG</t>
        </is>
      </c>
      <c r="E520" t="inlineStr">
        <is>
          <t>luggage_accessories</t>
        </is>
      </c>
      <c r="F520" t="n">
        <v>1</v>
      </c>
      <c r="G520" t="n">
        <v>259.9</v>
      </c>
      <c r="H520" t="n">
        <v>86.98</v>
      </c>
      <c r="I520" t="inlineStr">
        <is>
          <t>credit_card</t>
        </is>
      </c>
      <c r="J520" t="n">
        <v>10</v>
      </c>
      <c r="K520" t="inlineStr">
        <is>
          <t>On Time</t>
        </is>
      </c>
      <c r="L520" t="n">
        <v>5</v>
      </c>
      <c r="M520">
        <f>VLOOKUP(D520,State_Lookup!$A$2:$B$28,2,FALSE)</f>
        <v/>
      </c>
    </row>
    <row r="521">
      <c r="A521" t="inlineStr">
        <is>
          <t>ee5dbc8989dbc768ce58b68213bfc285</t>
        </is>
      </c>
      <c r="B521" t="inlineStr">
        <is>
          <t>2017-05-20</t>
        </is>
      </c>
      <c r="C521" t="inlineStr">
        <is>
          <t>2017-05</t>
        </is>
      </c>
      <c r="D521" t="inlineStr">
        <is>
          <t>SP</t>
        </is>
      </c>
      <c r="E521" t="inlineStr">
        <is>
          <t>housewares</t>
        </is>
      </c>
      <c r="F521" t="n">
        <v>1</v>
      </c>
      <c r="G521" t="n">
        <v>89.98999999999999</v>
      </c>
      <c r="H521" t="n">
        <v>13.65</v>
      </c>
      <c r="I521" t="inlineStr">
        <is>
          <t>credit_card</t>
        </is>
      </c>
      <c r="J521" t="n">
        <v>6</v>
      </c>
      <c r="K521" t="inlineStr">
        <is>
          <t>On Time</t>
        </is>
      </c>
      <c r="L521" t="n">
        <v>5</v>
      </c>
      <c r="M521">
        <f>VLOOKUP(D521,State_Lookup!$A$2:$B$28,2,FALSE)</f>
        <v/>
      </c>
    </row>
    <row r="522">
      <c r="A522" t="inlineStr">
        <is>
          <t>90ad1e3d82f91914b8daf79afc7d79a9</t>
        </is>
      </c>
      <c r="B522" t="inlineStr">
        <is>
          <t>2017-05-21</t>
        </is>
      </c>
      <c r="C522" t="inlineStr">
        <is>
          <t>2017-05</t>
        </is>
      </c>
      <c r="D522" t="inlineStr">
        <is>
          <t>PR</t>
        </is>
      </c>
      <c r="E522" t="inlineStr">
        <is>
          <t>sports_leisure</t>
        </is>
      </c>
      <c r="F522" t="n">
        <v>1</v>
      </c>
      <c r="G522" t="n">
        <v>59.99</v>
      </c>
      <c r="H522" t="n">
        <v>16.18</v>
      </c>
      <c r="I522" t="inlineStr">
        <is>
          <t>boleto</t>
        </is>
      </c>
      <c r="J522" t="n">
        <v>8</v>
      </c>
      <c r="K522" t="inlineStr">
        <is>
          <t>On Time</t>
        </is>
      </c>
      <c r="L522" t="n">
        <v>5</v>
      </c>
      <c r="M522">
        <f>VLOOKUP(D522,State_Lookup!$A$2:$B$28,2,FALSE)</f>
        <v/>
      </c>
    </row>
    <row r="523">
      <c r="A523" t="inlineStr">
        <is>
          <t>fa6d6d6a627b660b3cfc54477126473f</t>
        </is>
      </c>
      <c r="B523" t="inlineStr">
        <is>
          <t>2017-05-21</t>
        </is>
      </c>
      <c r="C523" t="inlineStr">
        <is>
          <t>2017-05</t>
        </is>
      </c>
      <c r="D523" t="inlineStr">
        <is>
          <t>SP</t>
        </is>
      </c>
      <c r="E523" t="inlineStr">
        <is>
          <t>telephony</t>
        </is>
      </c>
      <c r="F523" t="n">
        <v>1</v>
      </c>
      <c r="G523" t="n">
        <v>37.99</v>
      </c>
      <c r="H523" t="n">
        <v>11.85</v>
      </c>
      <c r="I523" t="inlineStr">
        <is>
          <t>credit_card</t>
        </is>
      </c>
      <c r="J523" t="n">
        <v>5</v>
      </c>
      <c r="K523" t="inlineStr">
        <is>
          <t>On Time</t>
        </is>
      </c>
      <c r="L523" t="n">
        <v>3</v>
      </c>
      <c r="M523">
        <f>VLOOKUP(D523,State_Lookup!$A$2:$B$28,2,FALSE)</f>
        <v/>
      </c>
    </row>
    <row r="524">
      <c r="A524" t="inlineStr">
        <is>
          <t>385949d678cba16e50726d65f1743d7c</t>
        </is>
      </c>
      <c r="B524" t="inlineStr">
        <is>
          <t>2017-05-21</t>
        </is>
      </c>
      <c r="C524" t="inlineStr">
        <is>
          <t>2017-05</t>
        </is>
      </c>
      <c r="D524" t="inlineStr">
        <is>
          <t>SP</t>
        </is>
      </c>
      <c r="E524" t="inlineStr">
        <is>
          <t>bed_bath_table</t>
        </is>
      </c>
      <c r="F524" t="n">
        <v>1</v>
      </c>
      <c r="G524" t="n">
        <v>59.9</v>
      </c>
      <c r="H524" t="n">
        <v>18</v>
      </c>
      <c r="I524" t="inlineStr">
        <is>
          <t>voucher</t>
        </is>
      </c>
      <c r="J524" t="n">
        <v>8</v>
      </c>
      <c r="K524" t="inlineStr">
        <is>
          <t>On Time</t>
        </is>
      </c>
      <c r="L524" t="n">
        <v>5</v>
      </c>
      <c r="M524">
        <f>VLOOKUP(D524,State_Lookup!$A$2:$B$28,2,FALSE)</f>
        <v/>
      </c>
    </row>
    <row r="525">
      <c r="A525" t="inlineStr">
        <is>
          <t>4ebf1b3adfeef9910d4580cf4feb91b1</t>
        </is>
      </c>
      <c r="B525" t="inlineStr">
        <is>
          <t>2017-05-21</t>
        </is>
      </c>
      <c r="C525" t="inlineStr">
        <is>
          <t>2017-05</t>
        </is>
      </c>
      <c r="D525" t="inlineStr">
        <is>
          <t>RJ</t>
        </is>
      </c>
      <c r="E525" t="inlineStr">
        <is>
          <t>bed_bath_table</t>
        </is>
      </c>
      <c r="F525" t="n">
        <v>1</v>
      </c>
      <c r="G525" t="n">
        <v>158.2</v>
      </c>
      <c r="H525" t="n">
        <v>18.36</v>
      </c>
      <c r="I525" t="inlineStr">
        <is>
          <t>credit_card</t>
        </is>
      </c>
      <c r="J525" t="n">
        <v>9</v>
      </c>
      <c r="K525" t="inlineStr">
        <is>
          <t>On Time</t>
        </is>
      </c>
      <c r="L525" t="n">
        <v>5</v>
      </c>
      <c r="M525">
        <f>VLOOKUP(D525,State_Lookup!$A$2:$B$28,2,FALSE)</f>
        <v/>
      </c>
    </row>
    <row r="526">
      <c r="A526" t="inlineStr">
        <is>
          <t>bf737c2aafd98353171a777c526656df</t>
        </is>
      </c>
      <c r="B526" t="inlineStr">
        <is>
          <t>2017-05-21</t>
        </is>
      </c>
      <c r="C526" t="inlineStr">
        <is>
          <t>2017-05</t>
        </is>
      </c>
      <c r="D526" t="inlineStr">
        <is>
          <t>SP</t>
        </is>
      </c>
      <c r="E526" t="inlineStr">
        <is>
          <t>fashion_bags_accessories</t>
        </is>
      </c>
      <c r="F526" t="n">
        <v>1</v>
      </c>
      <c r="G526" t="n">
        <v>19.9</v>
      </c>
      <c r="H526" t="n">
        <v>14.1</v>
      </c>
      <c r="I526" t="inlineStr">
        <is>
          <t>voucher</t>
        </is>
      </c>
      <c r="J526" t="n">
        <v>9</v>
      </c>
      <c r="K526" t="inlineStr">
        <is>
          <t>On Time</t>
        </is>
      </c>
      <c r="L526" t="n">
        <v>5</v>
      </c>
      <c r="M526">
        <f>VLOOKUP(D526,State_Lookup!$A$2:$B$28,2,FALSE)</f>
        <v/>
      </c>
    </row>
    <row r="527">
      <c r="A527" t="inlineStr">
        <is>
          <t>07adb4d17fca01935d0590d775e9569f</t>
        </is>
      </c>
      <c r="B527" t="inlineStr">
        <is>
          <t>2017-05-21</t>
        </is>
      </c>
      <c r="C527" t="inlineStr">
        <is>
          <t>2017-05</t>
        </is>
      </c>
      <c r="D527" t="inlineStr">
        <is>
          <t>PR</t>
        </is>
      </c>
      <c r="E527" t="inlineStr">
        <is>
          <t>unknown</t>
        </is>
      </c>
      <c r="F527" t="n">
        <v>1</v>
      </c>
      <c r="G527" t="n">
        <v>69.90000000000001</v>
      </c>
      <c r="H527" t="n">
        <v>19.73</v>
      </c>
      <c r="I527" t="inlineStr">
        <is>
          <t>boleto</t>
        </is>
      </c>
      <c r="J527" t="n">
        <v>15</v>
      </c>
      <c r="K527" t="inlineStr">
        <is>
          <t>On Time</t>
        </is>
      </c>
      <c r="L527" t="n">
        <v>4</v>
      </c>
      <c r="M527">
        <f>VLOOKUP(D527,State_Lookup!$A$2:$B$28,2,FALSE)</f>
        <v/>
      </c>
    </row>
    <row r="528">
      <c r="A528" t="inlineStr">
        <is>
          <t>62d3014a7e5b4f51c5f2bb713775aada</t>
        </is>
      </c>
      <c r="B528" t="inlineStr">
        <is>
          <t>2017-05-21</t>
        </is>
      </c>
      <c r="C528" t="inlineStr">
        <is>
          <t>2017-05</t>
        </is>
      </c>
      <c r="D528" t="inlineStr">
        <is>
          <t>SP</t>
        </is>
      </c>
      <c r="E528" t="inlineStr">
        <is>
          <t>auto</t>
        </is>
      </c>
      <c r="F528" t="n">
        <v>1</v>
      </c>
      <c r="G528" t="n">
        <v>1199.99</v>
      </c>
      <c r="H528" t="n">
        <v>33.43</v>
      </c>
      <c r="I528" t="inlineStr">
        <is>
          <t>credit_card</t>
        </is>
      </c>
      <c r="J528" t="n">
        <v>8</v>
      </c>
      <c r="K528" t="inlineStr">
        <is>
          <t>On Time</t>
        </is>
      </c>
      <c r="L528" t="n">
        <v>2</v>
      </c>
      <c r="M528">
        <f>VLOOKUP(D528,State_Lookup!$A$2:$B$28,2,FALSE)</f>
        <v/>
      </c>
    </row>
    <row r="529">
      <c r="A529" t="inlineStr">
        <is>
          <t>f124bd0275e05b559aee8d1271442d1b</t>
        </is>
      </c>
      <c r="B529" t="inlineStr">
        <is>
          <t>2017-05-21</t>
        </is>
      </c>
      <c r="C529" t="inlineStr">
        <is>
          <t>2017-05</t>
        </is>
      </c>
      <c r="D529" t="inlineStr">
        <is>
          <t>RJ</t>
        </is>
      </c>
      <c r="E529" t="inlineStr">
        <is>
          <t>luggage_accessories</t>
        </is>
      </c>
      <c r="F529" t="n">
        <v>1</v>
      </c>
      <c r="G529" t="n">
        <v>109.9</v>
      </c>
      <c r="H529" t="n">
        <v>14.52</v>
      </c>
      <c r="I529" t="inlineStr">
        <is>
          <t>credit_card</t>
        </is>
      </c>
      <c r="J529" t="n">
        <v>7</v>
      </c>
      <c r="K529" t="inlineStr">
        <is>
          <t>On Time</t>
        </is>
      </c>
      <c r="L529" t="n">
        <v>5</v>
      </c>
      <c r="M529">
        <f>VLOOKUP(D529,State_Lookup!$A$2:$B$28,2,FALSE)</f>
        <v/>
      </c>
    </row>
    <row r="530">
      <c r="A530" t="inlineStr">
        <is>
          <t>b4c035ccb21c24eac46fc9298084e1f7</t>
        </is>
      </c>
      <c r="B530" t="inlineStr">
        <is>
          <t>2017-05-21</t>
        </is>
      </c>
      <c r="C530" t="inlineStr">
        <is>
          <t>2017-05</t>
        </is>
      </c>
      <c r="D530" t="inlineStr">
        <is>
          <t>MG</t>
        </is>
      </c>
      <c r="E530" t="inlineStr">
        <is>
          <t>watches_gifts</t>
        </is>
      </c>
      <c r="F530" t="n">
        <v>1</v>
      </c>
      <c r="G530" t="n">
        <v>795</v>
      </c>
      <c r="H530" t="n">
        <v>21.33</v>
      </c>
      <c r="I530" t="inlineStr">
        <is>
          <t>boleto</t>
        </is>
      </c>
      <c r="J530" t="n">
        <v>8</v>
      </c>
      <c r="K530" t="inlineStr">
        <is>
          <t>On Time</t>
        </is>
      </c>
      <c r="L530" t="n">
        <v>5</v>
      </c>
      <c r="M530">
        <f>VLOOKUP(D530,State_Lookup!$A$2:$B$28,2,FALSE)</f>
        <v/>
      </c>
    </row>
    <row r="531">
      <c r="A531" t="inlineStr">
        <is>
          <t>cc1fe613e2c3dce712d71a852ee6726f</t>
        </is>
      </c>
      <c r="B531" t="inlineStr">
        <is>
          <t>2017-05-22</t>
        </is>
      </c>
      <c r="C531" t="inlineStr">
        <is>
          <t>2017-05</t>
        </is>
      </c>
      <c r="D531" t="inlineStr">
        <is>
          <t>PR</t>
        </is>
      </c>
      <c r="E531" t="inlineStr">
        <is>
          <t>perfumery</t>
        </is>
      </c>
      <c r="F531" t="n">
        <v>1</v>
      </c>
      <c r="G531" t="n">
        <v>129.9</v>
      </c>
      <c r="H531" t="n">
        <v>18.16</v>
      </c>
      <c r="I531" t="inlineStr">
        <is>
          <t>credit_card</t>
        </is>
      </c>
      <c r="J531" t="n">
        <v>6</v>
      </c>
      <c r="K531" t="inlineStr">
        <is>
          <t>On Time</t>
        </is>
      </c>
      <c r="L531" t="n">
        <v>4</v>
      </c>
      <c r="M531">
        <f>VLOOKUP(D531,State_Lookup!$A$2:$B$28,2,FALSE)</f>
        <v/>
      </c>
    </row>
    <row r="532">
      <c r="A532" t="inlineStr">
        <is>
          <t>53893bc57fd2d4ff7dc5e76ad4773540</t>
        </is>
      </c>
      <c r="B532" t="inlineStr">
        <is>
          <t>2017-05-22</t>
        </is>
      </c>
      <c r="C532" t="inlineStr">
        <is>
          <t>2017-05</t>
        </is>
      </c>
      <c r="D532" t="inlineStr">
        <is>
          <t>RS</t>
        </is>
      </c>
      <c r="E532" t="inlineStr">
        <is>
          <t>fashion_shoes</t>
        </is>
      </c>
      <c r="F532" t="n">
        <v>1</v>
      </c>
      <c r="G532" t="n">
        <v>29.9</v>
      </c>
      <c r="H532" t="n">
        <v>14.1</v>
      </c>
      <c r="I532" t="inlineStr">
        <is>
          <t>credit_card</t>
        </is>
      </c>
      <c r="J532" t="n">
        <v>10</v>
      </c>
      <c r="K532" t="inlineStr">
        <is>
          <t>On Time</t>
        </is>
      </c>
      <c r="L532" t="n">
        <v>5</v>
      </c>
      <c r="M532">
        <f>VLOOKUP(D532,State_Lookup!$A$2:$B$28,2,FALSE)</f>
        <v/>
      </c>
    </row>
    <row r="533">
      <c r="A533" t="inlineStr">
        <is>
          <t>cef44224a07647470c1afcdbeaa43c92</t>
        </is>
      </c>
      <c r="B533" t="inlineStr">
        <is>
          <t>2017-05-22</t>
        </is>
      </c>
      <c r="C533" t="inlineStr">
        <is>
          <t>2017-05</t>
        </is>
      </c>
      <c r="D533" t="inlineStr">
        <is>
          <t>SP</t>
        </is>
      </c>
      <c r="E533" t="inlineStr">
        <is>
          <t>cool_stuff</t>
        </is>
      </c>
      <c r="F533" t="n">
        <v>1</v>
      </c>
      <c r="G533" t="n">
        <v>45.9</v>
      </c>
      <c r="H533" t="n">
        <v>8.720000000000001</v>
      </c>
      <c r="I533" t="inlineStr">
        <is>
          <t>credit_card</t>
        </is>
      </c>
      <c r="J533" t="n">
        <v>3</v>
      </c>
      <c r="K533" t="inlineStr">
        <is>
          <t>On Time</t>
        </is>
      </c>
      <c r="L533" t="n">
        <v>5</v>
      </c>
      <c r="M533">
        <f>VLOOKUP(D533,State_Lookup!$A$2:$B$28,2,FALSE)</f>
        <v/>
      </c>
    </row>
    <row r="534">
      <c r="A534" t="inlineStr">
        <is>
          <t>54ac92ea720b2574ecf18f372f41ea71</t>
        </is>
      </c>
      <c r="B534" t="inlineStr">
        <is>
          <t>2017-05-22</t>
        </is>
      </c>
      <c r="C534" t="inlineStr">
        <is>
          <t>2017-05</t>
        </is>
      </c>
      <c r="D534" t="inlineStr">
        <is>
          <t>PR</t>
        </is>
      </c>
      <c r="E534" t="inlineStr">
        <is>
          <t>garden_tools</t>
        </is>
      </c>
      <c r="F534" t="n">
        <v>1</v>
      </c>
      <c r="G534" t="n">
        <v>28.28</v>
      </c>
      <c r="H534" t="n">
        <v>16.11</v>
      </c>
      <c r="I534" t="inlineStr">
        <is>
          <t>voucher</t>
        </is>
      </c>
      <c r="J534" t="n">
        <v>7</v>
      </c>
      <c r="K534" t="inlineStr">
        <is>
          <t>On Time</t>
        </is>
      </c>
      <c r="L534" t="n">
        <v>5</v>
      </c>
      <c r="M534">
        <f>VLOOKUP(D534,State_Lookup!$A$2:$B$28,2,FALSE)</f>
        <v/>
      </c>
    </row>
    <row r="535">
      <c r="A535" t="inlineStr">
        <is>
          <t>2e6ca1196243627f2157c673a686ba36</t>
        </is>
      </c>
      <c r="B535" t="inlineStr">
        <is>
          <t>2017-05-22</t>
        </is>
      </c>
      <c r="C535" t="inlineStr">
        <is>
          <t>2017-05</t>
        </is>
      </c>
      <c r="D535" t="inlineStr">
        <is>
          <t>SP</t>
        </is>
      </c>
      <c r="E535" t="inlineStr">
        <is>
          <t>bed_bath_table</t>
        </is>
      </c>
      <c r="F535" t="n">
        <v>1</v>
      </c>
      <c r="G535" t="n">
        <v>114.99</v>
      </c>
      <c r="H535" t="n">
        <v>17.51</v>
      </c>
      <c r="I535" t="inlineStr">
        <is>
          <t>credit_card</t>
        </is>
      </c>
      <c r="J535" t="n">
        <v>9</v>
      </c>
      <c r="K535" t="inlineStr">
        <is>
          <t>On Time</t>
        </is>
      </c>
      <c r="L535" t="n">
        <v>5</v>
      </c>
      <c r="M535">
        <f>VLOOKUP(D535,State_Lookup!$A$2:$B$28,2,FALSE)</f>
        <v/>
      </c>
    </row>
    <row r="536">
      <c r="A536" t="inlineStr">
        <is>
          <t>d55ece0f3afa9b57b5a78038efddbbbc</t>
        </is>
      </c>
      <c r="B536" t="inlineStr">
        <is>
          <t>2017-05-22</t>
        </is>
      </c>
      <c r="C536" t="inlineStr">
        <is>
          <t>2017-05</t>
        </is>
      </c>
      <c r="D536" t="inlineStr">
        <is>
          <t>SP</t>
        </is>
      </c>
      <c r="E536" t="inlineStr">
        <is>
          <t>furniture_bedroom</t>
        </is>
      </c>
      <c r="F536" t="n">
        <v>1</v>
      </c>
      <c r="G536" t="n">
        <v>219</v>
      </c>
      <c r="H536" t="n">
        <v>17.58</v>
      </c>
      <c r="I536" t="inlineStr">
        <is>
          <t>boleto</t>
        </is>
      </c>
      <c r="J536" t="n">
        <v>2</v>
      </c>
      <c r="K536" t="inlineStr">
        <is>
          <t>On Time</t>
        </is>
      </c>
      <c r="L536" t="n">
        <v>5</v>
      </c>
      <c r="M536">
        <f>VLOOKUP(D536,State_Lookup!$A$2:$B$28,2,FALSE)</f>
        <v/>
      </c>
    </row>
    <row r="537">
      <c r="A537" t="inlineStr">
        <is>
          <t>2740f9d58dd09ee632344af519b499ac</t>
        </is>
      </c>
      <c r="B537" t="inlineStr">
        <is>
          <t>2017-05-22</t>
        </is>
      </c>
      <c r="C537" t="inlineStr">
        <is>
          <t>2017-05</t>
        </is>
      </c>
      <c r="D537" t="inlineStr">
        <is>
          <t>RJ</t>
        </is>
      </c>
      <c r="E537" t="inlineStr">
        <is>
          <t>sports_leisure</t>
        </is>
      </c>
      <c r="F537" t="n">
        <v>1</v>
      </c>
      <c r="G537" t="n">
        <v>1299.99</v>
      </c>
      <c r="H537" t="n">
        <v>126.82</v>
      </c>
      <c r="I537" t="inlineStr">
        <is>
          <t>credit_card</t>
        </is>
      </c>
      <c r="J537" t="inlineStr"/>
      <c r="K537" t="inlineStr">
        <is>
          <t>Not Delivered</t>
        </is>
      </c>
      <c r="L537" t="n">
        <v>1</v>
      </c>
      <c r="M537">
        <f>VLOOKUP(D537,State_Lookup!$A$2:$B$28,2,FALSE)</f>
        <v/>
      </c>
    </row>
    <row r="538">
      <c r="A538" t="inlineStr">
        <is>
          <t>bbf2756e70a99d07183bcd6fb9ef80f4</t>
        </is>
      </c>
      <c r="B538" t="inlineStr">
        <is>
          <t>2017-05-22</t>
        </is>
      </c>
      <c r="C538" t="inlineStr">
        <is>
          <t>2017-05</t>
        </is>
      </c>
      <c r="D538" t="inlineStr">
        <is>
          <t>SP</t>
        </is>
      </c>
      <c r="E538" t="inlineStr">
        <is>
          <t>garden_tools</t>
        </is>
      </c>
      <c r="F538" t="n">
        <v>1</v>
      </c>
      <c r="G538" t="n">
        <v>449</v>
      </c>
      <c r="H538" t="n">
        <v>23.63</v>
      </c>
      <c r="I538" t="inlineStr">
        <is>
          <t>credit_card</t>
        </is>
      </c>
      <c r="J538" t="n">
        <v>6</v>
      </c>
      <c r="K538" t="inlineStr">
        <is>
          <t>On Time</t>
        </is>
      </c>
      <c r="L538" t="n">
        <v>5</v>
      </c>
      <c r="M538">
        <f>VLOOKUP(D538,State_Lookup!$A$2:$B$28,2,FALSE)</f>
        <v/>
      </c>
    </row>
    <row r="539">
      <c r="A539" t="inlineStr">
        <is>
          <t>ce243573aa83a8e70bb99ca6133a210e</t>
        </is>
      </c>
      <c r="B539" t="inlineStr">
        <is>
          <t>2017-05-23</t>
        </is>
      </c>
      <c r="C539" t="inlineStr">
        <is>
          <t>2017-05</t>
        </is>
      </c>
      <c r="D539" t="inlineStr">
        <is>
          <t>RJ</t>
        </is>
      </c>
      <c r="E539" t="inlineStr">
        <is>
          <t>bed_bath_table</t>
        </is>
      </c>
      <c r="F539" t="n">
        <v>1</v>
      </c>
      <c r="G539" t="n">
        <v>139.9</v>
      </c>
      <c r="H539" t="n">
        <v>25.82</v>
      </c>
      <c r="I539" t="inlineStr">
        <is>
          <t>credit_card</t>
        </is>
      </c>
      <c r="J539" t="n">
        <v>6</v>
      </c>
      <c r="K539" t="inlineStr">
        <is>
          <t>On Time</t>
        </is>
      </c>
      <c r="L539" t="n">
        <v>1</v>
      </c>
      <c r="M539">
        <f>VLOOKUP(D539,State_Lookup!$A$2:$B$28,2,FALSE)</f>
        <v/>
      </c>
    </row>
    <row r="540">
      <c r="A540" t="inlineStr">
        <is>
          <t>973e2efa6a19ac5083691b9deb4c0a51</t>
        </is>
      </c>
      <c r="B540" t="inlineStr">
        <is>
          <t>2017-05-23</t>
        </is>
      </c>
      <c r="C540" t="inlineStr">
        <is>
          <t>2017-05</t>
        </is>
      </c>
      <c r="D540" t="inlineStr">
        <is>
          <t>SP</t>
        </is>
      </c>
      <c r="E540" t="inlineStr">
        <is>
          <t>furniture_decor</t>
        </is>
      </c>
      <c r="F540" t="n">
        <v>1</v>
      </c>
      <c r="G540" t="n">
        <v>29.99</v>
      </c>
      <c r="H540" t="n">
        <v>7.78</v>
      </c>
      <c r="I540" t="inlineStr">
        <is>
          <t>boleto</t>
        </is>
      </c>
      <c r="J540" t="n">
        <v>2</v>
      </c>
      <c r="K540" t="inlineStr">
        <is>
          <t>On Time</t>
        </is>
      </c>
      <c r="L540" t="n">
        <v>5</v>
      </c>
      <c r="M540">
        <f>VLOOKUP(D540,State_Lookup!$A$2:$B$28,2,FALSE)</f>
        <v/>
      </c>
    </row>
    <row r="541">
      <c r="A541" t="inlineStr">
        <is>
          <t>d88817e778e1757d6b7ea060be13a7f3</t>
        </is>
      </c>
      <c r="B541" t="inlineStr">
        <is>
          <t>2017-05-23</t>
        </is>
      </c>
      <c r="C541" t="inlineStr">
        <is>
          <t>2017-05</t>
        </is>
      </c>
      <c r="D541" t="inlineStr">
        <is>
          <t>SP</t>
        </is>
      </c>
      <c r="E541" t="inlineStr">
        <is>
          <t>fashion_bags_accessories</t>
        </is>
      </c>
      <c r="F541" t="n">
        <v>2</v>
      </c>
      <c r="G541" t="n">
        <v>34.8</v>
      </c>
      <c r="H541" t="n">
        <v>30.2</v>
      </c>
      <c r="I541" t="inlineStr">
        <is>
          <t>boleto</t>
        </is>
      </c>
      <c r="J541" t="n">
        <v>9</v>
      </c>
      <c r="K541" t="inlineStr">
        <is>
          <t>On Time</t>
        </is>
      </c>
      <c r="L541" t="n">
        <v>5</v>
      </c>
      <c r="M541">
        <f>VLOOKUP(D541,State_Lookup!$A$2:$B$28,2,FALSE)</f>
        <v/>
      </c>
    </row>
    <row r="542">
      <c r="A542" t="inlineStr">
        <is>
          <t>1824231549dc0859a6ce9f7b7ada733a</t>
        </is>
      </c>
      <c r="B542" t="inlineStr">
        <is>
          <t>2017-05-23</t>
        </is>
      </c>
      <c r="C542" t="inlineStr">
        <is>
          <t>2017-05</t>
        </is>
      </c>
      <c r="D542" t="inlineStr">
        <is>
          <t>SP</t>
        </is>
      </c>
      <c r="E542" t="inlineStr">
        <is>
          <t>furniture_decor</t>
        </is>
      </c>
      <c r="F542" t="n">
        <v>2</v>
      </c>
      <c r="G542" t="n">
        <v>46.98</v>
      </c>
      <c r="H542" t="n">
        <v>49.32</v>
      </c>
      <c r="I542" t="inlineStr">
        <is>
          <t>boleto</t>
        </is>
      </c>
      <c r="J542" t="n">
        <v>7</v>
      </c>
      <c r="K542" t="inlineStr">
        <is>
          <t>On Time</t>
        </is>
      </c>
      <c r="L542" t="n">
        <v>5</v>
      </c>
      <c r="M542">
        <f>VLOOKUP(D542,State_Lookup!$A$2:$B$28,2,FALSE)</f>
        <v/>
      </c>
    </row>
    <row r="543">
      <c r="A543" t="inlineStr">
        <is>
          <t>f33aa647f08ec9623c76b6212be92333</t>
        </is>
      </c>
      <c r="B543" t="inlineStr">
        <is>
          <t>2017-05-23</t>
        </is>
      </c>
      <c r="C543" t="inlineStr">
        <is>
          <t>2017-05</t>
        </is>
      </c>
      <c r="D543" t="inlineStr">
        <is>
          <t>DF</t>
        </is>
      </c>
      <c r="E543" t="inlineStr">
        <is>
          <t>sports_leisure</t>
        </is>
      </c>
      <c r="F543" t="n">
        <v>1</v>
      </c>
      <c r="G543" t="n">
        <v>85</v>
      </c>
      <c r="H543" t="n">
        <v>15.34</v>
      </c>
      <c r="I543" t="inlineStr">
        <is>
          <t>boleto</t>
        </is>
      </c>
      <c r="J543" t="inlineStr"/>
      <c r="K543" t="inlineStr">
        <is>
          <t>Not Delivered</t>
        </is>
      </c>
      <c r="L543" t="n">
        <v>1</v>
      </c>
      <c r="M543">
        <f>VLOOKUP(D543,State_Lookup!$A$2:$B$28,2,FALSE)</f>
        <v/>
      </c>
    </row>
    <row r="544">
      <c r="A544" t="inlineStr">
        <is>
          <t>2f7b0831a3de1c86dfc528f200d7332e</t>
        </is>
      </c>
      <c r="B544" t="inlineStr">
        <is>
          <t>2017-05-23</t>
        </is>
      </c>
      <c r="C544" t="inlineStr">
        <is>
          <t>2017-05</t>
        </is>
      </c>
      <c r="D544" t="inlineStr">
        <is>
          <t>MG</t>
        </is>
      </c>
      <c r="E544" t="inlineStr">
        <is>
          <t>perfumery</t>
        </is>
      </c>
      <c r="F544" t="n">
        <v>2</v>
      </c>
      <c r="G544" t="n">
        <v>113.98</v>
      </c>
      <c r="H544" t="n">
        <v>28.3</v>
      </c>
      <c r="I544" t="inlineStr">
        <is>
          <t>credit_card</t>
        </is>
      </c>
      <c r="J544" t="n">
        <v>6</v>
      </c>
      <c r="K544" t="inlineStr">
        <is>
          <t>On Time</t>
        </is>
      </c>
      <c r="L544" t="n">
        <v>1</v>
      </c>
      <c r="M544">
        <f>VLOOKUP(D544,State_Lookup!$A$2:$B$28,2,FALSE)</f>
        <v/>
      </c>
    </row>
    <row r="545">
      <c r="A545" t="inlineStr">
        <is>
          <t>04211073930bd30b88b8170431a071ed</t>
        </is>
      </c>
      <c r="B545" t="inlineStr">
        <is>
          <t>2017-05-23</t>
        </is>
      </c>
      <c r="C545" t="inlineStr">
        <is>
          <t>2017-05</t>
        </is>
      </c>
      <c r="D545" t="inlineStr">
        <is>
          <t>SC</t>
        </is>
      </c>
      <c r="E545" t="inlineStr">
        <is>
          <t>sports_leisure</t>
        </is>
      </c>
      <c r="F545" t="n">
        <v>1</v>
      </c>
      <c r="G545" t="n">
        <v>18.9</v>
      </c>
      <c r="H545" t="n">
        <v>15.1</v>
      </c>
      <c r="I545" t="inlineStr">
        <is>
          <t>boleto</t>
        </is>
      </c>
      <c r="J545" t="n">
        <v>10</v>
      </c>
      <c r="K545" t="inlineStr">
        <is>
          <t>On Time</t>
        </is>
      </c>
      <c r="L545" t="n">
        <v>5</v>
      </c>
      <c r="M545">
        <f>VLOOKUP(D545,State_Lookup!$A$2:$B$28,2,FALSE)</f>
        <v/>
      </c>
    </row>
    <row r="546">
      <c r="A546" t="inlineStr">
        <is>
          <t>a7736098008bf1d6c7f3e9e72ca06081</t>
        </is>
      </c>
      <c r="B546" t="inlineStr">
        <is>
          <t>2017-05-23</t>
        </is>
      </c>
      <c r="C546" t="inlineStr">
        <is>
          <t>2017-05</t>
        </is>
      </c>
      <c r="D546" t="inlineStr">
        <is>
          <t>SP</t>
        </is>
      </c>
      <c r="E546" t="inlineStr">
        <is>
          <t>bed_bath_table</t>
        </is>
      </c>
      <c r="F546" t="n">
        <v>2</v>
      </c>
      <c r="G546" t="n">
        <v>159.8</v>
      </c>
      <c r="H546" t="n">
        <v>69.44</v>
      </c>
      <c r="I546" t="inlineStr">
        <is>
          <t>credit_card</t>
        </is>
      </c>
      <c r="J546" t="n">
        <v>36</v>
      </c>
      <c r="K546" t="inlineStr">
        <is>
          <t>Late</t>
        </is>
      </c>
      <c r="L546" t="n">
        <v>4</v>
      </c>
      <c r="M546">
        <f>VLOOKUP(D546,State_Lookup!$A$2:$B$28,2,FALSE)</f>
        <v/>
      </c>
    </row>
    <row r="547">
      <c r="A547" t="inlineStr">
        <is>
          <t>a0e6863a821d35dcaeb3eb109f21d443</t>
        </is>
      </c>
      <c r="B547" t="inlineStr">
        <is>
          <t>2017-05-23</t>
        </is>
      </c>
      <c r="C547" t="inlineStr">
        <is>
          <t>2017-05</t>
        </is>
      </c>
      <c r="D547" t="inlineStr">
        <is>
          <t>SP</t>
        </is>
      </c>
      <c r="E547" t="inlineStr">
        <is>
          <t>sports_leisure</t>
        </is>
      </c>
      <c r="F547" t="n">
        <v>1</v>
      </c>
      <c r="G547" t="n">
        <v>65</v>
      </c>
      <c r="H547" t="n">
        <v>15.2</v>
      </c>
      <c r="I547" t="inlineStr">
        <is>
          <t>credit_card</t>
        </is>
      </c>
      <c r="J547" t="n">
        <v>10</v>
      </c>
      <c r="K547" t="inlineStr">
        <is>
          <t>On Time</t>
        </is>
      </c>
      <c r="L547" t="n">
        <v>5</v>
      </c>
      <c r="M547">
        <f>VLOOKUP(D547,State_Lookup!$A$2:$B$28,2,FALSE)</f>
        <v/>
      </c>
    </row>
    <row r="548">
      <c r="A548" t="inlineStr">
        <is>
          <t>262509218257310f675994ae58ffbfa9</t>
        </is>
      </c>
      <c r="B548" t="inlineStr">
        <is>
          <t>2017-05-24</t>
        </is>
      </c>
      <c r="C548" t="inlineStr">
        <is>
          <t>2017-05</t>
        </is>
      </c>
      <c r="D548" t="inlineStr">
        <is>
          <t>RO</t>
        </is>
      </c>
      <c r="E548" t="inlineStr">
        <is>
          <t>telephony</t>
        </is>
      </c>
      <c r="F548" t="n">
        <v>1</v>
      </c>
      <c r="G548" t="n">
        <v>27.9</v>
      </c>
      <c r="H548" t="n">
        <v>21.15</v>
      </c>
      <c r="I548" t="inlineStr">
        <is>
          <t>boleto</t>
        </is>
      </c>
      <c r="J548" t="n">
        <v>19</v>
      </c>
      <c r="K548" t="inlineStr">
        <is>
          <t>On Time</t>
        </is>
      </c>
      <c r="L548" t="inlineStr"/>
      <c r="M548">
        <f>VLOOKUP(D548,State_Lookup!$A$2:$B$28,2,FALSE)</f>
        <v/>
      </c>
    </row>
    <row r="549">
      <c r="A549" t="inlineStr">
        <is>
          <t>5e37bd369f48eb8220fb2d3460f74833</t>
        </is>
      </c>
      <c r="B549" t="inlineStr">
        <is>
          <t>2017-05-24</t>
        </is>
      </c>
      <c r="C549" t="inlineStr">
        <is>
          <t>2017-05</t>
        </is>
      </c>
      <c r="D549" t="inlineStr">
        <is>
          <t>DF</t>
        </is>
      </c>
      <c r="E549" t="inlineStr">
        <is>
          <t>computers_accessories</t>
        </is>
      </c>
      <c r="F549" t="n">
        <v>1</v>
      </c>
      <c r="G549" t="n">
        <v>31.9</v>
      </c>
      <c r="H549" t="n">
        <v>14.1</v>
      </c>
      <c r="I549" t="inlineStr">
        <is>
          <t>voucher</t>
        </is>
      </c>
      <c r="J549" t="n">
        <v>12</v>
      </c>
      <c r="K549" t="inlineStr">
        <is>
          <t>On Time</t>
        </is>
      </c>
      <c r="L549" t="n">
        <v>5</v>
      </c>
      <c r="M549">
        <f>VLOOKUP(D549,State_Lookup!$A$2:$B$28,2,FALSE)</f>
        <v/>
      </c>
    </row>
    <row r="550">
      <c r="A550" t="inlineStr">
        <is>
          <t>3fcef6f64992de28b33bffa27537d868</t>
        </is>
      </c>
      <c r="B550" t="inlineStr">
        <is>
          <t>2017-05-24</t>
        </is>
      </c>
      <c r="C550" t="inlineStr">
        <is>
          <t>2017-05</t>
        </is>
      </c>
      <c r="D550" t="inlineStr">
        <is>
          <t>RJ</t>
        </is>
      </c>
      <c r="E550" t="inlineStr">
        <is>
          <t>cool_stuff</t>
        </is>
      </c>
      <c r="F550" t="n">
        <v>1</v>
      </c>
      <c r="G550" t="n">
        <v>99.98999999999999</v>
      </c>
      <c r="H550" t="n">
        <v>16.95</v>
      </c>
      <c r="I550" t="inlineStr">
        <is>
          <t>credit_card</t>
        </is>
      </c>
      <c r="J550" t="n">
        <v>6</v>
      </c>
      <c r="K550" t="inlineStr">
        <is>
          <t>On Time</t>
        </is>
      </c>
      <c r="L550" t="n">
        <v>4</v>
      </c>
      <c r="M550">
        <f>VLOOKUP(D550,State_Lookup!$A$2:$B$28,2,FALSE)</f>
        <v/>
      </c>
    </row>
    <row r="551">
      <c r="A551" t="inlineStr">
        <is>
          <t>6a5c18ff38627e8e7fd671b499d01426</t>
        </is>
      </c>
      <c r="B551" t="inlineStr">
        <is>
          <t>2017-05-24</t>
        </is>
      </c>
      <c r="C551" t="inlineStr">
        <is>
          <t>2017-05</t>
        </is>
      </c>
      <c r="D551" t="inlineStr">
        <is>
          <t>SP</t>
        </is>
      </c>
      <c r="E551" t="inlineStr">
        <is>
          <t>sports_leisure</t>
        </is>
      </c>
      <c r="F551" t="n">
        <v>1</v>
      </c>
      <c r="G551" t="n">
        <v>39.9</v>
      </c>
      <c r="H551" t="n">
        <v>15.1</v>
      </c>
      <c r="I551" t="inlineStr">
        <is>
          <t>credit_card</t>
        </is>
      </c>
      <c r="J551" t="n">
        <v>8</v>
      </c>
      <c r="K551" t="inlineStr">
        <is>
          <t>On Time</t>
        </is>
      </c>
      <c r="L551" t="n">
        <v>5</v>
      </c>
      <c r="M551">
        <f>VLOOKUP(D551,State_Lookup!$A$2:$B$28,2,FALSE)</f>
        <v/>
      </c>
    </row>
    <row r="552">
      <c r="A552" t="inlineStr">
        <is>
          <t>68f990d7575ee4ce6070c8816664910c</t>
        </is>
      </c>
      <c r="B552" t="inlineStr">
        <is>
          <t>2017-05-24</t>
        </is>
      </c>
      <c r="C552" t="inlineStr">
        <is>
          <t>2017-05</t>
        </is>
      </c>
      <c r="D552" t="inlineStr">
        <is>
          <t>PR</t>
        </is>
      </c>
      <c r="E552" t="inlineStr">
        <is>
          <t>auto</t>
        </is>
      </c>
      <c r="F552" t="n">
        <v>1</v>
      </c>
      <c r="G552" t="n">
        <v>147.9</v>
      </c>
      <c r="H552" t="n">
        <v>27.36</v>
      </c>
      <c r="I552" t="inlineStr">
        <is>
          <t>credit_card</t>
        </is>
      </c>
      <c r="J552" t="n">
        <v>14</v>
      </c>
      <c r="K552" t="inlineStr">
        <is>
          <t>On Time</t>
        </is>
      </c>
      <c r="L552" t="n">
        <v>5</v>
      </c>
      <c r="M552">
        <f>VLOOKUP(D552,State_Lookup!$A$2:$B$28,2,FALSE)</f>
        <v/>
      </c>
    </row>
    <row r="553">
      <c r="A553" t="inlineStr">
        <is>
          <t>7a37faa848114c1dfbe6b90f15af98fa</t>
        </is>
      </c>
      <c r="B553" t="inlineStr">
        <is>
          <t>2017-05-24</t>
        </is>
      </c>
      <c r="C553" t="inlineStr">
        <is>
          <t>2017-05</t>
        </is>
      </c>
      <c r="D553" t="inlineStr">
        <is>
          <t>SP</t>
        </is>
      </c>
      <c r="E553" t="inlineStr">
        <is>
          <t>watches_gifts</t>
        </is>
      </c>
      <c r="F553" t="n">
        <v>1</v>
      </c>
      <c r="G553" t="n">
        <v>198</v>
      </c>
      <c r="H553" t="n">
        <v>16.14</v>
      </c>
      <c r="I553" t="inlineStr">
        <is>
          <t>credit_card</t>
        </is>
      </c>
      <c r="J553" t="n">
        <v>2</v>
      </c>
      <c r="K553" t="inlineStr">
        <is>
          <t>On Time</t>
        </is>
      </c>
      <c r="L553" t="n">
        <v>5</v>
      </c>
      <c r="M553">
        <f>VLOOKUP(D553,State_Lookup!$A$2:$B$28,2,FALSE)</f>
        <v/>
      </c>
    </row>
    <row r="554">
      <c r="A554" t="inlineStr">
        <is>
          <t>bdb7914e757d235eaea872b4c9031509</t>
        </is>
      </c>
      <c r="B554" t="inlineStr">
        <is>
          <t>2017-05-24</t>
        </is>
      </c>
      <c r="C554" t="inlineStr">
        <is>
          <t>2017-05</t>
        </is>
      </c>
      <c r="D554" t="inlineStr">
        <is>
          <t>SP</t>
        </is>
      </c>
      <c r="E554" t="inlineStr">
        <is>
          <t>cool_stuff</t>
        </is>
      </c>
      <c r="F554" t="n">
        <v>1</v>
      </c>
      <c r="G554" t="n">
        <v>239</v>
      </c>
      <c r="H554" t="n">
        <v>17.43</v>
      </c>
      <c r="I554" t="inlineStr">
        <is>
          <t>boleto</t>
        </is>
      </c>
      <c r="J554" t="n">
        <v>11</v>
      </c>
      <c r="K554" t="inlineStr">
        <is>
          <t>On Time</t>
        </is>
      </c>
      <c r="L554" t="n">
        <v>5</v>
      </c>
      <c r="M554">
        <f>VLOOKUP(D554,State_Lookup!$A$2:$B$28,2,FALSE)</f>
        <v/>
      </c>
    </row>
    <row r="555">
      <c r="A555" t="inlineStr">
        <is>
          <t>162e41cca84030fa1901010d70ae0bed</t>
        </is>
      </c>
      <c r="B555" t="inlineStr">
        <is>
          <t>2017-05-24</t>
        </is>
      </c>
      <c r="C555" t="inlineStr">
        <is>
          <t>2017-05</t>
        </is>
      </c>
      <c r="D555" t="inlineStr">
        <is>
          <t>RJ</t>
        </is>
      </c>
      <c r="E555" t="inlineStr">
        <is>
          <t>watches_gifts</t>
        </is>
      </c>
      <c r="F555" t="n">
        <v>1</v>
      </c>
      <c r="G555" t="n">
        <v>125.93</v>
      </c>
      <c r="H555" t="n">
        <v>14.63</v>
      </c>
      <c r="I555" t="inlineStr">
        <is>
          <t>credit_card</t>
        </is>
      </c>
      <c r="J555" t="n">
        <v>6</v>
      </c>
      <c r="K555" t="inlineStr">
        <is>
          <t>On Time</t>
        </is>
      </c>
      <c r="L555" t="n">
        <v>4</v>
      </c>
      <c r="M555">
        <f>VLOOKUP(D555,State_Lookup!$A$2:$B$28,2,FALSE)</f>
        <v/>
      </c>
    </row>
    <row r="556">
      <c r="A556" t="inlineStr">
        <is>
          <t>698c554458e6b44e6f2f1450583c2547</t>
        </is>
      </c>
      <c r="B556" t="inlineStr">
        <is>
          <t>2017-05-25</t>
        </is>
      </c>
      <c r="C556" t="inlineStr">
        <is>
          <t>2017-05</t>
        </is>
      </c>
      <c r="D556" t="inlineStr">
        <is>
          <t>RJ</t>
        </is>
      </c>
      <c r="E556" t="inlineStr">
        <is>
          <t>computers_accessories</t>
        </is>
      </c>
      <c r="F556" t="n">
        <v>1</v>
      </c>
      <c r="G556" t="n">
        <v>790.9</v>
      </c>
      <c r="H556" t="n">
        <v>36.29</v>
      </c>
      <c r="I556" t="inlineStr">
        <is>
          <t>boleto</t>
        </is>
      </c>
      <c r="J556" t="n">
        <v>18</v>
      </c>
      <c r="K556" t="inlineStr">
        <is>
          <t>On Time</t>
        </is>
      </c>
      <c r="L556" t="n">
        <v>4</v>
      </c>
      <c r="M556">
        <f>VLOOKUP(D556,State_Lookup!$A$2:$B$28,2,FALSE)</f>
        <v/>
      </c>
    </row>
    <row r="557">
      <c r="A557" t="inlineStr">
        <is>
          <t>c2c0ccad6e89d372981d2f5f6a13f7a6</t>
        </is>
      </c>
      <c r="B557" t="inlineStr">
        <is>
          <t>2017-05-25</t>
        </is>
      </c>
      <c r="C557" t="inlineStr">
        <is>
          <t>2017-05</t>
        </is>
      </c>
      <c r="D557" t="inlineStr">
        <is>
          <t>MG</t>
        </is>
      </c>
      <c r="E557" t="inlineStr">
        <is>
          <t>cool_stuff</t>
        </is>
      </c>
      <c r="F557" t="n">
        <v>1</v>
      </c>
      <c r="G557" t="n">
        <v>99.98999999999999</v>
      </c>
      <c r="H557" t="n">
        <v>16.46</v>
      </c>
      <c r="I557" t="inlineStr">
        <is>
          <t>credit_card</t>
        </is>
      </c>
      <c r="J557" t="n">
        <v>6</v>
      </c>
      <c r="K557" t="inlineStr">
        <is>
          <t>On Time</t>
        </is>
      </c>
      <c r="L557" t="n">
        <v>5</v>
      </c>
      <c r="M557">
        <f>VLOOKUP(D557,State_Lookup!$A$2:$B$28,2,FALSE)</f>
        <v/>
      </c>
    </row>
    <row r="558">
      <c r="A558" t="inlineStr">
        <is>
          <t>71ca30b49c5b34847a66dd05c3a9f8e4</t>
        </is>
      </c>
      <c r="B558" t="inlineStr">
        <is>
          <t>2017-05-26</t>
        </is>
      </c>
      <c r="C558" t="inlineStr">
        <is>
          <t>2017-05</t>
        </is>
      </c>
      <c r="D558" t="inlineStr">
        <is>
          <t>SC</t>
        </is>
      </c>
      <c r="E558" t="inlineStr">
        <is>
          <t>health_beauty</t>
        </is>
      </c>
      <c r="F558" t="n">
        <v>1</v>
      </c>
      <c r="G558" t="n">
        <v>37.9</v>
      </c>
      <c r="H558" t="n">
        <v>16.79</v>
      </c>
      <c r="I558" t="inlineStr">
        <is>
          <t>credit_card</t>
        </is>
      </c>
      <c r="J558" t="n">
        <v>32</v>
      </c>
      <c r="K558" t="inlineStr">
        <is>
          <t>Late</t>
        </is>
      </c>
      <c r="L558" t="n">
        <v>3</v>
      </c>
      <c r="M558">
        <f>VLOOKUP(D558,State_Lookup!$A$2:$B$28,2,FALSE)</f>
        <v/>
      </c>
    </row>
    <row r="559">
      <c r="A559" t="inlineStr">
        <is>
          <t>5e62e50d9a6f7899a6d806fc809d99c8</t>
        </is>
      </c>
      <c r="B559" t="inlineStr">
        <is>
          <t>2017-05-26</t>
        </is>
      </c>
      <c r="C559" t="inlineStr">
        <is>
          <t>2017-05</t>
        </is>
      </c>
      <c r="D559" t="inlineStr">
        <is>
          <t>SP</t>
        </is>
      </c>
      <c r="E559" t="inlineStr">
        <is>
          <t>toys</t>
        </is>
      </c>
      <c r="F559" t="n">
        <v>1</v>
      </c>
      <c r="G559" t="n">
        <v>158.9</v>
      </c>
      <c r="H559" t="n">
        <v>16.74</v>
      </c>
      <c r="I559" t="inlineStr">
        <is>
          <t>credit_card</t>
        </is>
      </c>
      <c r="J559" t="n">
        <v>6</v>
      </c>
      <c r="K559" t="inlineStr">
        <is>
          <t>On Time</t>
        </is>
      </c>
      <c r="L559" t="n">
        <v>1</v>
      </c>
      <c r="M559">
        <f>VLOOKUP(D559,State_Lookup!$A$2:$B$28,2,FALSE)</f>
        <v/>
      </c>
    </row>
    <row r="560">
      <c r="A560" t="inlineStr">
        <is>
          <t>b99b9831e4b244971d7fee83d5a69ee0</t>
        </is>
      </c>
      <c r="B560" t="inlineStr">
        <is>
          <t>2017-05-26</t>
        </is>
      </c>
      <c r="C560" t="inlineStr">
        <is>
          <t>2017-05</t>
        </is>
      </c>
      <c r="D560" t="inlineStr">
        <is>
          <t>PR</t>
        </is>
      </c>
      <c r="E560" t="inlineStr">
        <is>
          <t>bed_bath_table</t>
        </is>
      </c>
      <c r="F560" t="n">
        <v>1</v>
      </c>
      <c r="G560" t="n">
        <v>49.9</v>
      </c>
      <c r="H560" t="n">
        <v>15.1</v>
      </c>
      <c r="I560" t="inlineStr">
        <is>
          <t>credit_card</t>
        </is>
      </c>
      <c r="J560" t="n">
        <v>16</v>
      </c>
      <c r="K560" t="inlineStr">
        <is>
          <t>On Time</t>
        </is>
      </c>
      <c r="L560" t="n">
        <v>2</v>
      </c>
      <c r="M560">
        <f>VLOOKUP(D560,State_Lookup!$A$2:$B$28,2,FALSE)</f>
        <v/>
      </c>
    </row>
    <row r="561">
      <c r="A561" t="inlineStr">
        <is>
          <t>fec19bf476e77a007cf78400a667ad64</t>
        </is>
      </c>
      <c r="B561" t="inlineStr">
        <is>
          <t>2017-05-27</t>
        </is>
      </c>
      <c r="C561" t="inlineStr">
        <is>
          <t>2017-05</t>
        </is>
      </c>
      <c r="D561" t="inlineStr">
        <is>
          <t>SP</t>
        </is>
      </c>
      <c r="E561" t="inlineStr">
        <is>
          <t>health_beauty</t>
        </is>
      </c>
      <c r="F561" t="n">
        <v>1</v>
      </c>
      <c r="G561" t="n">
        <v>419.99</v>
      </c>
      <c r="H561" t="n">
        <v>14.44</v>
      </c>
      <c r="I561" t="inlineStr">
        <is>
          <t>credit_card</t>
        </is>
      </c>
      <c r="J561" t="n">
        <v>8</v>
      </c>
      <c r="K561" t="inlineStr">
        <is>
          <t>On Time</t>
        </is>
      </c>
      <c r="L561" t="n">
        <v>5</v>
      </c>
      <c r="M561">
        <f>VLOOKUP(D561,State_Lookup!$A$2:$B$28,2,FALSE)</f>
        <v/>
      </c>
    </row>
    <row r="562">
      <c r="A562" t="inlineStr">
        <is>
          <t>f979343ab80aa950517b9a9950e516ef</t>
        </is>
      </c>
      <c r="B562" t="inlineStr">
        <is>
          <t>2017-05-27</t>
        </is>
      </c>
      <c r="C562" t="inlineStr">
        <is>
          <t>2017-05</t>
        </is>
      </c>
      <c r="D562" t="inlineStr">
        <is>
          <t>RS</t>
        </is>
      </c>
      <c r="E562" t="inlineStr">
        <is>
          <t>stationery</t>
        </is>
      </c>
      <c r="F562" t="n">
        <v>1</v>
      </c>
      <c r="G562" t="n">
        <v>69.90000000000001</v>
      </c>
      <c r="H562" t="n">
        <v>17.74</v>
      </c>
      <c r="I562" t="inlineStr">
        <is>
          <t>credit_card</t>
        </is>
      </c>
      <c r="J562" t="n">
        <v>12</v>
      </c>
      <c r="K562" t="inlineStr">
        <is>
          <t>On Time</t>
        </is>
      </c>
      <c r="L562" t="n">
        <v>4</v>
      </c>
      <c r="M562">
        <f>VLOOKUP(D562,State_Lookup!$A$2:$B$28,2,FALSE)</f>
        <v/>
      </c>
    </row>
    <row r="563">
      <c r="A563" t="inlineStr">
        <is>
          <t>0a02d8b1995030c91c63add1acba1fb2</t>
        </is>
      </c>
      <c r="B563" t="inlineStr">
        <is>
          <t>2017-05-27</t>
        </is>
      </c>
      <c r="C563" t="inlineStr">
        <is>
          <t>2017-05</t>
        </is>
      </c>
      <c r="D563" t="inlineStr">
        <is>
          <t>SP</t>
        </is>
      </c>
      <c r="E563" t="inlineStr">
        <is>
          <t>toys</t>
        </is>
      </c>
      <c r="F563" t="n">
        <v>1</v>
      </c>
      <c r="G563" t="n">
        <v>94.90000000000001</v>
      </c>
      <c r="H563" t="n">
        <v>7.92</v>
      </c>
      <c r="I563" t="inlineStr">
        <is>
          <t>voucher</t>
        </is>
      </c>
      <c r="J563" t="n">
        <v>2</v>
      </c>
      <c r="K563" t="inlineStr">
        <is>
          <t>On Time</t>
        </is>
      </c>
      <c r="L563" t="n">
        <v>5</v>
      </c>
      <c r="M563">
        <f>VLOOKUP(D563,State_Lookup!$A$2:$B$28,2,FALSE)</f>
        <v/>
      </c>
    </row>
    <row r="564">
      <c r="A564" t="inlineStr">
        <is>
          <t>facc1205a81ecb0105f0a0c14bd11899</t>
        </is>
      </c>
      <c r="B564" t="inlineStr">
        <is>
          <t>2017-05-27</t>
        </is>
      </c>
      <c r="C564" t="inlineStr">
        <is>
          <t>2017-05</t>
        </is>
      </c>
      <c r="D564" t="inlineStr">
        <is>
          <t>RS</t>
        </is>
      </c>
      <c r="E564" t="inlineStr">
        <is>
          <t>sports_leisure</t>
        </is>
      </c>
      <c r="F564" t="n">
        <v>1</v>
      </c>
      <c r="G564" t="n">
        <v>154.9</v>
      </c>
      <c r="H564" t="n">
        <v>18.33</v>
      </c>
      <c r="I564" t="inlineStr">
        <is>
          <t>credit_card</t>
        </is>
      </c>
      <c r="J564" t="n">
        <v>8</v>
      </c>
      <c r="K564" t="inlineStr">
        <is>
          <t>On Time</t>
        </is>
      </c>
      <c r="L564" t="n">
        <v>5</v>
      </c>
      <c r="M564">
        <f>VLOOKUP(D564,State_Lookup!$A$2:$B$28,2,FALSE)</f>
        <v/>
      </c>
    </row>
    <row r="565">
      <c r="A565" t="inlineStr">
        <is>
          <t>7eaee8b80a41b5daabc50e02d1e45120</t>
        </is>
      </c>
      <c r="B565" t="inlineStr">
        <is>
          <t>2017-05-27</t>
        </is>
      </c>
      <c r="C565" t="inlineStr">
        <is>
          <t>2017-05</t>
        </is>
      </c>
      <c r="D565" t="inlineStr">
        <is>
          <t>MG</t>
        </is>
      </c>
      <c r="E565" t="inlineStr">
        <is>
          <t>computers_accessories</t>
        </is>
      </c>
      <c r="F565" t="n">
        <v>1</v>
      </c>
      <c r="G565" t="n">
        <v>31.9</v>
      </c>
      <c r="H565" t="n">
        <v>12.48</v>
      </c>
      <c r="I565" t="inlineStr">
        <is>
          <t>credit_card</t>
        </is>
      </c>
      <c r="J565" t="n">
        <v>5</v>
      </c>
      <c r="K565" t="inlineStr">
        <is>
          <t>On Time</t>
        </is>
      </c>
      <c r="L565" t="n">
        <v>5</v>
      </c>
      <c r="M565">
        <f>VLOOKUP(D565,State_Lookup!$A$2:$B$28,2,FALSE)</f>
        <v/>
      </c>
    </row>
    <row r="566">
      <c r="A566" t="inlineStr">
        <is>
          <t>69bd4e4ff1a990052d8ae84b843ee045</t>
        </is>
      </c>
      <c r="B566" t="inlineStr">
        <is>
          <t>2017-05-28</t>
        </is>
      </c>
      <c r="C566" t="inlineStr">
        <is>
          <t>2017-05</t>
        </is>
      </c>
      <c r="D566" t="inlineStr">
        <is>
          <t>SP</t>
        </is>
      </c>
      <c r="E566" t="inlineStr">
        <is>
          <t>baby</t>
        </is>
      </c>
      <c r="F566" t="n">
        <v>1</v>
      </c>
      <c r="G566" t="n">
        <v>29.9</v>
      </c>
      <c r="H566" t="n">
        <v>14.1</v>
      </c>
      <c r="I566" t="inlineStr">
        <is>
          <t>credit_card</t>
        </is>
      </c>
      <c r="J566" t="n">
        <v>14</v>
      </c>
      <c r="K566" t="inlineStr">
        <is>
          <t>On Time</t>
        </is>
      </c>
      <c r="L566" t="n">
        <v>5</v>
      </c>
      <c r="M566">
        <f>VLOOKUP(D566,State_Lookup!$A$2:$B$28,2,FALSE)</f>
        <v/>
      </c>
    </row>
    <row r="567">
      <c r="A567" t="inlineStr">
        <is>
          <t>686d1d45217e96a6db7f27537db7e4b6</t>
        </is>
      </c>
      <c r="B567" t="inlineStr">
        <is>
          <t>2017-05-28</t>
        </is>
      </c>
      <c r="C567" t="inlineStr">
        <is>
          <t>2017-05</t>
        </is>
      </c>
      <c r="D567" t="inlineStr">
        <is>
          <t>RS</t>
        </is>
      </c>
      <c r="E567" t="inlineStr">
        <is>
          <t>cool_stuff</t>
        </is>
      </c>
      <c r="F567" t="n">
        <v>1</v>
      </c>
      <c r="G567" t="n">
        <v>119.99</v>
      </c>
      <c r="H567" t="n">
        <v>16.6</v>
      </c>
      <c r="I567" t="inlineStr">
        <is>
          <t>boleto</t>
        </is>
      </c>
      <c r="J567" t="n">
        <v>10</v>
      </c>
      <c r="K567" t="inlineStr">
        <is>
          <t>On Time</t>
        </is>
      </c>
      <c r="L567" t="n">
        <v>5</v>
      </c>
      <c r="M567">
        <f>VLOOKUP(D567,State_Lookup!$A$2:$B$28,2,FALSE)</f>
        <v/>
      </c>
    </row>
    <row r="568">
      <c r="A568" t="inlineStr">
        <is>
          <t>f37d724af2a6e8663e5de52bc2f7acc3</t>
        </is>
      </c>
      <c r="B568" t="inlineStr">
        <is>
          <t>2017-05-28</t>
        </is>
      </c>
      <c r="C568" t="inlineStr">
        <is>
          <t>2017-05</t>
        </is>
      </c>
      <c r="D568" t="inlineStr">
        <is>
          <t>DF</t>
        </is>
      </c>
      <c r="E568" t="inlineStr">
        <is>
          <t>bed_bath_table</t>
        </is>
      </c>
      <c r="F568" t="n">
        <v>2</v>
      </c>
      <c r="G568" t="n">
        <v>179.8</v>
      </c>
      <c r="H568" t="n">
        <v>30.76</v>
      </c>
      <c r="I568" t="inlineStr">
        <is>
          <t>credit_card</t>
        </is>
      </c>
      <c r="J568" t="n">
        <v>10</v>
      </c>
      <c r="K568" t="inlineStr">
        <is>
          <t>On Time</t>
        </is>
      </c>
      <c r="L568" t="n">
        <v>5</v>
      </c>
      <c r="M568">
        <f>VLOOKUP(D568,State_Lookup!$A$2:$B$28,2,FALSE)</f>
        <v/>
      </c>
    </row>
    <row r="569">
      <c r="A569" t="inlineStr">
        <is>
          <t>6275bca17b337da53d3df583024784de</t>
        </is>
      </c>
      <c r="B569" t="inlineStr">
        <is>
          <t>2017-05-28</t>
        </is>
      </c>
      <c r="C569" t="inlineStr">
        <is>
          <t>2017-05</t>
        </is>
      </c>
      <c r="D569" t="inlineStr">
        <is>
          <t>MG</t>
        </is>
      </c>
      <c r="E569" t="inlineStr">
        <is>
          <t>watches_gifts</t>
        </is>
      </c>
      <c r="F569" t="n">
        <v>1</v>
      </c>
      <c r="G569" t="n">
        <v>58.71</v>
      </c>
      <c r="H569" t="n">
        <v>28.81</v>
      </c>
      <c r="I569" t="inlineStr">
        <is>
          <t>credit_card</t>
        </is>
      </c>
      <c r="J569" t="n">
        <v>9</v>
      </c>
      <c r="K569" t="inlineStr">
        <is>
          <t>On Time</t>
        </is>
      </c>
      <c r="L569" t="n">
        <v>4</v>
      </c>
      <c r="M569">
        <f>VLOOKUP(D569,State_Lookup!$A$2:$B$28,2,FALSE)</f>
        <v/>
      </c>
    </row>
    <row r="570">
      <c r="A570" t="inlineStr">
        <is>
          <t>494df7e03a951e947ea15c177503ef84</t>
        </is>
      </c>
      <c r="B570" t="inlineStr">
        <is>
          <t>2017-05-28</t>
        </is>
      </c>
      <c r="C570" t="inlineStr">
        <is>
          <t>2017-05</t>
        </is>
      </c>
      <c r="D570" t="inlineStr">
        <is>
          <t>SP</t>
        </is>
      </c>
      <c r="E570" t="inlineStr">
        <is>
          <t>luggage_accessories</t>
        </is>
      </c>
      <c r="F570" t="n">
        <v>1</v>
      </c>
      <c r="G570" t="n">
        <v>89.90000000000001</v>
      </c>
      <c r="H570" t="n">
        <v>21.28</v>
      </c>
      <c r="I570" t="inlineStr">
        <is>
          <t>credit_card</t>
        </is>
      </c>
      <c r="J570" t="n">
        <v>2</v>
      </c>
      <c r="K570" t="inlineStr">
        <is>
          <t>On Time</t>
        </is>
      </c>
      <c r="L570" t="n">
        <v>5</v>
      </c>
      <c r="M570">
        <f>VLOOKUP(D570,State_Lookup!$A$2:$B$28,2,FALSE)</f>
        <v/>
      </c>
    </row>
    <row r="571">
      <c r="A571" t="inlineStr">
        <is>
          <t>5857c4471757f3c88440e2f2f405c7c1</t>
        </is>
      </c>
      <c r="B571" t="inlineStr">
        <is>
          <t>2017-05-28</t>
        </is>
      </c>
      <c r="C571" t="inlineStr">
        <is>
          <t>2017-05</t>
        </is>
      </c>
      <c r="D571" t="inlineStr">
        <is>
          <t>SP</t>
        </is>
      </c>
      <c r="E571" t="inlineStr">
        <is>
          <t>perfumery</t>
        </is>
      </c>
      <c r="F571" t="n">
        <v>1</v>
      </c>
      <c r="G571" t="n">
        <v>56.99</v>
      </c>
      <c r="H571" t="n">
        <v>11.9</v>
      </c>
      <c r="I571" t="inlineStr">
        <is>
          <t>boleto</t>
        </is>
      </c>
      <c r="J571" t="n">
        <v>7</v>
      </c>
      <c r="K571" t="inlineStr">
        <is>
          <t>On Time</t>
        </is>
      </c>
      <c r="L571" t="n">
        <v>3</v>
      </c>
      <c r="M571">
        <f>VLOOKUP(D571,State_Lookup!$A$2:$B$28,2,FALSE)</f>
        <v/>
      </c>
    </row>
    <row r="572">
      <c r="A572" t="inlineStr">
        <is>
          <t>2f01a66f78b2de411ae9a3ca2eb73c2e</t>
        </is>
      </c>
      <c r="B572" t="inlineStr">
        <is>
          <t>2017-05-29</t>
        </is>
      </c>
      <c r="C572" t="inlineStr">
        <is>
          <t>2017-05</t>
        </is>
      </c>
      <c r="D572" t="inlineStr">
        <is>
          <t>RJ</t>
        </is>
      </c>
      <c r="E572" t="inlineStr">
        <is>
          <t>furniture_decor</t>
        </is>
      </c>
      <c r="F572" t="n">
        <v>1</v>
      </c>
      <c r="G572" t="n">
        <v>59.9</v>
      </c>
      <c r="H572" t="n">
        <v>14.15</v>
      </c>
      <c r="I572" t="inlineStr">
        <is>
          <t>credit_card</t>
        </is>
      </c>
      <c r="J572" t="n">
        <v>15</v>
      </c>
      <c r="K572" t="inlineStr">
        <is>
          <t>On Time</t>
        </is>
      </c>
      <c r="L572" t="n">
        <v>1</v>
      </c>
      <c r="M572">
        <f>VLOOKUP(D572,State_Lookup!$A$2:$B$28,2,FALSE)</f>
        <v/>
      </c>
    </row>
    <row r="573">
      <c r="A573" t="inlineStr">
        <is>
          <t>2b20baf94a095e002981091891209751</t>
        </is>
      </c>
      <c r="B573" t="inlineStr">
        <is>
          <t>2017-05-29</t>
        </is>
      </c>
      <c r="C573" t="inlineStr">
        <is>
          <t>2017-05</t>
        </is>
      </c>
      <c r="D573" t="inlineStr">
        <is>
          <t>SP</t>
        </is>
      </c>
      <c r="E573" t="inlineStr">
        <is>
          <t>housewares</t>
        </is>
      </c>
      <c r="F573" t="n">
        <v>1</v>
      </c>
      <c r="G573" t="n">
        <v>43.98</v>
      </c>
      <c r="H573" t="n">
        <v>17.6</v>
      </c>
      <c r="I573" t="inlineStr">
        <is>
          <t>voucher</t>
        </is>
      </c>
      <c r="J573" t="n">
        <v>7</v>
      </c>
      <c r="K573" t="inlineStr">
        <is>
          <t>On Time</t>
        </is>
      </c>
      <c r="L573" t="n">
        <v>4</v>
      </c>
      <c r="M573">
        <f>VLOOKUP(D573,State_Lookup!$A$2:$B$28,2,FALSE)</f>
        <v/>
      </c>
    </row>
    <row r="574">
      <c r="A574" t="inlineStr">
        <is>
          <t>37a17c5250faaeed1cd077f903e08994</t>
        </is>
      </c>
      <c r="B574" t="inlineStr">
        <is>
          <t>2017-05-29</t>
        </is>
      </c>
      <c r="C574" t="inlineStr">
        <is>
          <t>2017-05</t>
        </is>
      </c>
      <c r="D574" t="inlineStr">
        <is>
          <t>BA</t>
        </is>
      </c>
      <c r="E574" t="inlineStr">
        <is>
          <t>unknown</t>
        </is>
      </c>
      <c r="F574" t="n">
        <v>1</v>
      </c>
      <c r="G574" t="n">
        <v>49.9</v>
      </c>
      <c r="H574" t="n">
        <v>16.79</v>
      </c>
      <c r="I574" t="inlineStr">
        <is>
          <t>credit_card</t>
        </is>
      </c>
      <c r="J574" t="n">
        <v>10</v>
      </c>
      <c r="K574" t="inlineStr">
        <is>
          <t>On Time</t>
        </is>
      </c>
      <c r="L574" t="n">
        <v>3</v>
      </c>
      <c r="M574">
        <f>VLOOKUP(D574,State_Lookup!$A$2:$B$28,2,FALSE)</f>
        <v/>
      </c>
    </row>
    <row r="575">
      <c r="A575" t="inlineStr">
        <is>
          <t>aecfda74ec8e7c93765ba62e09a995d2</t>
        </is>
      </c>
      <c r="B575" t="inlineStr">
        <is>
          <t>2017-05-29</t>
        </is>
      </c>
      <c r="C575" t="inlineStr">
        <is>
          <t>2017-05</t>
        </is>
      </c>
      <c r="D575" t="inlineStr">
        <is>
          <t>RJ</t>
        </is>
      </c>
      <c r="E575" t="inlineStr">
        <is>
          <t>watches_gifts</t>
        </is>
      </c>
      <c r="F575" t="n">
        <v>1</v>
      </c>
      <c r="G575" t="n">
        <v>168</v>
      </c>
      <c r="H575" t="n">
        <v>16.62</v>
      </c>
      <c r="I575" t="inlineStr">
        <is>
          <t>credit_card</t>
        </is>
      </c>
      <c r="J575" t="inlineStr"/>
      <c r="K575" t="inlineStr">
        <is>
          <t>Not Delivered</t>
        </is>
      </c>
      <c r="L575" t="n">
        <v>4</v>
      </c>
      <c r="M575">
        <f>VLOOKUP(D575,State_Lookup!$A$2:$B$28,2,FALSE)</f>
        <v/>
      </c>
    </row>
    <row r="576">
      <c r="A576" t="inlineStr">
        <is>
          <t>f4d3a6f8b3c011cb012b39fdfb4817e8</t>
        </is>
      </c>
      <c r="B576" t="inlineStr">
        <is>
          <t>2017-05-30</t>
        </is>
      </c>
      <c r="C576" t="inlineStr">
        <is>
          <t>2017-05</t>
        </is>
      </c>
      <c r="D576" t="inlineStr">
        <is>
          <t>SP</t>
        </is>
      </c>
      <c r="E576" t="inlineStr">
        <is>
          <t>health_beauty</t>
        </is>
      </c>
      <c r="F576" t="n">
        <v>1</v>
      </c>
      <c r="G576" t="n">
        <v>64.98999999999999</v>
      </c>
      <c r="H576" t="n">
        <v>11.95</v>
      </c>
      <c r="I576" t="inlineStr">
        <is>
          <t>credit_card</t>
        </is>
      </c>
      <c r="J576" t="n">
        <v>6</v>
      </c>
      <c r="K576" t="inlineStr">
        <is>
          <t>On Time</t>
        </is>
      </c>
      <c r="L576" t="n">
        <v>5</v>
      </c>
      <c r="M576">
        <f>VLOOKUP(D576,State_Lookup!$A$2:$B$28,2,FALSE)</f>
        <v/>
      </c>
    </row>
    <row r="577">
      <c r="A577" t="inlineStr">
        <is>
          <t>9ea29024f36561184f0253cccb1b3fc7</t>
        </is>
      </c>
      <c r="B577" t="inlineStr">
        <is>
          <t>2017-05-30</t>
        </is>
      </c>
      <c r="C577" t="inlineStr">
        <is>
          <t>2017-05</t>
        </is>
      </c>
      <c r="D577" t="inlineStr">
        <is>
          <t>BA</t>
        </is>
      </c>
      <c r="E577" t="inlineStr">
        <is>
          <t>health_beauty</t>
        </is>
      </c>
      <c r="F577" t="n">
        <v>1</v>
      </c>
      <c r="G577" t="n">
        <v>66.90000000000001</v>
      </c>
      <c r="H577" t="n">
        <v>19.71</v>
      </c>
      <c r="I577" t="inlineStr">
        <is>
          <t>credit_card</t>
        </is>
      </c>
      <c r="J577" t="n">
        <v>9</v>
      </c>
      <c r="K577" t="inlineStr">
        <is>
          <t>On Time</t>
        </is>
      </c>
      <c r="L577" t="n">
        <v>5</v>
      </c>
      <c r="M577">
        <f>VLOOKUP(D577,State_Lookup!$A$2:$B$28,2,FALSE)</f>
        <v/>
      </c>
    </row>
    <row r="578">
      <c r="A578" t="inlineStr">
        <is>
          <t>9282799a57b0de94393be10a4bcf120b</t>
        </is>
      </c>
      <c r="B578" t="inlineStr">
        <is>
          <t>2017-05-30</t>
        </is>
      </c>
      <c r="C578" t="inlineStr">
        <is>
          <t>2017-05</t>
        </is>
      </c>
      <c r="D578" t="inlineStr">
        <is>
          <t>DF</t>
        </is>
      </c>
      <c r="E578" t="inlineStr">
        <is>
          <t>housewares</t>
        </is>
      </c>
      <c r="F578" t="n">
        <v>1</v>
      </c>
      <c r="G578" t="n">
        <v>59.9</v>
      </c>
      <c r="H578" t="n">
        <v>16.67</v>
      </c>
      <c r="I578" t="inlineStr">
        <is>
          <t>credit_card</t>
        </is>
      </c>
      <c r="J578" t="n">
        <v>22</v>
      </c>
      <c r="K578" t="inlineStr">
        <is>
          <t>On Time</t>
        </is>
      </c>
      <c r="L578" t="n">
        <v>5</v>
      </c>
      <c r="M578">
        <f>VLOOKUP(D578,State_Lookup!$A$2:$B$28,2,FALSE)</f>
        <v/>
      </c>
    </row>
    <row r="579">
      <c r="A579" t="inlineStr">
        <is>
          <t>5859370f19fe47ef87a4b0d110e6cf67</t>
        </is>
      </c>
      <c r="B579" t="inlineStr">
        <is>
          <t>2017-05-30</t>
        </is>
      </c>
      <c r="C579" t="inlineStr">
        <is>
          <t>2017-05</t>
        </is>
      </c>
      <c r="D579" t="inlineStr">
        <is>
          <t>SP</t>
        </is>
      </c>
      <c r="E579" t="inlineStr">
        <is>
          <t>small_appliances</t>
        </is>
      </c>
      <c r="F579" t="n">
        <v>1</v>
      </c>
      <c r="G579" t="n">
        <v>549.9</v>
      </c>
      <c r="H579" t="n">
        <v>30.17</v>
      </c>
      <c r="I579" t="inlineStr">
        <is>
          <t>credit_card</t>
        </is>
      </c>
      <c r="J579" t="n">
        <v>8</v>
      </c>
      <c r="K579" t="inlineStr">
        <is>
          <t>On Time</t>
        </is>
      </c>
      <c r="L579" t="n">
        <v>5</v>
      </c>
      <c r="M579">
        <f>VLOOKUP(D579,State_Lookup!$A$2:$B$28,2,FALSE)</f>
        <v/>
      </c>
    </row>
    <row r="580">
      <c r="A580" t="inlineStr">
        <is>
          <t>2dad641c35a02f34b17ed17a7e2c1d0b</t>
        </is>
      </c>
      <c r="B580" t="inlineStr">
        <is>
          <t>2017-05-30</t>
        </is>
      </c>
      <c r="C580" t="inlineStr">
        <is>
          <t>2017-05</t>
        </is>
      </c>
      <c r="D580" t="inlineStr">
        <is>
          <t>RS</t>
        </is>
      </c>
      <c r="E580" t="inlineStr">
        <is>
          <t>cool_stuff</t>
        </is>
      </c>
      <c r="F580" t="n">
        <v>1</v>
      </c>
      <c r="G580" t="n">
        <v>69.98999999999999</v>
      </c>
      <c r="H580" t="n">
        <v>17.74</v>
      </c>
      <c r="I580" t="inlineStr">
        <is>
          <t>boleto</t>
        </is>
      </c>
      <c r="J580" t="n">
        <v>6</v>
      </c>
      <c r="K580" t="inlineStr">
        <is>
          <t>On Time</t>
        </is>
      </c>
      <c r="L580" t="n">
        <v>4</v>
      </c>
      <c r="M580">
        <f>VLOOKUP(D580,State_Lookup!$A$2:$B$28,2,FALSE)</f>
        <v/>
      </c>
    </row>
    <row r="581">
      <c r="A581" t="inlineStr">
        <is>
          <t>4c7061e57405537a32f8c9dd0a194d68</t>
        </is>
      </c>
      <c r="B581" t="inlineStr">
        <is>
          <t>2017-05-30</t>
        </is>
      </c>
      <c r="C581" t="inlineStr">
        <is>
          <t>2017-05</t>
        </is>
      </c>
      <c r="D581" t="inlineStr">
        <is>
          <t>SP</t>
        </is>
      </c>
      <c r="E581" t="inlineStr">
        <is>
          <t>computers_accessories</t>
        </is>
      </c>
      <c r="F581" t="n">
        <v>5</v>
      </c>
      <c r="G581" t="n">
        <v>977.5</v>
      </c>
      <c r="H581" t="n">
        <v>80.60000000000001</v>
      </c>
      <c r="I581" t="inlineStr">
        <is>
          <t>credit_card</t>
        </is>
      </c>
      <c r="J581" t="n">
        <v>5</v>
      </c>
      <c r="K581" t="inlineStr">
        <is>
          <t>On Time</t>
        </is>
      </c>
      <c r="L581" t="n">
        <v>5</v>
      </c>
      <c r="M581">
        <f>VLOOKUP(D581,State_Lookup!$A$2:$B$28,2,FALSE)</f>
        <v/>
      </c>
    </row>
    <row r="582">
      <c r="A582" t="inlineStr">
        <is>
          <t>de9330ec1dd0af0751b5c24b612917d0</t>
        </is>
      </c>
      <c r="B582" t="inlineStr">
        <is>
          <t>2017-05-30</t>
        </is>
      </c>
      <c r="C582" t="inlineStr">
        <is>
          <t>2017-05</t>
        </is>
      </c>
      <c r="D582" t="inlineStr">
        <is>
          <t>SP</t>
        </is>
      </c>
      <c r="E582" t="inlineStr">
        <is>
          <t>housewares</t>
        </is>
      </c>
      <c r="F582" t="n">
        <v>1</v>
      </c>
      <c r="G582" t="n">
        <v>46.99</v>
      </c>
      <c r="H582" t="n">
        <v>17.6</v>
      </c>
      <c r="I582" t="inlineStr">
        <is>
          <t>boleto</t>
        </is>
      </c>
      <c r="J582" t="n">
        <v>13</v>
      </c>
      <c r="K582" t="inlineStr">
        <is>
          <t>On Time</t>
        </is>
      </c>
      <c r="L582" t="n">
        <v>3</v>
      </c>
      <c r="M582">
        <f>VLOOKUP(D582,State_Lookup!$A$2:$B$28,2,FALSE)</f>
        <v/>
      </c>
    </row>
    <row r="583">
      <c r="A583" t="inlineStr">
        <is>
          <t>8aaa6469d7ef4134e807e6b4da146012</t>
        </is>
      </c>
      <c r="B583" t="inlineStr">
        <is>
          <t>2017-05-30</t>
        </is>
      </c>
      <c r="C583" t="inlineStr">
        <is>
          <t>2017-05</t>
        </is>
      </c>
      <c r="D583" t="inlineStr">
        <is>
          <t>SP</t>
        </is>
      </c>
      <c r="E583" t="inlineStr">
        <is>
          <t>housewares</t>
        </is>
      </c>
      <c r="F583" t="n">
        <v>1</v>
      </c>
      <c r="G583" t="n">
        <v>50.9</v>
      </c>
      <c r="H583" t="n">
        <v>9.27</v>
      </c>
      <c r="I583" t="inlineStr">
        <is>
          <t>credit_card</t>
        </is>
      </c>
      <c r="J583" t="n">
        <v>1</v>
      </c>
      <c r="K583" t="inlineStr">
        <is>
          <t>On Time</t>
        </is>
      </c>
      <c r="L583" t="n">
        <v>5</v>
      </c>
      <c r="M583">
        <f>VLOOKUP(D583,State_Lookup!$A$2:$B$28,2,FALSE)</f>
        <v/>
      </c>
    </row>
    <row r="584">
      <c r="A584" t="inlineStr">
        <is>
          <t>43d782238f80b75ff6b62c0e535ce34a</t>
        </is>
      </c>
      <c r="B584" t="inlineStr">
        <is>
          <t>2017-05-30</t>
        </is>
      </c>
      <c r="C584" t="inlineStr">
        <is>
          <t>2017-05</t>
        </is>
      </c>
      <c r="D584" t="inlineStr">
        <is>
          <t>SP</t>
        </is>
      </c>
      <c r="E584" t="inlineStr">
        <is>
          <t>fashion_bags_accessories</t>
        </is>
      </c>
      <c r="F584" t="n">
        <v>1</v>
      </c>
      <c r="G584" t="n">
        <v>24.99</v>
      </c>
      <c r="H584" t="n">
        <v>16.79</v>
      </c>
      <c r="I584" t="inlineStr">
        <is>
          <t>boleto</t>
        </is>
      </c>
      <c r="J584" t="n">
        <v>5</v>
      </c>
      <c r="K584" t="inlineStr">
        <is>
          <t>On Time</t>
        </is>
      </c>
      <c r="L584" t="n">
        <v>5</v>
      </c>
      <c r="M584">
        <f>VLOOKUP(D584,State_Lookup!$A$2:$B$28,2,FALSE)</f>
        <v/>
      </c>
    </row>
    <row r="585">
      <c r="A585" t="inlineStr">
        <is>
          <t>12e5dd0c975bc753570697dfc4901596</t>
        </is>
      </c>
      <c r="B585" t="inlineStr">
        <is>
          <t>2017-05-30</t>
        </is>
      </c>
      <c r="C585" t="inlineStr">
        <is>
          <t>2017-05</t>
        </is>
      </c>
      <c r="D585" t="inlineStr">
        <is>
          <t>RJ</t>
        </is>
      </c>
      <c r="E585" t="inlineStr">
        <is>
          <t>computers_accessories</t>
        </is>
      </c>
      <c r="F585" t="n">
        <v>1</v>
      </c>
      <c r="G585" t="n">
        <v>49.99</v>
      </c>
      <c r="H585" t="n">
        <v>16.11</v>
      </c>
      <c r="I585" t="inlineStr">
        <is>
          <t>boleto</t>
        </is>
      </c>
      <c r="J585" t="n">
        <v>7</v>
      </c>
      <c r="K585" t="inlineStr">
        <is>
          <t>On Time</t>
        </is>
      </c>
      <c r="L585" t="n">
        <v>4</v>
      </c>
      <c r="M585">
        <f>VLOOKUP(D585,State_Lookup!$A$2:$B$28,2,FALSE)</f>
        <v/>
      </c>
    </row>
    <row r="586">
      <c r="A586" t="inlineStr">
        <is>
          <t>1466219eb36318493e16297ec7a2d87a</t>
        </is>
      </c>
      <c r="B586" t="inlineStr">
        <is>
          <t>2017-05-30</t>
        </is>
      </c>
      <c r="C586" t="inlineStr">
        <is>
          <t>2017-05</t>
        </is>
      </c>
      <c r="D586" t="inlineStr">
        <is>
          <t>RS</t>
        </is>
      </c>
      <c r="E586" t="inlineStr">
        <is>
          <t>furniture_decor</t>
        </is>
      </c>
      <c r="F586" t="n">
        <v>1</v>
      </c>
      <c r="G586" t="n">
        <v>49</v>
      </c>
      <c r="H586" t="n">
        <v>15.1</v>
      </c>
      <c r="I586" t="inlineStr">
        <is>
          <t>credit_card</t>
        </is>
      </c>
      <c r="J586" t="n">
        <v>15</v>
      </c>
      <c r="K586" t="inlineStr">
        <is>
          <t>On Time</t>
        </is>
      </c>
      <c r="L586" t="n">
        <v>4</v>
      </c>
      <c r="M586">
        <f>VLOOKUP(D586,State_Lookup!$A$2:$B$28,2,FALSE)</f>
        <v/>
      </c>
    </row>
    <row r="587">
      <c r="A587" t="inlineStr">
        <is>
          <t>483a06928959b498933c3b7efe98a755</t>
        </is>
      </c>
      <c r="B587" t="inlineStr">
        <is>
          <t>2017-05-31</t>
        </is>
      </c>
      <c r="C587" t="inlineStr">
        <is>
          <t>2017-05</t>
        </is>
      </c>
      <c r="D587" t="inlineStr">
        <is>
          <t>PR</t>
        </is>
      </c>
      <c r="E587" t="inlineStr">
        <is>
          <t>computers_accessories</t>
        </is>
      </c>
      <c r="F587" t="n">
        <v>1</v>
      </c>
      <c r="G587" t="n">
        <v>49.99</v>
      </c>
      <c r="H587" t="n">
        <v>12.48</v>
      </c>
      <c r="I587" t="inlineStr">
        <is>
          <t>boleto</t>
        </is>
      </c>
      <c r="J587" t="n">
        <v>12</v>
      </c>
      <c r="K587" t="inlineStr">
        <is>
          <t>On Time</t>
        </is>
      </c>
      <c r="L587" t="n">
        <v>1</v>
      </c>
      <c r="M587">
        <f>VLOOKUP(D587,State_Lookup!$A$2:$B$28,2,FALSE)</f>
        <v/>
      </c>
    </row>
    <row r="588">
      <c r="A588" t="inlineStr">
        <is>
          <t>5f8692d4a41e2be3cf2a61b57cec915b</t>
        </is>
      </c>
      <c r="B588" t="inlineStr">
        <is>
          <t>2017-05-31</t>
        </is>
      </c>
      <c r="C588" t="inlineStr">
        <is>
          <t>2017-05</t>
        </is>
      </c>
      <c r="D588" t="inlineStr">
        <is>
          <t>SC</t>
        </is>
      </c>
      <c r="E588" t="inlineStr">
        <is>
          <t>telephony</t>
        </is>
      </c>
      <c r="F588" t="n">
        <v>1</v>
      </c>
      <c r="G588" t="n">
        <v>39.99</v>
      </c>
      <c r="H588" t="n">
        <v>15.1</v>
      </c>
      <c r="I588" t="inlineStr">
        <is>
          <t>credit_card</t>
        </is>
      </c>
      <c r="J588" t="n">
        <v>11</v>
      </c>
      <c r="K588" t="inlineStr">
        <is>
          <t>On Time</t>
        </is>
      </c>
      <c r="L588" t="n">
        <v>2</v>
      </c>
      <c r="M588">
        <f>VLOOKUP(D588,State_Lookup!$A$2:$B$28,2,FALSE)</f>
        <v/>
      </c>
    </row>
    <row r="589">
      <c r="A589" t="inlineStr">
        <is>
          <t>518e50004c3dded8e8a25b96b47d116a</t>
        </is>
      </c>
      <c r="B589" t="inlineStr">
        <is>
          <t>2017-05-31</t>
        </is>
      </c>
      <c r="C589" t="inlineStr">
        <is>
          <t>2017-05</t>
        </is>
      </c>
      <c r="D589" t="inlineStr">
        <is>
          <t>SP</t>
        </is>
      </c>
      <c r="E589" t="inlineStr">
        <is>
          <t>computers_accessories</t>
        </is>
      </c>
      <c r="F589" t="n">
        <v>1</v>
      </c>
      <c r="G589" t="n">
        <v>36.9</v>
      </c>
      <c r="H589" t="n">
        <v>11.85</v>
      </c>
      <c r="I589" t="inlineStr">
        <is>
          <t>credit_card</t>
        </is>
      </c>
      <c r="J589" t="n">
        <v>5</v>
      </c>
      <c r="K589" t="inlineStr">
        <is>
          <t>On Time</t>
        </is>
      </c>
      <c r="L589" t="n">
        <v>5</v>
      </c>
      <c r="M589">
        <f>VLOOKUP(D589,State_Lookup!$A$2:$B$28,2,FALSE)</f>
        <v/>
      </c>
    </row>
    <row r="590">
      <c r="A590" t="inlineStr">
        <is>
          <t>3f4e043996f17e6354c1f004c1ea3fe8</t>
        </is>
      </c>
      <c r="B590" t="inlineStr">
        <is>
          <t>2017-05-31</t>
        </is>
      </c>
      <c r="C590" t="inlineStr">
        <is>
          <t>2017-05</t>
        </is>
      </c>
      <c r="D590" t="inlineStr">
        <is>
          <t>GO</t>
        </is>
      </c>
      <c r="E590" t="inlineStr">
        <is>
          <t>watches_gifts</t>
        </is>
      </c>
      <c r="F590" t="n">
        <v>1</v>
      </c>
      <c r="G590" t="n">
        <v>49</v>
      </c>
      <c r="H590" t="n">
        <v>14.1</v>
      </c>
      <c r="I590" t="inlineStr">
        <is>
          <t>boleto</t>
        </is>
      </c>
      <c r="J590" t="n">
        <v>9</v>
      </c>
      <c r="K590" t="inlineStr">
        <is>
          <t>On Time</t>
        </is>
      </c>
      <c r="L590" t="n">
        <v>5</v>
      </c>
      <c r="M590">
        <f>VLOOKUP(D590,State_Lookup!$A$2:$B$28,2,FALSE)</f>
        <v/>
      </c>
    </row>
    <row r="591">
      <c r="A591" t="inlineStr">
        <is>
          <t>9e8de01f2fe105eaf6c6092b1ae4e86c</t>
        </is>
      </c>
      <c r="B591" t="inlineStr">
        <is>
          <t>2017-06-01</t>
        </is>
      </c>
      <c r="C591" t="inlineStr">
        <is>
          <t>2017-06</t>
        </is>
      </c>
      <c r="D591" t="inlineStr">
        <is>
          <t>RJ</t>
        </is>
      </c>
      <c r="E591" t="inlineStr">
        <is>
          <t>perfumery</t>
        </is>
      </c>
      <c r="F591" t="n">
        <v>1</v>
      </c>
      <c r="G591" t="n">
        <v>179</v>
      </c>
      <c r="H591" t="n">
        <v>16</v>
      </c>
      <c r="I591" t="inlineStr">
        <is>
          <t>credit_card</t>
        </is>
      </c>
      <c r="J591" t="n">
        <v>11</v>
      </c>
      <c r="K591" t="inlineStr">
        <is>
          <t>On Time</t>
        </is>
      </c>
      <c r="L591" t="n">
        <v>5</v>
      </c>
      <c r="M591">
        <f>VLOOKUP(D591,State_Lookup!$A$2:$B$28,2,FALSE)</f>
        <v/>
      </c>
    </row>
    <row r="592">
      <c r="A592" t="inlineStr">
        <is>
          <t>4ffd6039e12a24d2083cd4a4dda4791d</t>
        </is>
      </c>
      <c r="B592" t="inlineStr">
        <is>
          <t>2017-06-01</t>
        </is>
      </c>
      <c r="C592" t="inlineStr">
        <is>
          <t>2017-06</t>
        </is>
      </c>
      <c r="D592" t="inlineStr">
        <is>
          <t>ES</t>
        </is>
      </c>
      <c r="E592" t="inlineStr">
        <is>
          <t>electronics</t>
        </is>
      </c>
      <c r="F592" t="n">
        <v>1</v>
      </c>
      <c r="G592" t="n">
        <v>239</v>
      </c>
      <c r="H592" t="n">
        <v>18.11</v>
      </c>
      <c r="I592" t="inlineStr">
        <is>
          <t>credit_card</t>
        </is>
      </c>
      <c r="J592" t="n">
        <v>12</v>
      </c>
      <c r="K592" t="inlineStr">
        <is>
          <t>On Time</t>
        </is>
      </c>
      <c r="L592" t="n">
        <v>3</v>
      </c>
      <c r="M592">
        <f>VLOOKUP(D592,State_Lookup!$A$2:$B$28,2,FALSE)</f>
        <v/>
      </c>
    </row>
    <row r="593">
      <c r="A593" t="inlineStr">
        <is>
          <t>d5bd1d1b6a86a7398fdaf030ab3a6376</t>
        </is>
      </c>
      <c r="B593" t="inlineStr">
        <is>
          <t>2017-06-01</t>
        </is>
      </c>
      <c r="C593" t="inlineStr">
        <is>
          <t>2017-06</t>
        </is>
      </c>
      <c r="D593" t="inlineStr">
        <is>
          <t>RS</t>
        </is>
      </c>
      <c r="E593" t="inlineStr">
        <is>
          <t>bed_bath_table</t>
        </is>
      </c>
      <c r="F593" t="n">
        <v>1</v>
      </c>
      <c r="G593" t="n">
        <v>34.9</v>
      </c>
      <c r="H593" t="n">
        <v>16.11</v>
      </c>
      <c r="I593" t="inlineStr">
        <is>
          <t>credit_card</t>
        </is>
      </c>
      <c r="J593" t="n">
        <v>10</v>
      </c>
      <c r="K593" t="inlineStr">
        <is>
          <t>On Time</t>
        </is>
      </c>
      <c r="L593" t="n">
        <v>5</v>
      </c>
      <c r="M593">
        <f>VLOOKUP(D593,State_Lookup!$A$2:$B$28,2,FALSE)</f>
        <v/>
      </c>
    </row>
    <row r="594">
      <c r="A594" t="inlineStr">
        <is>
          <t>82e39ebd7b6c4b1949dfa6307fd2f186</t>
        </is>
      </c>
      <c r="B594" t="inlineStr">
        <is>
          <t>2017-06-01</t>
        </is>
      </c>
      <c r="C594" t="inlineStr">
        <is>
          <t>2017-06</t>
        </is>
      </c>
      <c r="D594" t="inlineStr">
        <is>
          <t>MT</t>
        </is>
      </c>
      <c r="E594" t="inlineStr">
        <is>
          <t>luggage_accessories</t>
        </is>
      </c>
      <c r="F594" t="n">
        <v>1</v>
      </c>
      <c r="G594" t="n">
        <v>259.99</v>
      </c>
      <c r="H594" t="n">
        <v>19.39</v>
      </c>
      <c r="I594" t="inlineStr">
        <is>
          <t>credit_card</t>
        </is>
      </c>
      <c r="J594" t="n">
        <v>12</v>
      </c>
      <c r="K594" t="inlineStr">
        <is>
          <t>On Time</t>
        </is>
      </c>
      <c r="L594" t="n">
        <v>5</v>
      </c>
      <c r="M594">
        <f>VLOOKUP(D594,State_Lookup!$A$2:$B$28,2,FALSE)</f>
        <v/>
      </c>
    </row>
    <row r="595">
      <c r="A595" t="inlineStr">
        <is>
          <t>2af88e292104c45837ffce587530757e</t>
        </is>
      </c>
      <c r="B595" t="inlineStr">
        <is>
          <t>2017-06-01</t>
        </is>
      </c>
      <c r="C595" t="inlineStr">
        <is>
          <t>2017-06</t>
        </is>
      </c>
      <c r="D595" t="inlineStr">
        <is>
          <t>PB</t>
        </is>
      </c>
      <c r="E595" t="inlineStr">
        <is>
          <t>perfumery</t>
        </is>
      </c>
      <c r="F595" t="n">
        <v>1</v>
      </c>
      <c r="G595" t="n">
        <v>219.9</v>
      </c>
      <c r="H595" t="n">
        <v>22.34</v>
      </c>
      <c r="I595" t="inlineStr">
        <is>
          <t>credit_card</t>
        </is>
      </c>
      <c r="J595" t="n">
        <v>7</v>
      </c>
      <c r="K595" t="inlineStr">
        <is>
          <t>On Time</t>
        </is>
      </c>
      <c r="L595" t="n">
        <v>5</v>
      </c>
      <c r="M595">
        <f>VLOOKUP(D595,State_Lookup!$A$2:$B$28,2,FALSE)</f>
        <v/>
      </c>
    </row>
    <row r="596">
      <c r="A596" t="inlineStr">
        <is>
          <t>242800e82e3e3f0aca252d6e03e4564c</t>
        </is>
      </c>
      <c r="B596" t="inlineStr">
        <is>
          <t>2017-06-02</t>
        </is>
      </c>
      <c r="C596" t="inlineStr">
        <is>
          <t>2017-06</t>
        </is>
      </c>
      <c r="D596" t="inlineStr">
        <is>
          <t>SP</t>
        </is>
      </c>
      <c r="E596" t="inlineStr">
        <is>
          <t>cool_stuff</t>
        </is>
      </c>
      <c r="F596" t="n">
        <v>1</v>
      </c>
      <c r="G596" t="n">
        <v>2649</v>
      </c>
      <c r="H596" t="n">
        <v>32.29</v>
      </c>
      <c r="I596" t="inlineStr">
        <is>
          <t>credit_card</t>
        </is>
      </c>
      <c r="J596" t="n">
        <v>26</v>
      </c>
      <c r="K596" t="inlineStr">
        <is>
          <t>Late</t>
        </is>
      </c>
      <c r="L596" t="n">
        <v>5</v>
      </c>
      <c r="M596">
        <f>VLOOKUP(D596,State_Lookup!$A$2:$B$28,2,FALSE)</f>
        <v/>
      </c>
    </row>
    <row r="597">
      <c r="A597" t="inlineStr">
        <is>
          <t>27b6bbf4efdd3d4aa75ead8d62a9088c</t>
        </is>
      </c>
      <c r="B597" t="inlineStr">
        <is>
          <t>2017-06-02</t>
        </is>
      </c>
      <c r="C597" t="inlineStr">
        <is>
          <t>2017-06</t>
        </is>
      </c>
      <c r="D597" t="inlineStr">
        <is>
          <t>SP</t>
        </is>
      </c>
      <c r="E597" t="inlineStr">
        <is>
          <t>health_beauty</t>
        </is>
      </c>
      <c r="F597" t="n">
        <v>1</v>
      </c>
      <c r="G597" t="n">
        <v>59.99</v>
      </c>
      <c r="H597" t="n">
        <v>7.78</v>
      </c>
      <c r="I597" t="inlineStr">
        <is>
          <t>credit_card</t>
        </is>
      </c>
      <c r="J597" t="n">
        <v>5</v>
      </c>
      <c r="K597" t="inlineStr">
        <is>
          <t>On Time</t>
        </is>
      </c>
      <c r="L597" t="n">
        <v>1</v>
      </c>
      <c r="M597">
        <f>VLOOKUP(D597,State_Lookup!$A$2:$B$28,2,FALSE)</f>
        <v/>
      </c>
    </row>
    <row r="598">
      <c r="A598" t="inlineStr">
        <is>
          <t>96b796ae5c66cfff926cfe95448f1d85</t>
        </is>
      </c>
      <c r="B598" t="inlineStr">
        <is>
          <t>2017-06-02</t>
        </is>
      </c>
      <c r="C598" t="inlineStr">
        <is>
          <t>2017-06</t>
        </is>
      </c>
      <c r="D598" t="inlineStr">
        <is>
          <t>RS</t>
        </is>
      </c>
      <c r="E598" t="inlineStr">
        <is>
          <t>unknown</t>
        </is>
      </c>
      <c r="F598" t="n">
        <v>2</v>
      </c>
      <c r="G598" t="n">
        <v>79.8</v>
      </c>
      <c r="H598" t="n">
        <v>33.58</v>
      </c>
      <c r="I598" t="inlineStr">
        <is>
          <t>credit_card</t>
        </is>
      </c>
      <c r="J598" t="n">
        <v>10</v>
      </c>
      <c r="K598" t="inlineStr">
        <is>
          <t>On Time</t>
        </is>
      </c>
      <c r="L598" t="n">
        <v>5</v>
      </c>
      <c r="M598">
        <f>VLOOKUP(D598,State_Lookup!$A$2:$B$28,2,FALSE)</f>
        <v/>
      </c>
    </row>
    <row r="599">
      <c r="A599" t="inlineStr">
        <is>
          <t>75c3bf5894efc8b022a84404ccd9f603</t>
        </is>
      </c>
      <c r="B599" t="inlineStr">
        <is>
          <t>2017-06-02</t>
        </is>
      </c>
      <c r="C599" t="inlineStr">
        <is>
          <t>2017-06</t>
        </is>
      </c>
      <c r="D599" t="inlineStr">
        <is>
          <t>SP</t>
        </is>
      </c>
      <c r="E599" t="inlineStr">
        <is>
          <t>furniture_decor</t>
        </is>
      </c>
      <c r="F599" t="n">
        <v>1</v>
      </c>
      <c r="G599" t="n">
        <v>59.99</v>
      </c>
      <c r="H599" t="n">
        <v>9.34</v>
      </c>
      <c r="I599" t="inlineStr">
        <is>
          <t>boleto</t>
        </is>
      </c>
      <c r="J599" t="n">
        <v>5</v>
      </c>
      <c r="K599" t="inlineStr">
        <is>
          <t>On Time</t>
        </is>
      </c>
      <c r="L599" t="n">
        <v>5</v>
      </c>
      <c r="M599">
        <f>VLOOKUP(D599,State_Lookup!$A$2:$B$28,2,FALSE)</f>
        <v/>
      </c>
    </row>
    <row r="600">
      <c r="A600" t="inlineStr">
        <is>
          <t>57a382ec5b2ec69093d3bdc7de3ec927</t>
        </is>
      </c>
      <c r="B600" t="inlineStr">
        <is>
          <t>2017-06-02</t>
        </is>
      </c>
      <c r="C600" t="inlineStr">
        <is>
          <t>2017-06</t>
        </is>
      </c>
      <c r="D600" t="inlineStr">
        <is>
          <t>SP</t>
        </is>
      </c>
      <c r="E600" t="inlineStr">
        <is>
          <t>watches_gifts</t>
        </is>
      </c>
      <c r="F600" t="n">
        <v>1</v>
      </c>
      <c r="G600" t="n">
        <v>492.04</v>
      </c>
      <c r="H600" t="n">
        <v>12.26</v>
      </c>
      <c r="I600" t="inlineStr">
        <is>
          <t>credit_card</t>
        </is>
      </c>
      <c r="J600" t="n">
        <v>5</v>
      </c>
      <c r="K600" t="inlineStr">
        <is>
          <t>On Time</t>
        </is>
      </c>
      <c r="L600" t="n">
        <v>3</v>
      </c>
      <c r="M600">
        <f>VLOOKUP(D600,State_Lookup!$A$2:$B$28,2,FALSE)</f>
        <v/>
      </c>
    </row>
    <row r="601">
      <c r="A601" t="inlineStr">
        <is>
          <t>3e03b1d83d3900b822663724a388a410</t>
        </is>
      </c>
      <c r="B601" t="inlineStr">
        <is>
          <t>2017-06-02</t>
        </is>
      </c>
      <c r="C601" t="inlineStr">
        <is>
          <t>2017-06</t>
        </is>
      </c>
      <c r="D601" t="inlineStr">
        <is>
          <t>SP</t>
        </is>
      </c>
      <c r="E601" t="inlineStr">
        <is>
          <t>home_confort</t>
        </is>
      </c>
      <c r="F601" t="n">
        <v>1</v>
      </c>
      <c r="G601" t="n">
        <v>179</v>
      </c>
      <c r="H601" t="n">
        <v>12.46</v>
      </c>
      <c r="I601" t="inlineStr">
        <is>
          <t>credit_card</t>
        </is>
      </c>
      <c r="J601" t="n">
        <v>4</v>
      </c>
      <c r="K601" t="inlineStr">
        <is>
          <t>On Time</t>
        </is>
      </c>
      <c r="L601" t="n">
        <v>5</v>
      </c>
      <c r="M601">
        <f>VLOOKUP(D601,State_Lookup!$A$2:$B$28,2,FALSE)</f>
        <v/>
      </c>
    </row>
    <row r="602">
      <c r="A602" t="inlineStr">
        <is>
          <t>e3cabd867d0bc59470f4c3d24a7b2f2b</t>
        </is>
      </c>
      <c r="B602" t="inlineStr">
        <is>
          <t>2017-06-03</t>
        </is>
      </c>
      <c r="C602" t="inlineStr">
        <is>
          <t>2017-06</t>
        </is>
      </c>
      <c r="D602" t="inlineStr">
        <is>
          <t>MG</t>
        </is>
      </c>
      <c r="E602" t="inlineStr">
        <is>
          <t>toys</t>
        </is>
      </c>
      <c r="F602" t="n">
        <v>1</v>
      </c>
      <c r="G602" t="n">
        <v>229.99</v>
      </c>
      <c r="H602" t="n">
        <v>16.36</v>
      </c>
      <c r="I602" t="inlineStr">
        <is>
          <t>credit_card</t>
        </is>
      </c>
      <c r="J602" t="n">
        <v>9</v>
      </c>
      <c r="K602" t="inlineStr">
        <is>
          <t>On Time</t>
        </is>
      </c>
      <c r="L602" t="n">
        <v>5</v>
      </c>
      <c r="M602">
        <f>VLOOKUP(D602,State_Lookup!$A$2:$B$28,2,FALSE)</f>
        <v/>
      </c>
    </row>
    <row r="603">
      <c r="A603" t="inlineStr">
        <is>
          <t>8ee4b4546da4178fb73e677c628a74b9</t>
        </is>
      </c>
      <c r="B603" t="inlineStr">
        <is>
          <t>2017-06-03</t>
        </is>
      </c>
      <c r="C603" t="inlineStr">
        <is>
          <t>2017-06</t>
        </is>
      </c>
      <c r="D603" t="inlineStr">
        <is>
          <t>RJ</t>
        </is>
      </c>
      <c r="E603" t="inlineStr">
        <is>
          <t>housewares</t>
        </is>
      </c>
      <c r="F603" t="n">
        <v>1</v>
      </c>
      <c r="G603" t="n">
        <v>34.9</v>
      </c>
      <c r="H603" t="n">
        <v>20.84</v>
      </c>
      <c r="I603" t="inlineStr">
        <is>
          <t>credit_card</t>
        </is>
      </c>
      <c r="J603" t="n">
        <v>10</v>
      </c>
      <c r="K603" t="inlineStr">
        <is>
          <t>On Time</t>
        </is>
      </c>
      <c r="L603" t="n">
        <v>5</v>
      </c>
      <c r="M603">
        <f>VLOOKUP(D603,State_Lookup!$A$2:$B$28,2,FALSE)</f>
        <v/>
      </c>
    </row>
    <row r="604">
      <c r="A604" t="inlineStr">
        <is>
          <t>a7cea68c8e5f1086a3267d2972a50646</t>
        </is>
      </c>
      <c r="B604" t="inlineStr">
        <is>
          <t>2017-06-04</t>
        </is>
      </c>
      <c r="C604" t="inlineStr">
        <is>
          <t>2017-06</t>
        </is>
      </c>
      <c r="D604" t="inlineStr">
        <is>
          <t>MG</t>
        </is>
      </c>
      <c r="E604" t="inlineStr">
        <is>
          <t>watches_gifts</t>
        </is>
      </c>
      <c r="F604" t="n">
        <v>1</v>
      </c>
      <c r="G604" t="n">
        <v>66.89</v>
      </c>
      <c r="H604" t="n">
        <v>27.01</v>
      </c>
      <c r="I604" t="inlineStr">
        <is>
          <t>boleto</t>
        </is>
      </c>
      <c r="J604" t="n">
        <v>15</v>
      </c>
      <c r="K604" t="inlineStr">
        <is>
          <t>On Time</t>
        </is>
      </c>
      <c r="L604" t="n">
        <v>4</v>
      </c>
      <c r="M604">
        <f>VLOOKUP(D604,State_Lookup!$A$2:$B$28,2,FALSE)</f>
        <v/>
      </c>
    </row>
    <row r="605">
      <c r="A605" t="inlineStr">
        <is>
          <t>daf8742a55a82df5518ff49094a4829b</t>
        </is>
      </c>
      <c r="B605" t="inlineStr">
        <is>
          <t>2017-06-04</t>
        </is>
      </c>
      <c r="C605" t="inlineStr">
        <is>
          <t>2017-06</t>
        </is>
      </c>
      <c r="D605" t="inlineStr">
        <is>
          <t>SP</t>
        </is>
      </c>
      <c r="E605" t="inlineStr">
        <is>
          <t>housewares</t>
        </is>
      </c>
      <c r="F605" t="n">
        <v>1</v>
      </c>
      <c r="G605" t="n">
        <v>32</v>
      </c>
      <c r="H605" t="n">
        <v>7.78</v>
      </c>
      <c r="I605" t="inlineStr">
        <is>
          <t>credit_card</t>
        </is>
      </c>
      <c r="J605" t="n">
        <v>3</v>
      </c>
      <c r="K605" t="inlineStr">
        <is>
          <t>On Time</t>
        </is>
      </c>
      <c r="L605" t="n">
        <v>4</v>
      </c>
      <c r="M605">
        <f>VLOOKUP(D605,State_Lookup!$A$2:$B$28,2,FALSE)</f>
        <v/>
      </c>
    </row>
    <row r="606">
      <c r="A606" t="inlineStr">
        <is>
          <t>0108fba93678555ad1cec9c267848187</t>
        </is>
      </c>
      <c r="B606" t="inlineStr">
        <is>
          <t>2017-06-04</t>
        </is>
      </c>
      <c r="C606" t="inlineStr">
        <is>
          <t>2017-06</t>
        </is>
      </c>
      <c r="D606" t="inlineStr">
        <is>
          <t>SP</t>
        </is>
      </c>
      <c r="E606" t="inlineStr">
        <is>
          <t>sports_leisure</t>
        </is>
      </c>
      <c r="F606" t="n">
        <v>1</v>
      </c>
      <c r="G606" t="n">
        <v>199</v>
      </c>
      <c r="H606" t="n">
        <v>20.12</v>
      </c>
      <c r="I606" t="inlineStr">
        <is>
          <t>credit_card</t>
        </is>
      </c>
      <c r="J606" t="n">
        <v>2</v>
      </c>
      <c r="K606" t="inlineStr">
        <is>
          <t>On Time</t>
        </is>
      </c>
      <c r="L606" t="n">
        <v>5</v>
      </c>
      <c r="M606">
        <f>VLOOKUP(D606,State_Lookup!$A$2:$B$28,2,FALSE)</f>
        <v/>
      </c>
    </row>
    <row r="607">
      <c r="A607" t="inlineStr">
        <is>
          <t>dfc6c80c73f6b324371273bd97e19c3f</t>
        </is>
      </c>
      <c r="B607" t="inlineStr">
        <is>
          <t>2017-06-04</t>
        </is>
      </c>
      <c r="C607" t="inlineStr">
        <is>
          <t>2017-06</t>
        </is>
      </c>
      <c r="D607" t="inlineStr">
        <is>
          <t>SP</t>
        </is>
      </c>
      <c r="E607" t="inlineStr">
        <is>
          <t>sports_leisure</t>
        </is>
      </c>
      <c r="F607" t="n">
        <v>1</v>
      </c>
      <c r="G607" t="n">
        <v>59.9</v>
      </c>
      <c r="H607" t="n">
        <v>9.34</v>
      </c>
      <c r="I607" t="inlineStr">
        <is>
          <t>credit_card</t>
        </is>
      </c>
      <c r="J607" t="n">
        <v>4</v>
      </c>
      <c r="K607" t="inlineStr">
        <is>
          <t>On Time</t>
        </is>
      </c>
      <c r="L607" t="n">
        <v>5</v>
      </c>
      <c r="M607">
        <f>VLOOKUP(D607,State_Lookup!$A$2:$B$28,2,FALSE)</f>
        <v/>
      </c>
    </row>
    <row r="608">
      <c r="A608" t="inlineStr">
        <is>
          <t>53b28c9fd34d5fa0747bfc3032b0a8e7</t>
        </is>
      </c>
      <c r="B608" t="inlineStr">
        <is>
          <t>2017-06-04</t>
        </is>
      </c>
      <c r="C608" t="inlineStr">
        <is>
          <t>2017-06</t>
        </is>
      </c>
      <c r="D608" t="inlineStr">
        <is>
          <t>CE</t>
        </is>
      </c>
      <c r="E608" t="inlineStr">
        <is>
          <t>telephony</t>
        </is>
      </c>
      <c r="F608" t="n">
        <v>1</v>
      </c>
      <c r="G608" t="n">
        <v>25.99</v>
      </c>
      <c r="H608" t="n">
        <v>17.63</v>
      </c>
      <c r="I608" t="inlineStr">
        <is>
          <t>credit_card</t>
        </is>
      </c>
      <c r="J608" t="n">
        <v>7</v>
      </c>
      <c r="K608" t="inlineStr">
        <is>
          <t>On Time</t>
        </is>
      </c>
      <c r="L608" t="n">
        <v>5</v>
      </c>
      <c r="M608">
        <f>VLOOKUP(D608,State_Lookup!$A$2:$B$28,2,FALSE)</f>
        <v/>
      </c>
    </row>
    <row r="609">
      <c r="A609" t="inlineStr">
        <is>
          <t>dfc2207ff43ff152e5a94f9c580ffe7f</t>
        </is>
      </c>
      <c r="B609" t="inlineStr">
        <is>
          <t>2017-06-05</t>
        </is>
      </c>
      <c r="C609" t="inlineStr">
        <is>
          <t>2017-06</t>
        </is>
      </c>
      <c r="D609" t="inlineStr">
        <is>
          <t>SP</t>
        </is>
      </c>
      <c r="E609" t="inlineStr">
        <is>
          <t>pet_shop</t>
        </is>
      </c>
      <c r="F609" t="n">
        <v>1</v>
      </c>
      <c r="G609" t="n">
        <v>51.99</v>
      </c>
      <c r="H609" t="n">
        <v>14.11</v>
      </c>
      <c r="I609" t="inlineStr">
        <is>
          <t>credit_card</t>
        </is>
      </c>
      <c r="J609" t="n">
        <v>7</v>
      </c>
      <c r="K609" t="inlineStr">
        <is>
          <t>On Time</t>
        </is>
      </c>
      <c r="L609" t="n">
        <v>5</v>
      </c>
      <c r="M609">
        <f>VLOOKUP(D609,State_Lookup!$A$2:$B$28,2,FALSE)</f>
        <v/>
      </c>
    </row>
    <row r="610">
      <c r="A610" t="inlineStr">
        <is>
          <t>590fcec4757400bd9242620948a437b7</t>
        </is>
      </c>
      <c r="B610" t="inlineStr">
        <is>
          <t>2017-06-05</t>
        </is>
      </c>
      <c r="C610" t="inlineStr">
        <is>
          <t>2017-06</t>
        </is>
      </c>
      <c r="D610" t="inlineStr">
        <is>
          <t>PR</t>
        </is>
      </c>
      <c r="E610" t="inlineStr">
        <is>
          <t>furniture_decor</t>
        </is>
      </c>
      <c r="F610" t="n">
        <v>1</v>
      </c>
      <c r="G610" t="n">
        <v>59.55</v>
      </c>
      <c r="H610" t="n">
        <v>16.18</v>
      </c>
      <c r="I610" t="inlineStr">
        <is>
          <t>credit_card</t>
        </is>
      </c>
      <c r="J610" t="n">
        <v>14</v>
      </c>
      <c r="K610" t="inlineStr">
        <is>
          <t>On Time</t>
        </is>
      </c>
      <c r="L610" t="n">
        <v>4</v>
      </c>
      <c r="M610">
        <f>VLOOKUP(D610,State_Lookup!$A$2:$B$28,2,FALSE)</f>
        <v/>
      </c>
    </row>
    <row r="611">
      <c r="A611" t="inlineStr">
        <is>
          <t>c6068d7bd43960fb4924a456c897d52a</t>
        </is>
      </c>
      <c r="B611" t="inlineStr">
        <is>
          <t>2017-06-05</t>
        </is>
      </c>
      <c r="C611" t="inlineStr">
        <is>
          <t>2017-06</t>
        </is>
      </c>
      <c r="D611" t="inlineStr">
        <is>
          <t>SP</t>
        </is>
      </c>
      <c r="E611" t="inlineStr">
        <is>
          <t>health_beauty</t>
        </is>
      </c>
      <c r="F611" t="n">
        <v>1</v>
      </c>
      <c r="G611" t="n">
        <v>19.99</v>
      </c>
      <c r="H611" t="n">
        <v>7.78</v>
      </c>
      <c r="I611" t="inlineStr">
        <is>
          <t>credit_card</t>
        </is>
      </c>
      <c r="J611" t="n">
        <v>2</v>
      </c>
      <c r="K611" t="inlineStr">
        <is>
          <t>On Time</t>
        </is>
      </c>
      <c r="L611" t="n">
        <v>5</v>
      </c>
      <c r="M611">
        <f>VLOOKUP(D611,State_Lookup!$A$2:$B$28,2,FALSE)</f>
        <v/>
      </c>
    </row>
    <row r="612">
      <c r="A612" t="inlineStr">
        <is>
          <t>805610c9f9b57b3900d462627b7ce062</t>
        </is>
      </c>
      <c r="B612" t="inlineStr">
        <is>
          <t>2017-06-05</t>
        </is>
      </c>
      <c r="C612" t="inlineStr">
        <is>
          <t>2017-06</t>
        </is>
      </c>
      <c r="D612" t="inlineStr">
        <is>
          <t>SC</t>
        </is>
      </c>
      <c r="E612" t="inlineStr">
        <is>
          <t>housewares</t>
        </is>
      </c>
      <c r="F612" t="n">
        <v>1</v>
      </c>
      <c r="G612" t="n">
        <v>47.99</v>
      </c>
      <c r="H612" t="n">
        <v>16.11</v>
      </c>
      <c r="I612" t="inlineStr">
        <is>
          <t>boleto</t>
        </is>
      </c>
      <c r="J612" t="n">
        <v>20</v>
      </c>
      <c r="K612" t="inlineStr">
        <is>
          <t>On Time</t>
        </is>
      </c>
      <c r="L612" t="n">
        <v>5</v>
      </c>
      <c r="M612">
        <f>VLOOKUP(D612,State_Lookup!$A$2:$B$28,2,FALSE)</f>
        <v/>
      </c>
    </row>
    <row r="613">
      <c r="A613" t="inlineStr">
        <is>
          <t>7dc55217695a2ec178b513fa24188247</t>
        </is>
      </c>
      <c r="B613" t="inlineStr">
        <is>
          <t>2017-06-05</t>
        </is>
      </c>
      <c r="C613" t="inlineStr">
        <is>
          <t>2017-06</t>
        </is>
      </c>
      <c r="D613" t="inlineStr">
        <is>
          <t>DF</t>
        </is>
      </c>
      <c r="E613" t="inlineStr">
        <is>
          <t>bed_bath_table</t>
        </is>
      </c>
      <c r="F613" t="n">
        <v>2</v>
      </c>
      <c r="G613" t="n">
        <v>37.98</v>
      </c>
      <c r="H613" t="n">
        <v>30.2</v>
      </c>
      <c r="I613" t="inlineStr">
        <is>
          <t>credit_card</t>
        </is>
      </c>
      <c r="J613" t="n">
        <v>22</v>
      </c>
      <c r="K613" t="inlineStr">
        <is>
          <t>On Time</t>
        </is>
      </c>
      <c r="L613" t="n">
        <v>2</v>
      </c>
      <c r="M613">
        <f>VLOOKUP(D613,State_Lookup!$A$2:$B$28,2,FALSE)</f>
        <v/>
      </c>
    </row>
    <row r="614">
      <c r="A614" t="inlineStr">
        <is>
          <t>d2a63eace67f829427a227b535bf9b5c</t>
        </is>
      </c>
      <c r="B614" t="inlineStr">
        <is>
          <t>2017-06-05</t>
        </is>
      </c>
      <c r="C614" t="inlineStr">
        <is>
          <t>2017-06</t>
        </is>
      </c>
      <c r="D614" t="inlineStr">
        <is>
          <t>MG</t>
        </is>
      </c>
      <c r="E614" t="inlineStr">
        <is>
          <t>telephony</t>
        </is>
      </c>
      <c r="F614" t="n">
        <v>1</v>
      </c>
      <c r="G614" t="n">
        <v>18.99</v>
      </c>
      <c r="H614" t="n">
        <v>15.1</v>
      </c>
      <c r="I614" t="inlineStr">
        <is>
          <t>boleto</t>
        </is>
      </c>
      <c r="J614" t="n">
        <v>10</v>
      </c>
      <c r="K614" t="inlineStr">
        <is>
          <t>On Time</t>
        </is>
      </c>
      <c r="L614" t="n">
        <v>5</v>
      </c>
      <c r="M614">
        <f>VLOOKUP(D614,State_Lookup!$A$2:$B$28,2,FALSE)</f>
        <v/>
      </c>
    </row>
    <row r="615">
      <c r="A615" t="inlineStr">
        <is>
          <t>55e62ea5906d028721528c19cdd49bb0</t>
        </is>
      </c>
      <c r="B615" t="inlineStr">
        <is>
          <t>2017-06-05</t>
        </is>
      </c>
      <c r="C615" t="inlineStr">
        <is>
          <t>2017-06</t>
        </is>
      </c>
      <c r="D615" t="inlineStr">
        <is>
          <t>SP</t>
        </is>
      </c>
      <c r="E615" t="inlineStr">
        <is>
          <t>telephony</t>
        </is>
      </c>
      <c r="F615" t="n">
        <v>1</v>
      </c>
      <c r="G615" t="n">
        <v>16.5</v>
      </c>
      <c r="H615" t="n">
        <v>7.78</v>
      </c>
      <c r="I615" t="inlineStr">
        <is>
          <t>credit_card</t>
        </is>
      </c>
      <c r="J615" t="n">
        <v>6</v>
      </c>
      <c r="K615" t="inlineStr">
        <is>
          <t>On Time</t>
        </is>
      </c>
      <c r="L615" t="n">
        <v>5</v>
      </c>
      <c r="M615">
        <f>VLOOKUP(D615,State_Lookup!$A$2:$B$28,2,FALSE)</f>
        <v/>
      </c>
    </row>
    <row r="616">
      <c r="A616" t="inlineStr">
        <is>
          <t>df2d910b8b5e5f461f67043489f9569d</t>
        </is>
      </c>
      <c r="B616" t="inlineStr">
        <is>
          <t>2017-06-05</t>
        </is>
      </c>
      <c r="C616" t="inlineStr">
        <is>
          <t>2017-06</t>
        </is>
      </c>
      <c r="D616" t="inlineStr">
        <is>
          <t>PE</t>
        </is>
      </c>
      <c r="E616" t="inlineStr">
        <is>
          <t>cool_stuff</t>
        </is>
      </c>
      <c r="F616" t="n">
        <v>1</v>
      </c>
      <c r="G616" t="n">
        <v>55.9</v>
      </c>
      <c r="H616" t="n">
        <v>35.71</v>
      </c>
      <c r="I616" t="inlineStr">
        <is>
          <t>credit_card</t>
        </is>
      </c>
      <c r="J616" t="n">
        <v>21</v>
      </c>
      <c r="K616" t="inlineStr">
        <is>
          <t>On Time</t>
        </is>
      </c>
      <c r="L616" t="n">
        <v>1</v>
      </c>
      <c r="M616">
        <f>VLOOKUP(D616,State_Lookup!$A$2:$B$28,2,FALSE)</f>
        <v/>
      </c>
    </row>
    <row r="617">
      <c r="A617" t="inlineStr">
        <is>
          <t>6967b2016aa2f75c1547e72d299a82d4</t>
        </is>
      </c>
      <c r="B617" t="inlineStr">
        <is>
          <t>2017-06-05</t>
        </is>
      </c>
      <c r="C617" t="inlineStr">
        <is>
          <t>2017-06</t>
        </is>
      </c>
      <c r="D617" t="inlineStr">
        <is>
          <t>SP</t>
        </is>
      </c>
      <c r="E617" t="inlineStr">
        <is>
          <t>furniture_decor</t>
        </is>
      </c>
      <c r="F617" t="n">
        <v>1</v>
      </c>
      <c r="G617" t="n">
        <v>44.35</v>
      </c>
      <c r="H617" t="n">
        <v>13.37</v>
      </c>
      <c r="I617" t="inlineStr">
        <is>
          <t>credit_card</t>
        </is>
      </c>
      <c r="J617" t="n">
        <v>10</v>
      </c>
      <c r="K617" t="inlineStr">
        <is>
          <t>On Time</t>
        </is>
      </c>
      <c r="L617" t="n">
        <v>2</v>
      </c>
      <c r="M617">
        <f>VLOOKUP(D617,State_Lookup!$A$2:$B$28,2,FALSE)</f>
        <v/>
      </c>
    </row>
    <row r="618">
      <c r="A618" t="inlineStr">
        <is>
          <t>fc79d61f2a305370fd69ee2c8048d5af</t>
        </is>
      </c>
      <c r="B618" t="inlineStr">
        <is>
          <t>2017-06-05</t>
        </is>
      </c>
      <c r="C618" t="inlineStr">
        <is>
          <t>2017-06</t>
        </is>
      </c>
      <c r="D618" t="inlineStr">
        <is>
          <t>RS</t>
        </is>
      </c>
      <c r="E618" t="inlineStr">
        <is>
          <t>health_beauty</t>
        </is>
      </c>
      <c r="F618" t="n">
        <v>1</v>
      </c>
      <c r="G618" t="n">
        <v>74.90000000000001</v>
      </c>
      <c r="H618" t="n">
        <v>21.01</v>
      </c>
      <c r="I618" t="inlineStr">
        <is>
          <t>credit_card</t>
        </is>
      </c>
      <c r="J618" t="n">
        <v>7</v>
      </c>
      <c r="K618" t="inlineStr">
        <is>
          <t>On Time</t>
        </is>
      </c>
      <c r="L618" t="n">
        <v>5</v>
      </c>
      <c r="M618">
        <f>VLOOKUP(D618,State_Lookup!$A$2:$B$28,2,FALSE)</f>
        <v/>
      </c>
    </row>
    <row r="619">
      <c r="A619" t="inlineStr">
        <is>
          <t>a1b3dfb15a60b4a575af043c73f2a3d5</t>
        </is>
      </c>
      <c r="B619" t="inlineStr">
        <is>
          <t>2017-06-06</t>
        </is>
      </c>
      <c r="C619" t="inlineStr">
        <is>
          <t>2017-06</t>
        </is>
      </c>
      <c r="D619" t="inlineStr">
        <is>
          <t>SP</t>
        </is>
      </c>
      <c r="E619" t="inlineStr">
        <is>
          <t>office_furniture</t>
        </is>
      </c>
      <c r="F619" t="n">
        <v>1</v>
      </c>
      <c r="G619" t="n">
        <v>269.99</v>
      </c>
      <c r="H619" t="n">
        <v>32.19</v>
      </c>
      <c r="I619" t="inlineStr">
        <is>
          <t>credit_card</t>
        </is>
      </c>
      <c r="J619" t="n">
        <v>13</v>
      </c>
      <c r="K619" t="inlineStr">
        <is>
          <t>On Time</t>
        </is>
      </c>
      <c r="L619" t="n">
        <v>5</v>
      </c>
      <c r="M619">
        <f>VLOOKUP(D619,State_Lookup!$A$2:$B$28,2,FALSE)</f>
        <v/>
      </c>
    </row>
    <row r="620">
      <c r="A620" t="inlineStr">
        <is>
          <t>c3e808e0aba3cd04567957666cdbe28d</t>
        </is>
      </c>
      <c r="B620" t="inlineStr">
        <is>
          <t>2017-06-06</t>
        </is>
      </c>
      <c r="C620" t="inlineStr">
        <is>
          <t>2017-06</t>
        </is>
      </c>
      <c r="D620" t="inlineStr">
        <is>
          <t>SP</t>
        </is>
      </c>
      <c r="E620" t="inlineStr">
        <is>
          <t>telephony</t>
        </is>
      </c>
      <c r="F620" t="n">
        <v>1</v>
      </c>
      <c r="G620" t="n">
        <v>17.99</v>
      </c>
      <c r="H620" t="n">
        <v>11.85</v>
      </c>
      <c r="I620" t="inlineStr">
        <is>
          <t>boleto</t>
        </is>
      </c>
      <c r="J620" t="n">
        <v>16</v>
      </c>
      <c r="K620" t="inlineStr">
        <is>
          <t>On Time</t>
        </is>
      </c>
      <c r="L620" t="n">
        <v>5</v>
      </c>
      <c r="M620">
        <f>VLOOKUP(D620,State_Lookup!$A$2:$B$28,2,FALSE)</f>
        <v/>
      </c>
    </row>
    <row r="621">
      <c r="A621" t="inlineStr">
        <is>
          <t>d695ec0f70b323de0ce4eda82582faac</t>
        </is>
      </c>
      <c r="B621" t="inlineStr">
        <is>
          <t>2017-06-06</t>
        </is>
      </c>
      <c r="C621" t="inlineStr">
        <is>
          <t>2017-06</t>
        </is>
      </c>
      <c r="D621" t="inlineStr">
        <is>
          <t>SP</t>
        </is>
      </c>
      <c r="E621" t="inlineStr">
        <is>
          <t>fashion_bags_accessories</t>
        </is>
      </c>
      <c r="F621" t="n">
        <v>1</v>
      </c>
      <c r="G621" t="n">
        <v>109.9</v>
      </c>
      <c r="H621" t="n">
        <v>14.52</v>
      </c>
      <c r="I621" t="inlineStr">
        <is>
          <t>credit_card</t>
        </is>
      </c>
      <c r="J621" t="n">
        <v>5</v>
      </c>
      <c r="K621" t="inlineStr">
        <is>
          <t>On Time</t>
        </is>
      </c>
      <c r="L621" t="n">
        <v>3</v>
      </c>
      <c r="M621">
        <f>VLOOKUP(D621,State_Lookup!$A$2:$B$28,2,FALSE)</f>
        <v/>
      </c>
    </row>
    <row r="622">
      <c r="A622" t="inlineStr">
        <is>
          <t>1c81cddd8cd868c4f95fa77dde1810d7</t>
        </is>
      </c>
      <c r="B622" t="inlineStr">
        <is>
          <t>2017-06-06</t>
        </is>
      </c>
      <c r="C622" t="inlineStr">
        <is>
          <t>2017-06</t>
        </is>
      </c>
      <c r="D622" t="inlineStr">
        <is>
          <t>PE</t>
        </is>
      </c>
      <c r="E622" t="inlineStr">
        <is>
          <t>bed_bath_table</t>
        </is>
      </c>
      <c r="F622" t="n">
        <v>1</v>
      </c>
      <c r="G622" t="n">
        <v>18.9</v>
      </c>
      <c r="H622" t="n">
        <v>25.63</v>
      </c>
      <c r="I622" t="inlineStr">
        <is>
          <t>credit_card</t>
        </is>
      </c>
      <c r="J622" t="n">
        <v>22</v>
      </c>
      <c r="K622" t="inlineStr">
        <is>
          <t>On Time</t>
        </is>
      </c>
      <c r="L622" t="n">
        <v>5</v>
      </c>
      <c r="M622">
        <f>VLOOKUP(D622,State_Lookup!$A$2:$B$28,2,FALSE)</f>
        <v/>
      </c>
    </row>
    <row r="623">
      <c r="A623" t="inlineStr">
        <is>
          <t>36b65b129c6d1404bbbb77935829a338</t>
        </is>
      </c>
      <c r="B623" t="inlineStr">
        <is>
          <t>2017-06-06</t>
        </is>
      </c>
      <c r="C623" t="inlineStr">
        <is>
          <t>2017-06</t>
        </is>
      </c>
      <c r="D623" t="inlineStr">
        <is>
          <t>SC</t>
        </is>
      </c>
      <c r="E623" t="inlineStr">
        <is>
          <t>computers_accessories</t>
        </is>
      </c>
      <c r="F623" t="n">
        <v>2</v>
      </c>
      <c r="G623" t="n">
        <v>49.96</v>
      </c>
      <c r="H623" t="n">
        <v>25.2</v>
      </c>
      <c r="I623" t="inlineStr">
        <is>
          <t>boleto</t>
        </is>
      </c>
      <c r="J623" t="n">
        <v>5</v>
      </c>
      <c r="K623" t="inlineStr">
        <is>
          <t>On Time</t>
        </is>
      </c>
      <c r="L623" t="n">
        <v>4</v>
      </c>
      <c r="M623">
        <f>VLOOKUP(D623,State_Lookup!$A$2:$B$28,2,FALSE)</f>
        <v/>
      </c>
    </row>
    <row r="624">
      <c r="A624" t="inlineStr">
        <is>
          <t>814b1f69511cfbaa3b54bf7701c7a475</t>
        </is>
      </c>
      <c r="B624" t="inlineStr">
        <is>
          <t>2017-06-06</t>
        </is>
      </c>
      <c r="C624" t="inlineStr">
        <is>
          <t>2017-06</t>
        </is>
      </c>
      <c r="D624" t="inlineStr">
        <is>
          <t>PR</t>
        </is>
      </c>
      <c r="E624" t="inlineStr">
        <is>
          <t>cool_stuff</t>
        </is>
      </c>
      <c r="F624" t="n">
        <v>1</v>
      </c>
      <c r="G624" t="n">
        <v>78.09999999999999</v>
      </c>
      <c r="H624" t="n">
        <v>15.31</v>
      </c>
      <c r="I624" t="inlineStr">
        <is>
          <t>boleto</t>
        </is>
      </c>
      <c r="J624" t="n">
        <v>12</v>
      </c>
      <c r="K624" t="inlineStr">
        <is>
          <t>On Time</t>
        </is>
      </c>
      <c r="L624" t="n">
        <v>4</v>
      </c>
      <c r="M624">
        <f>VLOOKUP(D624,State_Lookup!$A$2:$B$28,2,FALSE)</f>
        <v/>
      </c>
    </row>
    <row r="625">
      <c r="A625" t="inlineStr">
        <is>
          <t>bb5a21810a3c7edf1efb45309d98aac9</t>
        </is>
      </c>
      <c r="B625" t="inlineStr">
        <is>
          <t>2017-06-06</t>
        </is>
      </c>
      <c r="C625" t="inlineStr">
        <is>
          <t>2017-06</t>
        </is>
      </c>
      <c r="D625" t="inlineStr">
        <is>
          <t>MG</t>
        </is>
      </c>
      <c r="E625" t="inlineStr">
        <is>
          <t>sports_leisure</t>
        </is>
      </c>
      <c r="F625" t="n">
        <v>1</v>
      </c>
      <c r="G625" t="n">
        <v>59.9</v>
      </c>
      <c r="H625" t="n">
        <v>16.86</v>
      </c>
      <c r="I625" t="inlineStr">
        <is>
          <t>credit_card</t>
        </is>
      </c>
      <c r="J625" t="n">
        <v>8</v>
      </c>
      <c r="K625" t="inlineStr">
        <is>
          <t>On Time</t>
        </is>
      </c>
      <c r="L625" t="n">
        <v>4</v>
      </c>
      <c r="M625">
        <f>VLOOKUP(D625,State_Lookup!$A$2:$B$28,2,FALSE)</f>
        <v/>
      </c>
    </row>
    <row r="626">
      <c r="A626" t="inlineStr">
        <is>
          <t>5e3f975c4be17dfadd26987a66fd8061</t>
        </is>
      </c>
      <c r="B626" t="inlineStr">
        <is>
          <t>2017-06-06</t>
        </is>
      </c>
      <c r="C626" t="inlineStr">
        <is>
          <t>2017-06</t>
        </is>
      </c>
      <c r="D626" t="inlineStr">
        <is>
          <t>SP</t>
        </is>
      </c>
      <c r="E626" t="inlineStr">
        <is>
          <t>furniture_decor</t>
        </is>
      </c>
      <c r="F626" t="n">
        <v>1</v>
      </c>
      <c r="G626" t="n">
        <v>73.34999999999999</v>
      </c>
      <c r="H626" t="n">
        <v>12.85</v>
      </c>
      <c r="I626" t="inlineStr">
        <is>
          <t>credit_card</t>
        </is>
      </c>
      <c r="J626" t="n">
        <v>28</v>
      </c>
      <c r="K626" t="inlineStr">
        <is>
          <t>Late</t>
        </is>
      </c>
      <c r="L626" t="n">
        <v>1</v>
      </c>
      <c r="M626">
        <f>VLOOKUP(D626,State_Lookup!$A$2:$B$28,2,FALSE)</f>
        <v/>
      </c>
    </row>
    <row r="627">
      <c r="A627" t="inlineStr">
        <is>
          <t>68c3db91b9a3d1ad879db9e54d426f4d</t>
        </is>
      </c>
      <c r="B627" t="inlineStr">
        <is>
          <t>2017-06-07</t>
        </is>
      </c>
      <c r="C627" t="inlineStr">
        <is>
          <t>2017-06</t>
        </is>
      </c>
      <c r="D627" t="inlineStr">
        <is>
          <t>MG</t>
        </is>
      </c>
      <c r="E627" t="inlineStr">
        <is>
          <t>bed_bath_table</t>
        </is>
      </c>
      <c r="F627" t="n">
        <v>1</v>
      </c>
      <c r="G627" t="n">
        <v>89.90000000000001</v>
      </c>
      <c r="H627" t="n">
        <v>17.88</v>
      </c>
      <c r="I627" t="inlineStr">
        <is>
          <t>credit_card</t>
        </is>
      </c>
      <c r="J627" t="n">
        <v>11</v>
      </c>
      <c r="K627" t="inlineStr">
        <is>
          <t>On Time</t>
        </is>
      </c>
      <c r="L627" t="n">
        <v>5</v>
      </c>
      <c r="M627">
        <f>VLOOKUP(D627,State_Lookup!$A$2:$B$28,2,FALSE)</f>
        <v/>
      </c>
    </row>
    <row r="628">
      <c r="A628" t="inlineStr">
        <is>
          <t>c348b5c61b62673ad4d11a8564de5742</t>
        </is>
      </c>
      <c r="B628" t="inlineStr">
        <is>
          <t>2017-06-07</t>
        </is>
      </c>
      <c r="C628" t="inlineStr">
        <is>
          <t>2017-06</t>
        </is>
      </c>
      <c r="D628" t="inlineStr">
        <is>
          <t>PE</t>
        </is>
      </c>
      <c r="E628" t="inlineStr">
        <is>
          <t>furniture_decor</t>
        </is>
      </c>
      <c r="F628" t="n">
        <v>1</v>
      </c>
      <c r="G628" t="n">
        <v>69.90000000000001</v>
      </c>
      <c r="H628" t="n">
        <v>25.77</v>
      </c>
      <c r="I628" t="inlineStr">
        <is>
          <t>credit_card</t>
        </is>
      </c>
      <c r="J628" t="n">
        <v>47</v>
      </c>
      <c r="K628" t="inlineStr">
        <is>
          <t>Late</t>
        </is>
      </c>
      <c r="L628" t="n">
        <v>1</v>
      </c>
      <c r="M628">
        <f>VLOOKUP(D628,State_Lookup!$A$2:$B$28,2,FALSE)</f>
        <v/>
      </c>
    </row>
    <row r="629">
      <c r="A629" t="inlineStr">
        <is>
          <t>4527fe780d1facd3191d875fd794b233</t>
        </is>
      </c>
      <c r="B629" t="inlineStr">
        <is>
          <t>2017-06-07</t>
        </is>
      </c>
      <c r="C629" t="inlineStr">
        <is>
          <t>2017-06</t>
        </is>
      </c>
      <c r="D629" t="inlineStr">
        <is>
          <t>SP</t>
        </is>
      </c>
      <c r="E629" t="inlineStr">
        <is>
          <t>pet_shop</t>
        </is>
      </c>
      <c r="F629" t="n">
        <v>1</v>
      </c>
      <c r="G629" t="n">
        <v>61.9</v>
      </c>
      <c r="H629" t="n">
        <v>12.77</v>
      </c>
      <c r="I629" t="inlineStr">
        <is>
          <t>voucher</t>
        </is>
      </c>
      <c r="J629" t="n">
        <v>4</v>
      </c>
      <c r="K629" t="inlineStr">
        <is>
          <t>On Time</t>
        </is>
      </c>
      <c r="L629" t="n">
        <v>5</v>
      </c>
      <c r="M629">
        <f>VLOOKUP(D629,State_Lookup!$A$2:$B$28,2,FALSE)</f>
        <v/>
      </c>
    </row>
    <row r="630">
      <c r="A630" t="inlineStr">
        <is>
          <t>ce31aa6bc49989f71e4eb6f02f702f51</t>
        </is>
      </c>
      <c r="B630" t="inlineStr">
        <is>
          <t>2017-06-07</t>
        </is>
      </c>
      <c r="C630" t="inlineStr">
        <is>
          <t>2017-06</t>
        </is>
      </c>
      <c r="D630" t="inlineStr">
        <is>
          <t>SC</t>
        </is>
      </c>
      <c r="E630" t="inlineStr">
        <is>
          <t>sports_leisure</t>
        </is>
      </c>
      <c r="F630" t="n">
        <v>2</v>
      </c>
      <c r="G630" t="n">
        <v>59.98</v>
      </c>
      <c r="H630" t="n">
        <v>19.88</v>
      </c>
      <c r="I630" t="inlineStr">
        <is>
          <t>credit_card</t>
        </is>
      </c>
      <c r="J630" t="n">
        <v>2</v>
      </c>
      <c r="K630" t="inlineStr">
        <is>
          <t>On Time</t>
        </is>
      </c>
      <c r="L630" t="n">
        <v>4</v>
      </c>
      <c r="M630">
        <f>VLOOKUP(D630,State_Lookup!$A$2:$B$28,2,FALSE)</f>
        <v/>
      </c>
    </row>
    <row r="631">
      <c r="A631" t="inlineStr">
        <is>
          <t>21ff4faf5460988340a9675233bd0d1b</t>
        </is>
      </c>
      <c r="B631" t="inlineStr">
        <is>
          <t>2017-06-07</t>
        </is>
      </c>
      <c r="C631" t="inlineStr">
        <is>
          <t>2017-06</t>
        </is>
      </c>
      <c r="D631" t="inlineStr">
        <is>
          <t>MG</t>
        </is>
      </c>
      <c r="E631" t="inlineStr">
        <is>
          <t>sports_leisure</t>
        </is>
      </c>
      <c r="F631" t="n">
        <v>1</v>
      </c>
      <c r="G631" t="n">
        <v>36</v>
      </c>
      <c r="H631" t="n">
        <v>17.6</v>
      </c>
      <c r="I631" t="inlineStr">
        <is>
          <t>voucher</t>
        </is>
      </c>
      <c r="J631" t="n">
        <v>11</v>
      </c>
      <c r="K631" t="inlineStr">
        <is>
          <t>On Time</t>
        </is>
      </c>
      <c r="L631" t="n">
        <v>4</v>
      </c>
      <c r="M631">
        <f>VLOOKUP(D631,State_Lookup!$A$2:$B$28,2,FALSE)</f>
        <v/>
      </c>
    </row>
    <row r="632">
      <c r="A632" t="inlineStr">
        <is>
          <t>bda890cf0f7976e4e2af17ed814336fc</t>
        </is>
      </c>
      <c r="B632" t="inlineStr">
        <is>
          <t>2017-06-07</t>
        </is>
      </c>
      <c r="C632" t="inlineStr">
        <is>
          <t>2017-06</t>
        </is>
      </c>
      <c r="D632" t="inlineStr">
        <is>
          <t>SP</t>
        </is>
      </c>
      <c r="E632" t="inlineStr">
        <is>
          <t>market_place</t>
        </is>
      </c>
      <c r="F632" t="n">
        <v>1</v>
      </c>
      <c r="G632" t="n">
        <v>28.99</v>
      </c>
      <c r="H632" t="n">
        <v>7.78</v>
      </c>
      <c r="I632" t="inlineStr">
        <is>
          <t>credit_card</t>
        </is>
      </c>
      <c r="J632" t="n">
        <v>7</v>
      </c>
      <c r="K632" t="inlineStr">
        <is>
          <t>On Time</t>
        </is>
      </c>
      <c r="L632" t="n">
        <v>4</v>
      </c>
      <c r="M632">
        <f>VLOOKUP(D632,State_Lookup!$A$2:$B$28,2,FALSE)</f>
        <v/>
      </c>
    </row>
    <row r="633">
      <c r="A633" t="inlineStr">
        <is>
          <t>74c1ccaaf1d9e3db6f82ed04fc985989</t>
        </is>
      </c>
      <c r="B633" t="inlineStr">
        <is>
          <t>2017-06-07</t>
        </is>
      </c>
      <c r="C633" t="inlineStr">
        <is>
          <t>2017-06</t>
        </is>
      </c>
      <c r="D633" t="inlineStr">
        <is>
          <t>RS</t>
        </is>
      </c>
      <c r="E633" t="inlineStr">
        <is>
          <t>garden_tools</t>
        </is>
      </c>
      <c r="F633" t="n">
        <v>3</v>
      </c>
      <c r="G633" t="n">
        <v>185.99</v>
      </c>
      <c r="H633" t="n">
        <v>69.17</v>
      </c>
      <c r="I633" t="inlineStr">
        <is>
          <t>credit_card</t>
        </is>
      </c>
      <c r="J633" t="n">
        <v>12</v>
      </c>
      <c r="K633" t="inlineStr">
        <is>
          <t>On Time</t>
        </is>
      </c>
      <c r="L633" t="n">
        <v>5</v>
      </c>
      <c r="M633">
        <f>VLOOKUP(D633,State_Lookup!$A$2:$B$28,2,FALSE)</f>
        <v/>
      </c>
    </row>
    <row r="634">
      <c r="A634" t="inlineStr">
        <is>
          <t>8edc3a87d7a72e4350d65c9e1c613089</t>
        </is>
      </c>
      <c r="B634" t="inlineStr">
        <is>
          <t>2017-06-08</t>
        </is>
      </c>
      <c r="C634" t="inlineStr">
        <is>
          <t>2017-06</t>
        </is>
      </c>
      <c r="D634" t="inlineStr">
        <is>
          <t>RJ</t>
        </is>
      </c>
      <c r="E634" t="inlineStr">
        <is>
          <t>market_place</t>
        </is>
      </c>
      <c r="F634" t="n">
        <v>2</v>
      </c>
      <c r="G634" t="n">
        <v>125.6</v>
      </c>
      <c r="H634" t="n">
        <v>28.38</v>
      </c>
      <c r="I634" t="inlineStr">
        <is>
          <t>credit_card</t>
        </is>
      </c>
      <c r="J634" t="n">
        <v>11</v>
      </c>
      <c r="K634" t="inlineStr">
        <is>
          <t>On Time</t>
        </is>
      </c>
      <c r="L634" t="n">
        <v>1</v>
      </c>
      <c r="M634">
        <f>VLOOKUP(D634,State_Lookup!$A$2:$B$28,2,FALSE)</f>
        <v/>
      </c>
    </row>
    <row r="635">
      <c r="A635" t="inlineStr">
        <is>
          <t>4cd1bfe6723bb2e83a8045cbea275c65</t>
        </is>
      </c>
      <c r="B635" t="inlineStr">
        <is>
          <t>2017-06-08</t>
        </is>
      </c>
      <c r="C635" t="inlineStr">
        <is>
          <t>2017-06</t>
        </is>
      </c>
      <c r="D635" t="inlineStr">
        <is>
          <t>SP</t>
        </is>
      </c>
      <c r="E635" t="inlineStr">
        <is>
          <t>toys</t>
        </is>
      </c>
      <c r="F635" t="n">
        <v>1</v>
      </c>
      <c r="G635" t="n">
        <v>119.8</v>
      </c>
      <c r="H635" t="n">
        <v>18</v>
      </c>
      <c r="I635" t="inlineStr">
        <is>
          <t>boleto</t>
        </is>
      </c>
      <c r="J635" t="n">
        <v>8</v>
      </c>
      <c r="K635" t="inlineStr">
        <is>
          <t>On Time</t>
        </is>
      </c>
      <c r="L635" t="n">
        <v>5</v>
      </c>
      <c r="M635">
        <f>VLOOKUP(D635,State_Lookup!$A$2:$B$28,2,FALSE)</f>
        <v/>
      </c>
    </row>
    <row r="636">
      <c r="A636" t="inlineStr">
        <is>
          <t>1db142fdab73b764609d8a15e7dd5a38</t>
        </is>
      </c>
      <c r="B636" t="inlineStr">
        <is>
          <t>2017-06-08</t>
        </is>
      </c>
      <c r="C636" t="inlineStr">
        <is>
          <t>2017-06</t>
        </is>
      </c>
      <c r="D636" t="inlineStr">
        <is>
          <t>SP</t>
        </is>
      </c>
      <c r="E636" t="inlineStr">
        <is>
          <t>auto</t>
        </is>
      </c>
      <c r="F636" t="n">
        <v>1</v>
      </c>
      <c r="G636" t="n">
        <v>379.9</v>
      </c>
      <c r="H636" t="n">
        <v>13.86</v>
      </c>
      <c r="I636" t="inlineStr">
        <is>
          <t>credit_card</t>
        </is>
      </c>
      <c r="J636" t="n">
        <v>3</v>
      </c>
      <c r="K636" t="inlineStr">
        <is>
          <t>On Time</t>
        </is>
      </c>
      <c r="L636" t="n">
        <v>4</v>
      </c>
      <c r="M636">
        <f>VLOOKUP(D636,State_Lookup!$A$2:$B$28,2,FALSE)</f>
        <v/>
      </c>
    </row>
    <row r="637">
      <c r="A637" t="inlineStr">
        <is>
          <t>1bb50def8a9e13b440ff996070fda0e9</t>
        </is>
      </c>
      <c r="B637" t="inlineStr">
        <is>
          <t>2017-06-08</t>
        </is>
      </c>
      <c r="C637" t="inlineStr">
        <is>
          <t>2017-06</t>
        </is>
      </c>
      <c r="D637" t="inlineStr">
        <is>
          <t>SP</t>
        </is>
      </c>
      <c r="E637" t="inlineStr">
        <is>
          <t>computers_accessories</t>
        </is>
      </c>
      <c r="F637" t="n">
        <v>1</v>
      </c>
      <c r="G637" t="n">
        <v>199.9</v>
      </c>
      <c r="H637" t="n">
        <v>18.65</v>
      </c>
      <c r="I637" t="inlineStr">
        <is>
          <t>credit_card</t>
        </is>
      </c>
      <c r="J637" t="n">
        <v>6</v>
      </c>
      <c r="K637" t="inlineStr">
        <is>
          <t>On Time</t>
        </is>
      </c>
      <c r="L637" t="n">
        <v>5</v>
      </c>
      <c r="M637">
        <f>VLOOKUP(D637,State_Lookup!$A$2:$B$28,2,FALSE)</f>
        <v/>
      </c>
    </row>
    <row r="638">
      <c r="A638" t="inlineStr">
        <is>
          <t>1313bcad758bb2cb6766488e4448de3f</t>
        </is>
      </c>
      <c r="B638" t="inlineStr">
        <is>
          <t>2017-06-08</t>
        </is>
      </c>
      <c r="C638" t="inlineStr">
        <is>
          <t>2017-06</t>
        </is>
      </c>
      <c r="D638" t="inlineStr">
        <is>
          <t>RJ</t>
        </is>
      </c>
      <c r="E638" t="inlineStr">
        <is>
          <t>housewares</t>
        </is>
      </c>
      <c r="F638" t="n">
        <v>1</v>
      </c>
      <c r="G638" t="n">
        <v>25.9</v>
      </c>
      <c r="H638" t="n">
        <v>15.1</v>
      </c>
      <c r="I638" t="inlineStr">
        <is>
          <t>credit_card</t>
        </is>
      </c>
      <c r="J638" t="n">
        <v>6</v>
      </c>
      <c r="K638" t="inlineStr">
        <is>
          <t>On Time</t>
        </is>
      </c>
      <c r="L638" t="n">
        <v>5</v>
      </c>
      <c r="M638">
        <f>VLOOKUP(D638,State_Lookup!$A$2:$B$28,2,FALSE)</f>
        <v/>
      </c>
    </row>
    <row r="639">
      <c r="A639" t="inlineStr">
        <is>
          <t>471203d247e323c6eeb7ddbea92e69f4</t>
        </is>
      </c>
      <c r="B639" t="inlineStr">
        <is>
          <t>2017-06-08</t>
        </is>
      </c>
      <c r="C639" t="inlineStr">
        <is>
          <t>2017-06</t>
        </is>
      </c>
      <c r="D639" t="inlineStr">
        <is>
          <t>RS</t>
        </is>
      </c>
      <c r="E639" t="inlineStr">
        <is>
          <t>fashion_bags_accessories</t>
        </is>
      </c>
      <c r="F639" t="n">
        <v>1</v>
      </c>
      <c r="G639" t="n">
        <v>74.98999999999999</v>
      </c>
      <c r="H639" t="n">
        <v>17.77</v>
      </c>
      <c r="I639" t="inlineStr">
        <is>
          <t>voucher</t>
        </is>
      </c>
      <c r="J639" t="n">
        <v>13</v>
      </c>
      <c r="K639" t="inlineStr">
        <is>
          <t>On Time</t>
        </is>
      </c>
      <c r="L639" t="n">
        <v>3</v>
      </c>
      <c r="M639">
        <f>VLOOKUP(D639,State_Lookup!$A$2:$B$28,2,FALSE)</f>
        <v/>
      </c>
    </row>
    <row r="640">
      <c r="A640" t="inlineStr">
        <is>
          <t>9cef759af57cfbaf537221a36730209f</t>
        </is>
      </c>
      <c r="B640" t="inlineStr">
        <is>
          <t>2017-06-08</t>
        </is>
      </c>
      <c r="C640" t="inlineStr">
        <is>
          <t>2017-06</t>
        </is>
      </c>
      <c r="D640" t="inlineStr">
        <is>
          <t>SP</t>
        </is>
      </c>
      <c r="E640" t="inlineStr">
        <is>
          <t>fashion_bags_accessories</t>
        </is>
      </c>
      <c r="F640" t="n">
        <v>1</v>
      </c>
      <c r="G640" t="n">
        <v>49.9</v>
      </c>
      <c r="H640" t="n">
        <v>11.85</v>
      </c>
      <c r="I640" t="inlineStr">
        <is>
          <t>credit_card</t>
        </is>
      </c>
      <c r="J640" t="n">
        <v>13</v>
      </c>
      <c r="K640" t="inlineStr">
        <is>
          <t>On Time</t>
        </is>
      </c>
      <c r="L640" t="n">
        <v>5</v>
      </c>
      <c r="M640">
        <f>VLOOKUP(D640,State_Lookup!$A$2:$B$28,2,FALSE)</f>
        <v/>
      </c>
    </row>
    <row r="641">
      <c r="A641" t="inlineStr">
        <is>
          <t>00dfb074b5c910fbd08e04691c4b712f</t>
        </is>
      </c>
      <c r="B641" t="inlineStr">
        <is>
          <t>2017-06-08</t>
        </is>
      </c>
      <c r="C641" t="inlineStr">
        <is>
          <t>2017-06</t>
        </is>
      </c>
      <c r="D641" t="inlineStr">
        <is>
          <t>SP</t>
        </is>
      </c>
      <c r="E641" t="inlineStr">
        <is>
          <t>garden_tools</t>
        </is>
      </c>
      <c r="F641" t="n">
        <v>1</v>
      </c>
      <c r="G641" t="n">
        <v>99.5</v>
      </c>
      <c r="H641" t="n">
        <v>35.07</v>
      </c>
      <c r="I641" t="inlineStr">
        <is>
          <t>credit_card</t>
        </is>
      </c>
      <c r="J641" t="n">
        <v>6</v>
      </c>
      <c r="K641" t="inlineStr">
        <is>
          <t>On Time</t>
        </is>
      </c>
      <c r="L641" t="n">
        <v>5</v>
      </c>
      <c r="M641">
        <f>VLOOKUP(D641,State_Lookup!$A$2:$B$28,2,FALSE)</f>
        <v/>
      </c>
    </row>
    <row r="642">
      <c r="A642" t="inlineStr">
        <is>
          <t>9f3bb89658a46c809fdd407e86914f94</t>
        </is>
      </c>
      <c r="B642" t="inlineStr">
        <is>
          <t>2017-06-09</t>
        </is>
      </c>
      <c r="C642" t="inlineStr">
        <is>
          <t>2017-06</t>
        </is>
      </c>
      <c r="D642" t="inlineStr">
        <is>
          <t>RJ</t>
        </is>
      </c>
      <c r="E642" t="inlineStr">
        <is>
          <t>auto</t>
        </is>
      </c>
      <c r="F642" t="n">
        <v>1</v>
      </c>
      <c r="G642" t="n">
        <v>99</v>
      </c>
      <c r="H642" t="n">
        <v>15.45</v>
      </c>
      <c r="I642" t="inlineStr">
        <is>
          <t>boleto</t>
        </is>
      </c>
      <c r="J642" t="n">
        <v>13</v>
      </c>
      <c r="K642" t="inlineStr">
        <is>
          <t>On Time</t>
        </is>
      </c>
      <c r="L642" t="n">
        <v>5</v>
      </c>
      <c r="M642">
        <f>VLOOKUP(D642,State_Lookup!$A$2:$B$28,2,FALSE)</f>
        <v/>
      </c>
    </row>
    <row r="643">
      <c r="A643" t="inlineStr">
        <is>
          <t>a589a29e4907819c966a0c4840b41ccc</t>
        </is>
      </c>
      <c r="B643" t="inlineStr">
        <is>
          <t>2017-06-09</t>
        </is>
      </c>
      <c r="C643" t="inlineStr">
        <is>
          <t>2017-06</t>
        </is>
      </c>
      <c r="D643" t="inlineStr">
        <is>
          <t>SP</t>
        </is>
      </c>
      <c r="E643" t="inlineStr">
        <is>
          <t>garden_tools</t>
        </is>
      </c>
      <c r="F643" t="n">
        <v>1</v>
      </c>
      <c r="G643" t="n">
        <v>89</v>
      </c>
      <c r="H643" t="n">
        <v>36.7</v>
      </c>
      <c r="I643" t="inlineStr">
        <is>
          <t>credit_card</t>
        </is>
      </c>
      <c r="J643" t="n">
        <v>10</v>
      </c>
      <c r="K643" t="inlineStr">
        <is>
          <t>On Time</t>
        </is>
      </c>
      <c r="L643" t="n">
        <v>5</v>
      </c>
      <c r="M643">
        <f>VLOOKUP(D643,State_Lookup!$A$2:$B$28,2,FALSE)</f>
        <v/>
      </c>
    </row>
    <row r="644">
      <c r="A644" t="inlineStr">
        <is>
          <t>669b9b0a3650913de5b761ff980d8c06</t>
        </is>
      </c>
      <c r="B644" t="inlineStr">
        <is>
          <t>2017-06-09</t>
        </is>
      </c>
      <c r="C644" t="inlineStr">
        <is>
          <t>2017-06</t>
        </is>
      </c>
      <c r="D644" t="inlineStr">
        <is>
          <t>RN</t>
        </is>
      </c>
      <c r="E644" t="inlineStr">
        <is>
          <t>health_beauty</t>
        </is>
      </c>
      <c r="F644" t="n">
        <v>1</v>
      </c>
      <c r="G644" t="n">
        <v>59.99</v>
      </c>
      <c r="H644" t="n">
        <v>21.22</v>
      </c>
      <c r="I644" t="inlineStr">
        <is>
          <t>credit_card</t>
        </is>
      </c>
      <c r="J644" t="n">
        <v>13</v>
      </c>
      <c r="K644" t="inlineStr">
        <is>
          <t>On Time</t>
        </is>
      </c>
      <c r="L644" t="n">
        <v>5</v>
      </c>
      <c r="M644">
        <f>VLOOKUP(D644,State_Lookup!$A$2:$B$28,2,FALSE)</f>
        <v/>
      </c>
    </row>
    <row r="645">
      <c r="A645" t="inlineStr">
        <is>
          <t>65e7cb43b74e1b86d2625b6e5b284019</t>
        </is>
      </c>
      <c r="B645" t="inlineStr">
        <is>
          <t>2017-06-09</t>
        </is>
      </c>
      <c r="C645" t="inlineStr">
        <is>
          <t>2017-06</t>
        </is>
      </c>
      <c r="D645" t="inlineStr">
        <is>
          <t>GO</t>
        </is>
      </c>
      <c r="E645" t="inlineStr">
        <is>
          <t>health_beauty</t>
        </is>
      </c>
      <c r="F645" t="n">
        <v>1</v>
      </c>
      <c r="G645" t="n">
        <v>59.99</v>
      </c>
      <c r="H645" t="n">
        <v>14.17</v>
      </c>
      <c r="I645" t="inlineStr">
        <is>
          <t>credit_card</t>
        </is>
      </c>
      <c r="J645" t="n">
        <v>20</v>
      </c>
      <c r="K645" t="inlineStr">
        <is>
          <t>On Time</t>
        </is>
      </c>
      <c r="L645" t="n">
        <v>5</v>
      </c>
      <c r="M645">
        <f>VLOOKUP(D645,State_Lookup!$A$2:$B$28,2,FALSE)</f>
        <v/>
      </c>
    </row>
    <row r="646">
      <c r="A646" t="inlineStr">
        <is>
          <t>0ec6d5153abc64611b4cf42f13b38356</t>
        </is>
      </c>
      <c r="B646" t="inlineStr">
        <is>
          <t>2017-06-09</t>
        </is>
      </c>
      <c r="C646" t="inlineStr">
        <is>
          <t>2017-06</t>
        </is>
      </c>
      <c r="D646" t="inlineStr">
        <is>
          <t>SP</t>
        </is>
      </c>
      <c r="E646" t="inlineStr">
        <is>
          <t>unknown</t>
        </is>
      </c>
      <c r="F646" t="n">
        <v>1</v>
      </c>
      <c r="G646" t="n">
        <v>39.9</v>
      </c>
      <c r="H646" t="n">
        <v>11.85</v>
      </c>
      <c r="I646" t="inlineStr">
        <is>
          <t>credit_card</t>
        </is>
      </c>
      <c r="J646" t="n">
        <v>12</v>
      </c>
      <c r="K646" t="inlineStr">
        <is>
          <t>On Time</t>
        </is>
      </c>
      <c r="L646" t="n">
        <v>1</v>
      </c>
      <c r="M646">
        <f>VLOOKUP(D646,State_Lookup!$A$2:$B$28,2,FALSE)</f>
        <v/>
      </c>
    </row>
    <row r="647">
      <c r="A647" t="inlineStr">
        <is>
          <t>4d91816c61cb9557eb207bcbf0929f44</t>
        </is>
      </c>
      <c r="B647" t="inlineStr">
        <is>
          <t>2017-06-10</t>
        </is>
      </c>
      <c r="C647" t="inlineStr">
        <is>
          <t>2017-06</t>
        </is>
      </c>
      <c r="D647" t="inlineStr">
        <is>
          <t>SP</t>
        </is>
      </c>
      <c r="E647" t="inlineStr">
        <is>
          <t>watches_gifts</t>
        </is>
      </c>
      <c r="F647" t="n">
        <v>1</v>
      </c>
      <c r="G647" t="n">
        <v>78.55</v>
      </c>
      <c r="H647" t="n">
        <v>17.8</v>
      </c>
      <c r="I647" t="inlineStr">
        <is>
          <t>credit_card</t>
        </is>
      </c>
      <c r="J647" t="n">
        <v>9</v>
      </c>
      <c r="K647" t="inlineStr">
        <is>
          <t>On Time</t>
        </is>
      </c>
      <c r="L647" t="n">
        <v>5</v>
      </c>
      <c r="M647">
        <f>VLOOKUP(D647,State_Lookup!$A$2:$B$28,2,FALSE)</f>
        <v/>
      </c>
    </row>
    <row r="648">
      <c r="A648" t="inlineStr">
        <is>
          <t>92fe548282ee3cbd8eb925bdf97cac9a</t>
        </is>
      </c>
      <c r="B648" t="inlineStr">
        <is>
          <t>2017-06-10</t>
        </is>
      </c>
      <c r="C648" t="inlineStr">
        <is>
          <t>2017-06</t>
        </is>
      </c>
      <c r="D648" t="inlineStr">
        <is>
          <t>SP</t>
        </is>
      </c>
      <c r="E648" t="inlineStr">
        <is>
          <t>perfumery</t>
        </is>
      </c>
      <c r="F648" t="n">
        <v>1</v>
      </c>
      <c r="G648" t="n">
        <v>179</v>
      </c>
      <c r="H648" t="n">
        <v>9.449999999999999</v>
      </c>
      <c r="I648" t="inlineStr">
        <is>
          <t>credit_card</t>
        </is>
      </c>
      <c r="J648" t="n">
        <v>5</v>
      </c>
      <c r="K648" t="inlineStr">
        <is>
          <t>On Time</t>
        </is>
      </c>
      <c r="L648" t="n">
        <v>3</v>
      </c>
      <c r="M648">
        <f>VLOOKUP(D648,State_Lookup!$A$2:$B$28,2,FALSE)</f>
        <v/>
      </c>
    </row>
    <row r="649">
      <c r="A649" t="inlineStr">
        <is>
          <t>452053a4ee7ad52552d9102101ff4635</t>
        </is>
      </c>
      <c r="B649" t="inlineStr">
        <is>
          <t>2017-06-11</t>
        </is>
      </c>
      <c r="C649" t="inlineStr">
        <is>
          <t>2017-06</t>
        </is>
      </c>
      <c r="D649" t="inlineStr">
        <is>
          <t>MG</t>
        </is>
      </c>
      <c r="E649" t="inlineStr">
        <is>
          <t>fashion_bags_accessories</t>
        </is>
      </c>
      <c r="F649" t="n">
        <v>1</v>
      </c>
      <c r="G649" t="n">
        <v>49</v>
      </c>
      <c r="H649" t="n">
        <v>15.1</v>
      </c>
      <c r="I649" t="inlineStr">
        <is>
          <t>credit_card</t>
        </is>
      </c>
      <c r="J649" t="inlineStr"/>
      <c r="K649" t="inlineStr">
        <is>
          <t>Not Delivered</t>
        </is>
      </c>
      <c r="L649" t="n">
        <v>5</v>
      </c>
      <c r="M649">
        <f>VLOOKUP(D649,State_Lookup!$A$2:$B$28,2,FALSE)</f>
        <v/>
      </c>
    </row>
    <row r="650">
      <c r="A650" t="inlineStr">
        <is>
          <t>e924fd08e03d8ac96fb7bf1291eb7c9f</t>
        </is>
      </c>
      <c r="B650" t="inlineStr">
        <is>
          <t>2017-06-11</t>
        </is>
      </c>
      <c r="C650" t="inlineStr">
        <is>
          <t>2017-06</t>
        </is>
      </c>
      <c r="D650" t="inlineStr">
        <is>
          <t>RS</t>
        </is>
      </c>
      <c r="E650" t="inlineStr">
        <is>
          <t>pet_shop</t>
        </is>
      </c>
      <c r="F650" t="n">
        <v>1</v>
      </c>
      <c r="G650" t="n">
        <v>99.98999999999999</v>
      </c>
      <c r="H650" t="n">
        <v>16.46</v>
      </c>
      <c r="I650" t="inlineStr">
        <is>
          <t>boleto</t>
        </is>
      </c>
      <c r="J650" t="n">
        <v>19</v>
      </c>
      <c r="K650" t="inlineStr">
        <is>
          <t>On Time</t>
        </is>
      </c>
      <c r="L650" t="n">
        <v>5</v>
      </c>
      <c r="M650">
        <f>VLOOKUP(D650,State_Lookup!$A$2:$B$28,2,FALSE)</f>
        <v/>
      </c>
    </row>
    <row r="651">
      <c r="A651" t="inlineStr">
        <is>
          <t>e7a9fabed044b8b1a75e6b95dba9bd92</t>
        </is>
      </c>
      <c r="B651" t="inlineStr">
        <is>
          <t>2017-06-11</t>
        </is>
      </c>
      <c r="C651" t="inlineStr">
        <is>
          <t>2017-06</t>
        </is>
      </c>
      <c r="D651" t="inlineStr">
        <is>
          <t>MG</t>
        </is>
      </c>
      <c r="E651" t="inlineStr">
        <is>
          <t>housewares</t>
        </is>
      </c>
      <c r="F651" t="n">
        <v>1</v>
      </c>
      <c r="G651" t="n">
        <v>129.99</v>
      </c>
      <c r="H651" t="n">
        <v>23.71</v>
      </c>
      <c r="I651" t="inlineStr">
        <is>
          <t>credit_card</t>
        </is>
      </c>
      <c r="J651" t="n">
        <v>22</v>
      </c>
      <c r="K651" t="inlineStr">
        <is>
          <t>Late</t>
        </is>
      </c>
      <c r="L651" t="n">
        <v>4</v>
      </c>
      <c r="M651">
        <f>VLOOKUP(D651,State_Lookup!$A$2:$B$28,2,FALSE)</f>
        <v/>
      </c>
    </row>
    <row r="652">
      <c r="A652" t="inlineStr">
        <is>
          <t>2c36a11b47ea60c4f373b5891a8d8488</t>
        </is>
      </c>
      <c r="B652" t="inlineStr">
        <is>
          <t>2017-06-12</t>
        </is>
      </c>
      <c r="C652" t="inlineStr">
        <is>
          <t>2017-06</t>
        </is>
      </c>
      <c r="D652" t="inlineStr">
        <is>
          <t>SC</t>
        </is>
      </c>
      <c r="E652" t="inlineStr">
        <is>
          <t>telephony</t>
        </is>
      </c>
      <c r="F652" t="n">
        <v>1</v>
      </c>
      <c r="G652" t="n">
        <v>19.9</v>
      </c>
      <c r="H652" t="n">
        <v>15.1</v>
      </c>
      <c r="I652" t="inlineStr">
        <is>
          <t>boleto</t>
        </is>
      </c>
      <c r="J652" t="n">
        <v>16</v>
      </c>
      <c r="K652" t="inlineStr">
        <is>
          <t>On Time</t>
        </is>
      </c>
      <c r="L652" t="n">
        <v>5</v>
      </c>
      <c r="M652">
        <f>VLOOKUP(D652,State_Lookup!$A$2:$B$28,2,FALSE)</f>
        <v/>
      </c>
    </row>
    <row r="653">
      <c r="A653" t="inlineStr">
        <is>
          <t>e4406088398131aed8c21c5a4ec3442b</t>
        </is>
      </c>
      <c r="B653" t="inlineStr">
        <is>
          <t>2017-06-12</t>
        </is>
      </c>
      <c r="C653" t="inlineStr">
        <is>
          <t>2017-06</t>
        </is>
      </c>
      <c r="D653" t="inlineStr">
        <is>
          <t>SP</t>
        </is>
      </c>
      <c r="E653" t="inlineStr">
        <is>
          <t>bed_bath_table</t>
        </is>
      </c>
      <c r="F653" t="n">
        <v>1</v>
      </c>
      <c r="G653" t="n">
        <v>89.90000000000001</v>
      </c>
      <c r="H653" t="n">
        <v>13.65</v>
      </c>
      <c r="I653" t="inlineStr">
        <is>
          <t>credit_card</t>
        </is>
      </c>
      <c r="J653" t="n">
        <v>7</v>
      </c>
      <c r="K653" t="inlineStr">
        <is>
          <t>On Time</t>
        </is>
      </c>
      <c r="L653" t="n">
        <v>5</v>
      </c>
      <c r="M653">
        <f>VLOOKUP(D653,State_Lookup!$A$2:$B$28,2,FALSE)</f>
        <v/>
      </c>
    </row>
    <row r="654">
      <c r="A654" t="inlineStr">
        <is>
          <t>cf294fa94a0447972779fea6fc5516b5</t>
        </is>
      </c>
      <c r="B654" t="inlineStr">
        <is>
          <t>2017-06-12</t>
        </is>
      </c>
      <c r="C654" t="inlineStr">
        <is>
          <t>2017-06</t>
        </is>
      </c>
      <c r="D654" t="inlineStr">
        <is>
          <t>MG</t>
        </is>
      </c>
      <c r="E654" t="inlineStr">
        <is>
          <t>furniture_decor</t>
        </is>
      </c>
      <c r="F654" t="n">
        <v>1</v>
      </c>
      <c r="G654" t="n">
        <v>79.90000000000001</v>
      </c>
      <c r="H654" t="n">
        <v>17.81</v>
      </c>
      <c r="I654" t="inlineStr">
        <is>
          <t>credit_card</t>
        </is>
      </c>
      <c r="J654" t="n">
        <v>15</v>
      </c>
      <c r="K654" t="inlineStr">
        <is>
          <t>On Time</t>
        </is>
      </c>
      <c r="L654" t="n">
        <v>5</v>
      </c>
      <c r="M654">
        <f>VLOOKUP(D654,State_Lookup!$A$2:$B$28,2,FALSE)</f>
        <v/>
      </c>
    </row>
    <row r="655">
      <c r="A655" t="inlineStr">
        <is>
          <t>bd7951a7bf6dcababde910954ff2316c</t>
        </is>
      </c>
      <c r="B655" t="inlineStr">
        <is>
          <t>2017-06-13</t>
        </is>
      </c>
      <c r="C655" t="inlineStr">
        <is>
          <t>2017-06</t>
        </is>
      </c>
      <c r="D655" t="inlineStr">
        <is>
          <t>MG</t>
        </is>
      </c>
      <c r="E655" t="inlineStr">
        <is>
          <t>perfumery</t>
        </is>
      </c>
      <c r="F655" t="n">
        <v>1</v>
      </c>
      <c r="G655" t="n">
        <v>279</v>
      </c>
      <c r="H655" t="n">
        <v>13.45</v>
      </c>
      <c r="I655" t="inlineStr">
        <is>
          <t>credit_card</t>
        </is>
      </c>
      <c r="J655" t="n">
        <v>8</v>
      </c>
      <c r="K655" t="inlineStr">
        <is>
          <t>On Time</t>
        </is>
      </c>
      <c r="L655" t="n">
        <v>5</v>
      </c>
      <c r="M655">
        <f>VLOOKUP(D655,State_Lookup!$A$2:$B$28,2,FALSE)</f>
        <v/>
      </c>
    </row>
    <row r="656">
      <c r="A656" t="inlineStr">
        <is>
          <t>5038751dab3b14db2b1423edc9e0397e</t>
        </is>
      </c>
      <c r="B656" t="inlineStr">
        <is>
          <t>2017-06-13</t>
        </is>
      </c>
      <c r="C656" t="inlineStr">
        <is>
          <t>2017-06</t>
        </is>
      </c>
      <c r="D656" t="inlineStr">
        <is>
          <t>SP</t>
        </is>
      </c>
      <c r="E656" t="inlineStr">
        <is>
          <t>housewares</t>
        </is>
      </c>
      <c r="F656" t="n">
        <v>1</v>
      </c>
      <c r="G656" t="n">
        <v>199</v>
      </c>
      <c r="H656" t="n">
        <v>48.1</v>
      </c>
      <c r="I656" t="inlineStr">
        <is>
          <t>boleto</t>
        </is>
      </c>
      <c r="J656" t="n">
        <v>9</v>
      </c>
      <c r="K656" t="inlineStr">
        <is>
          <t>On Time</t>
        </is>
      </c>
      <c r="L656" t="n">
        <v>2</v>
      </c>
      <c r="M656">
        <f>VLOOKUP(D656,State_Lookup!$A$2:$B$28,2,FALSE)</f>
        <v/>
      </c>
    </row>
    <row r="657">
      <c r="A657" t="inlineStr">
        <is>
          <t>3441775e7c16fbea57b763e6b2e3d049</t>
        </is>
      </c>
      <c r="B657" t="inlineStr">
        <is>
          <t>2017-06-13</t>
        </is>
      </c>
      <c r="C657" t="inlineStr">
        <is>
          <t>2017-06</t>
        </is>
      </c>
      <c r="D657" t="inlineStr">
        <is>
          <t>CE</t>
        </is>
      </c>
      <c r="E657" t="inlineStr">
        <is>
          <t>sports_leisure</t>
        </is>
      </c>
      <c r="F657" t="n">
        <v>1</v>
      </c>
      <c r="G657" t="n">
        <v>99</v>
      </c>
      <c r="H657" t="n">
        <v>36.86</v>
      </c>
      <c r="I657" t="inlineStr">
        <is>
          <t>credit_card</t>
        </is>
      </c>
      <c r="J657" t="n">
        <v>13</v>
      </c>
      <c r="K657" t="inlineStr">
        <is>
          <t>On Time</t>
        </is>
      </c>
      <c r="L657" t="n">
        <v>4</v>
      </c>
      <c r="M657">
        <f>VLOOKUP(D657,State_Lookup!$A$2:$B$28,2,FALSE)</f>
        <v/>
      </c>
    </row>
    <row r="658">
      <c r="A658" t="inlineStr">
        <is>
          <t>28603c1c1a61da3897ea97a1846b1d22</t>
        </is>
      </c>
      <c r="B658" t="inlineStr">
        <is>
          <t>2017-06-13</t>
        </is>
      </c>
      <c r="C658" t="inlineStr">
        <is>
          <t>2017-06</t>
        </is>
      </c>
      <c r="D658" t="inlineStr">
        <is>
          <t>SP</t>
        </is>
      </c>
      <c r="E658" t="inlineStr">
        <is>
          <t>fashion_male_clothing</t>
        </is>
      </c>
      <c r="F658" t="n">
        <v>1</v>
      </c>
      <c r="G658" t="n">
        <v>45.5</v>
      </c>
      <c r="H658" t="n">
        <v>15.1</v>
      </c>
      <c r="I658" t="inlineStr">
        <is>
          <t>debit_card</t>
        </is>
      </c>
      <c r="J658" t="n">
        <v>16</v>
      </c>
      <c r="K658" t="inlineStr">
        <is>
          <t>On Time</t>
        </is>
      </c>
      <c r="L658" t="n">
        <v>5</v>
      </c>
      <c r="M658">
        <f>VLOOKUP(D658,State_Lookup!$A$2:$B$28,2,FALSE)</f>
        <v/>
      </c>
    </row>
    <row r="659">
      <c r="A659" t="inlineStr">
        <is>
          <t>8f3b78080ad48c79fb6172b897c23d37</t>
        </is>
      </c>
      <c r="B659" t="inlineStr">
        <is>
          <t>2017-06-13</t>
        </is>
      </c>
      <c r="C659" t="inlineStr">
        <is>
          <t>2017-06</t>
        </is>
      </c>
      <c r="D659" t="inlineStr">
        <is>
          <t>SP</t>
        </is>
      </c>
      <c r="E659" t="inlineStr">
        <is>
          <t>telephony</t>
        </is>
      </c>
      <c r="F659" t="n">
        <v>1</v>
      </c>
      <c r="G659" t="n">
        <v>17.99</v>
      </c>
      <c r="H659" t="n">
        <v>7.78</v>
      </c>
      <c r="I659" t="inlineStr">
        <is>
          <t>boleto</t>
        </is>
      </c>
      <c r="J659" t="n">
        <v>9</v>
      </c>
      <c r="K659" t="inlineStr">
        <is>
          <t>On Time</t>
        </is>
      </c>
      <c r="L659" t="n">
        <v>1</v>
      </c>
      <c r="M659">
        <f>VLOOKUP(D659,State_Lookup!$A$2:$B$28,2,FALSE)</f>
        <v/>
      </c>
    </row>
    <row r="660">
      <c r="A660" t="inlineStr">
        <is>
          <t>f26991f83957529021b9a4146e870996</t>
        </is>
      </c>
      <c r="B660" t="inlineStr">
        <is>
          <t>2017-06-14</t>
        </is>
      </c>
      <c r="C660" t="inlineStr">
        <is>
          <t>2017-06</t>
        </is>
      </c>
      <c r="D660" t="inlineStr">
        <is>
          <t>MG</t>
        </is>
      </c>
      <c r="E660" t="inlineStr">
        <is>
          <t>furniture_decor</t>
        </is>
      </c>
      <c r="F660" t="n">
        <v>1</v>
      </c>
      <c r="G660" t="n">
        <v>47.49</v>
      </c>
      <c r="H660" t="n">
        <v>16.6</v>
      </c>
      <c r="I660" t="inlineStr">
        <is>
          <t>credit_card</t>
        </is>
      </c>
      <c r="J660" t="n">
        <v>7</v>
      </c>
      <c r="K660" t="inlineStr">
        <is>
          <t>On Time</t>
        </is>
      </c>
      <c r="L660" t="n">
        <v>5</v>
      </c>
      <c r="M660">
        <f>VLOOKUP(D660,State_Lookup!$A$2:$B$28,2,FALSE)</f>
        <v/>
      </c>
    </row>
    <row r="661">
      <c r="A661" t="inlineStr">
        <is>
          <t>5412783dbeb40c1f689f31da23f7c38b</t>
        </is>
      </c>
      <c r="B661" t="inlineStr">
        <is>
          <t>2017-06-14</t>
        </is>
      </c>
      <c r="C661" t="inlineStr">
        <is>
          <t>2017-06</t>
        </is>
      </c>
      <c r="D661" t="inlineStr">
        <is>
          <t>RJ</t>
        </is>
      </c>
      <c r="E661" t="inlineStr">
        <is>
          <t>toys</t>
        </is>
      </c>
      <c r="F661" t="n">
        <v>1</v>
      </c>
      <c r="G661" t="n">
        <v>54.9</v>
      </c>
      <c r="H661" t="n">
        <v>16.14</v>
      </c>
      <c r="I661" t="inlineStr">
        <is>
          <t>credit_card</t>
        </is>
      </c>
      <c r="J661" t="n">
        <v>5</v>
      </c>
      <c r="K661" t="inlineStr">
        <is>
          <t>On Time</t>
        </is>
      </c>
      <c r="L661" t="n">
        <v>5</v>
      </c>
      <c r="M661">
        <f>VLOOKUP(D661,State_Lookup!$A$2:$B$28,2,FALSE)</f>
        <v/>
      </c>
    </row>
    <row r="662">
      <c r="A662" t="inlineStr">
        <is>
          <t>4a0d967d4e5675eeabeef5ed2d185520</t>
        </is>
      </c>
      <c r="B662" t="inlineStr">
        <is>
          <t>2017-06-14</t>
        </is>
      </c>
      <c r="C662" t="inlineStr">
        <is>
          <t>2017-06</t>
        </is>
      </c>
      <c r="D662" t="inlineStr">
        <is>
          <t>RJ</t>
        </is>
      </c>
      <c r="E662" t="inlineStr">
        <is>
          <t>sports_leisure</t>
        </is>
      </c>
      <c r="F662" t="n">
        <v>1</v>
      </c>
      <c r="G662" t="n">
        <v>69.90000000000001</v>
      </c>
      <c r="H662" t="n">
        <v>20.98</v>
      </c>
      <c r="I662" t="inlineStr">
        <is>
          <t>boleto</t>
        </is>
      </c>
      <c r="J662" t="n">
        <v>12</v>
      </c>
      <c r="K662" t="inlineStr">
        <is>
          <t>On Time</t>
        </is>
      </c>
      <c r="L662" t="n">
        <v>5</v>
      </c>
      <c r="M662">
        <f>VLOOKUP(D662,State_Lookup!$A$2:$B$28,2,FALSE)</f>
        <v/>
      </c>
    </row>
    <row r="663">
      <c r="A663" t="inlineStr">
        <is>
          <t>ab4db5117e6804bcb57deaafd44cf4c3</t>
        </is>
      </c>
      <c r="B663" t="inlineStr">
        <is>
          <t>2017-06-14</t>
        </is>
      </c>
      <c r="C663" t="inlineStr">
        <is>
          <t>2017-06</t>
        </is>
      </c>
      <c r="D663" t="inlineStr">
        <is>
          <t>MA</t>
        </is>
      </c>
      <c r="E663" t="inlineStr">
        <is>
          <t>cool_stuff</t>
        </is>
      </c>
      <c r="F663" t="n">
        <v>1</v>
      </c>
      <c r="G663" t="n">
        <v>45.9</v>
      </c>
      <c r="H663" t="n">
        <v>35.67</v>
      </c>
      <c r="I663" t="inlineStr">
        <is>
          <t>credit_card</t>
        </is>
      </c>
      <c r="J663" t="n">
        <v>19</v>
      </c>
      <c r="K663" t="inlineStr">
        <is>
          <t>On Time</t>
        </is>
      </c>
      <c r="L663" t="n">
        <v>5</v>
      </c>
      <c r="M663">
        <f>VLOOKUP(D663,State_Lookup!$A$2:$B$28,2,FALSE)</f>
        <v/>
      </c>
    </row>
    <row r="664">
      <c r="A664" t="inlineStr">
        <is>
          <t>14a92ecd0503cd0c9f6cfb0aea76dfa7</t>
        </is>
      </c>
      <c r="B664" t="inlineStr">
        <is>
          <t>2017-06-14</t>
        </is>
      </c>
      <c r="C664" t="inlineStr">
        <is>
          <t>2017-06</t>
        </is>
      </c>
      <c r="D664" t="inlineStr">
        <is>
          <t>SP</t>
        </is>
      </c>
      <c r="E664" t="inlineStr">
        <is>
          <t>health_beauty</t>
        </is>
      </c>
      <c r="F664" t="n">
        <v>1</v>
      </c>
      <c r="G664" t="n">
        <v>19.99</v>
      </c>
      <c r="H664" t="n">
        <v>7.78</v>
      </c>
      <c r="I664" t="inlineStr">
        <is>
          <t>credit_card</t>
        </is>
      </c>
      <c r="J664" t="n">
        <v>5</v>
      </c>
      <c r="K664" t="inlineStr">
        <is>
          <t>On Time</t>
        </is>
      </c>
      <c r="L664" t="n">
        <v>5</v>
      </c>
      <c r="M664">
        <f>VLOOKUP(D664,State_Lookup!$A$2:$B$28,2,FALSE)</f>
        <v/>
      </c>
    </row>
    <row r="665">
      <c r="A665" t="inlineStr">
        <is>
          <t>26ac2176dfb7275b81ddf0873db31236</t>
        </is>
      </c>
      <c r="B665" t="inlineStr">
        <is>
          <t>2017-06-14</t>
        </is>
      </c>
      <c r="C665" t="inlineStr">
        <is>
          <t>2017-06</t>
        </is>
      </c>
      <c r="D665" t="inlineStr">
        <is>
          <t>SP</t>
        </is>
      </c>
      <c r="E665" t="inlineStr">
        <is>
          <t>watches_gifts</t>
        </is>
      </c>
      <c r="F665" t="n">
        <v>1</v>
      </c>
      <c r="G665" t="n">
        <v>188</v>
      </c>
      <c r="H665" t="n">
        <v>12.82</v>
      </c>
      <c r="I665" t="inlineStr">
        <is>
          <t>credit_card</t>
        </is>
      </c>
      <c r="J665" t="n">
        <v>8</v>
      </c>
      <c r="K665" t="inlineStr">
        <is>
          <t>On Time</t>
        </is>
      </c>
      <c r="L665" t="n">
        <v>5</v>
      </c>
      <c r="M665">
        <f>VLOOKUP(D665,State_Lookup!$A$2:$B$28,2,FALSE)</f>
        <v/>
      </c>
    </row>
    <row r="666">
      <c r="A666" t="inlineStr">
        <is>
          <t>d44fc0af1ec0ebbab612f2936147f717</t>
        </is>
      </c>
      <c r="B666" t="inlineStr">
        <is>
          <t>2017-06-15</t>
        </is>
      </c>
      <c r="C666" t="inlineStr">
        <is>
          <t>2017-06</t>
        </is>
      </c>
      <c r="D666" t="inlineStr">
        <is>
          <t>RJ</t>
        </is>
      </c>
      <c r="E666" t="inlineStr">
        <is>
          <t>garden_tools</t>
        </is>
      </c>
      <c r="F666" t="n">
        <v>1</v>
      </c>
      <c r="G666" t="n">
        <v>179.9</v>
      </c>
      <c r="H666" t="n">
        <v>17.02</v>
      </c>
      <c r="I666" t="inlineStr">
        <is>
          <t>credit_card</t>
        </is>
      </c>
      <c r="J666" t="n">
        <v>14</v>
      </c>
      <c r="K666" t="inlineStr">
        <is>
          <t>On Time</t>
        </is>
      </c>
      <c r="L666" t="n">
        <v>5</v>
      </c>
      <c r="M666">
        <f>VLOOKUP(D666,State_Lookup!$A$2:$B$28,2,FALSE)</f>
        <v/>
      </c>
    </row>
    <row r="667">
      <c r="A667" t="inlineStr">
        <is>
          <t>574c4ecf7699daffc21fc04eb876b8a8</t>
        </is>
      </c>
      <c r="B667" t="inlineStr">
        <is>
          <t>2017-06-15</t>
        </is>
      </c>
      <c r="C667" t="inlineStr">
        <is>
          <t>2017-06</t>
        </is>
      </c>
      <c r="D667" t="inlineStr">
        <is>
          <t>MG</t>
        </is>
      </c>
      <c r="E667" t="inlineStr">
        <is>
          <t>health_beauty</t>
        </is>
      </c>
      <c r="F667" t="n">
        <v>1</v>
      </c>
      <c r="G667" t="n">
        <v>59.99</v>
      </c>
      <c r="H667" t="n">
        <v>15.17</v>
      </c>
      <c r="I667" t="inlineStr">
        <is>
          <t>credit_card</t>
        </is>
      </c>
      <c r="J667" t="n">
        <v>10</v>
      </c>
      <c r="K667" t="inlineStr">
        <is>
          <t>On Time</t>
        </is>
      </c>
      <c r="L667" t="n">
        <v>5</v>
      </c>
      <c r="M667">
        <f>VLOOKUP(D667,State_Lookup!$A$2:$B$28,2,FALSE)</f>
        <v/>
      </c>
    </row>
    <row r="668">
      <c r="A668" t="inlineStr">
        <is>
          <t>5dbf3bee4c547774bf74d477748dda22</t>
        </is>
      </c>
      <c r="B668" t="inlineStr">
        <is>
          <t>2017-06-15</t>
        </is>
      </c>
      <c r="C668" t="inlineStr">
        <is>
          <t>2017-06</t>
        </is>
      </c>
      <c r="D668" t="inlineStr">
        <is>
          <t>MT</t>
        </is>
      </c>
      <c r="E668" t="inlineStr">
        <is>
          <t>auto</t>
        </is>
      </c>
      <c r="F668" t="n">
        <v>1</v>
      </c>
      <c r="G668" t="n">
        <v>1199.9</v>
      </c>
      <c r="H668" t="n">
        <v>47.39</v>
      </c>
      <c r="I668" t="inlineStr">
        <is>
          <t>credit_card</t>
        </is>
      </c>
      <c r="J668" t="n">
        <v>27</v>
      </c>
      <c r="K668" t="inlineStr">
        <is>
          <t>On Time</t>
        </is>
      </c>
      <c r="L668" t="n">
        <v>5</v>
      </c>
      <c r="M668">
        <f>VLOOKUP(D668,State_Lookup!$A$2:$B$28,2,FALSE)</f>
        <v/>
      </c>
    </row>
    <row r="669">
      <c r="A669" t="inlineStr">
        <is>
          <t>ba6e771c39f5c537cf32b54a8d238c08</t>
        </is>
      </c>
      <c r="B669" t="inlineStr">
        <is>
          <t>2017-06-15</t>
        </is>
      </c>
      <c r="C669" t="inlineStr">
        <is>
          <t>2017-06</t>
        </is>
      </c>
      <c r="D669" t="inlineStr">
        <is>
          <t>MG</t>
        </is>
      </c>
      <c r="E669" t="inlineStr">
        <is>
          <t>computers_accessories</t>
        </is>
      </c>
      <c r="F669" t="n">
        <v>1</v>
      </c>
      <c r="G669" t="n">
        <v>24.99</v>
      </c>
      <c r="H669" t="n">
        <v>16.79</v>
      </c>
      <c r="I669" t="inlineStr">
        <is>
          <t>credit_card</t>
        </is>
      </c>
      <c r="J669" t="n">
        <v>10</v>
      </c>
      <c r="K669" t="inlineStr">
        <is>
          <t>On Time</t>
        </is>
      </c>
      <c r="L669" t="n">
        <v>1</v>
      </c>
      <c r="M669">
        <f>VLOOKUP(D669,State_Lookup!$A$2:$B$28,2,FALSE)</f>
        <v/>
      </c>
    </row>
    <row r="670">
      <c r="A670" t="inlineStr">
        <is>
          <t>947326b280848dfde976cd7fceaa7d3b</t>
        </is>
      </c>
      <c r="B670" t="inlineStr">
        <is>
          <t>2017-06-15</t>
        </is>
      </c>
      <c r="C670" t="inlineStr">
        <is>
          <t>2017-06</t>
        </is>
      </c>
      <c r="D670" t="inlineStr">
        <is>
          <t>CE</t>
        </is>
      </c>
      <c r="E670" t="inlineStr">
        <is>
          <t>housewares</t>
        </is>
      </c>
      <c r="F670" t="n">
        <v>1</v>
      </c>
      <c r="G670" t="n">
        <v>169.9</v>
      </c>
      <c r="H670" t="n">
        <v>25.64</v>
      </c>
      <c r="I670" t="inlineStr">
        <is>
          <t>credit_card</t>
        </is>
      </c>
      <c r="J670" t="n">
        <v>7</v>
      </c>
      <c r="K670" t="inlineStr">
        <is>
          <t>On Time</t>
        </is>
      </c>
      <c r="L670" t="n">
        <v>5</v>
      </c>
      <c r="M670">
        <f>VLOOKUP(D670,State_Lookup!$A$2:$B$28,2,FALSE)</f>
        <v/>
      </c>
    </row>
    <row r="671">
      <c r="A671" t="inlineStr">
        <is>
          <t>14d5f7d2a3755fbd4df406ef4c4b400c</t>
        </is>
      </c>
      <c r="B671" t="inlineStr">
        <is>
          <t>2017-06-16</t>
        </is>
      </c>
      <c r="C671" t="inlineStr">
        <is>
          <t>2017-06</t>
        </is>
      </c>
      <c r="D671" t="inlineStr">
        <is>
          <t>SC</t>
        </is>
      </c>
      <c r="E671" t="inlineStr">
        <is>
          <t>cool_stuff</t>
        </is>
      </c>
      <c r="F671" t="n">
        <v>1</v>
      </c>
      <c r="G671" t="n">
        <v>43.99</v>
      </c>
      <c r="H671" t="n">
        <v>17.6</v>
      </c>
      <c r="I671" t="inlineStr">
        <is>
          <t>voucher</t>
        </is>
      </c>
      <c r="J671" t="n">
        <v>13</v>
      </c>
      <c r="K671" t="inlineStr">
        <is>
          <t>On Time</t>
        </is>
      </c>
      <c r="L671" t="n">
        <v>5</v>
      </c>
      <c r="M671">
        <f>VLOOKUP(D671,State_Lookup!$A$2:$B$28,2,FALSE)</f>
        <v/>
      </c>
    </row>
    <row r="672">
      <c r="A672" t="inlineStr">
        <is>
          <t>d1edb80f6670902ebbb11765b96873da</t>
        </is>
      </c>
      <c r="B672" t="inlineStr">
        <is>
          <t>2017-06-16</t>
        </is>
      </c>
      <c r="C672" t="inlineStr">
        <is>
          <t>2017-06</t>
        </is>
      </c>
      <c r="D672" t="inlineStr">
        <is>
          <t>RS</t>
        </is>
      </c>
      <c r="E672" t="inlineStr">
        <is>
          <t>unknown</t>
        </is>
      </c>
      <c r="F672" t="n">
        <v>1</v>
      </c>
      <c r="G672" t="n">
        <v>27</v>
      </c>
      <c r="H672" t="n">
        <v>12.48</v>
      </c>
      <c r="I672" t="inlineStr">
        <is>
          <t>credit_card</t>
        </is>
      </c>
      <c r="J672" t="inlineStr"/>
      <c r="K672" t="inlineStr">
        <is>
          <t>Not Delivered</t>
        </is>
      </c>
      <c r="L672" t="n">
        <v>2</v>
      </c>
      <c r="M672">
        <f>VLOOKUP(D672,State_Lookup!$A$2:$B$28,2,FALSE)</f>
        <v/>
      </c>
    </row>
    <row r="673">
      <c r="A673" t="inlineStr">
        <is>
          <t>1dd524259037e53865e1fbee3697183b</t>
        </is>
      </c>
      <c r="B673" t="inlineStr">
        <is>
          <t>2017-06-16</t>
        </is>
      </c>
      <c r="C673" t="inlineStr">
        <is>
          <t>2017-06</t>
        </is>
      </c>
      <c r="D673" t="inlineStr">
        <is>
          <t>SP</t>
        </is>
      </c>
      <c r="E673" t="inlineStr">
        <is>
          <t>home_appliances_2</t>
        </is>
      </c>
      <c r="F673" t="n">
        <v>1</v>
      </c>
      <c r="G673" t="n">
        <v>269.99</v>
      </c>
      <c r="H673" t="n">
        <v>32.92</v>
      </c>
      <c r="I673" t="inlineStr">
        <is>
          <t>credit_card</t>
        </is>
      </c>
      <c r="J673" t="n">
        <v>6</v>
      </c>
      <c r="K673" t="inlineStr">
        <is>
          <t>On Time</t>
        </is>
      </c>
      <c r="L673" t="n">
        <v>3</v>
      </c>
      <c r="M673">
        <f>VLOOKUP(D673,State_Lookup!$A$2:$B$28,2,FALSE)</f>
        <v/>
      </c>
    </row>
    <row r="674">
      <c r="A674" t="inlineStr">
        <is>
          <t>261894b972bbc843c4c694b4bc74e892</t>
        </is>
      </c>
      <c r="B674" t="inlineStr">
        <is>
          <t>2017-06-16</t>
        </is>
      </c>
      <c r="C674" t="inlineStr">
        <is>
          <t>2017-06</t>
        </is>
      </c>
      <c r="D674" t="inlineStr">
        <is>
          <t>RS</t>
        </is>
      </c>
      <c r="E674" t="inlineStr">
        <is>
          <t>computers_accessories</t>
        </is>
      </c>
      <c r="F674" t="n">
        <v>1</v>
      </c>
      <c r="G674" t="n">
        <v>27.9</v>
      </c>
      <c r="H674" t="n">
        <v>17.63</v>
      </c>
      <c r="I674" t="inlineStr">
        <is>
          <t>boleto</t>
        </is>
      </c>
      <c r="J674" t="n">
        <v>18</v>
      </c>
      <c r="K674" t="inlineStr">
        <is>
          <t>On Time</t>
        </is>
      </c>
      <c r="L674" t="n">
        <v>4</v>
      </c>
      <c r="M674">
        <f>VLOOKUP(D674,State_Lookup!$A$2:$B$28,2,FALSE)</f>
        <v/>
      </c>
    </row>
    <row r="675">
      <c r="A675" t="inlineStr">
        <is>
          <t>4571099e8d87a92750edfddf99e5b56a</t>
        </is>
      </c>
      <c r="B675" t="inlineStr">
        <is>
          <t>2017-06-16</t>
        </is>
      </c>
      <c r="C675" t="inlineStr">
        <is>
          <t>2017-06</t>
        </is>
      </c>
      <c r="D675" t="inlineStr">
        <is>
          <t>SP</t>
        </is>
      </c>
      <c r="E675" t="inlineStr">
        <is>
          <t>telephony</t>
        </is>
      </c>
      <c r="F675" t="n">
        <v>1</v>
      </c>
      <c r="G675" t="n">
        <v>25.99</v>
      </c>
      <c r="H675" t="n">
        <v>7.78</v>
      </c>
      <c r="I675" t="inlineStr">
        <is>
          <t>boleto</t>
        </is>
      </c>
      <c r="J675" t="n">
        <v>12</v>
      </c>
      <c r="K675" t="inlineStr">
        <is>
          <t>Late</t>
        </is>
      </c>
      <c r="L675" t="n">
        <v>3</v>
      </c>
      <c r="M675">
        <f>VLOOKUP(D675,State_Lookup!$A$2:$B$28,2,FALSE)</f>
        <v/>
      </c>
    </row>
    <row r="676">
      <c r="A676" t="inlineStr">
        <is>
          <t>e20e66069c6d2f4cd62ea63b48bbaf4d</t>
        </is>
      </c>
      <c r="B676" t="inlineStr">
        <is>
          <t>2017-06-16</t>
        </is>
      </c>
      <c r="C676" t="inlineStr">
        <is>
          <t>2017-06</t>
        </is>
      </c>
      <c r="D676" t="inlineStr">
        <is>
          <t>GO</t>
        </is>
      </c>
      <c r="E676" t="inlineStr">
        <is>
          <t>furniture_decor</t>
        </is>
      </c>
      <c r="F676" t="n">
        <v>1</v>
      </c>
      <c r="G676" t="n">
        <v>45.9</v>
      </c>
      <c r="H676" t="n">
        <v>16.11</v>
      </c>
      <c r="I676" t="inlineStr">
        <is>
          <t>credit_card</t>
        </is>
      </c>
      <c r="J676" t="n">
        <v>17</v>
      </c>
      <c r="K676" t="inlineStr">
        <is>
          <t>On Time</t>
        </is>
      </c>
      <c r="L676" t="n">
        <v>3</v>
      </c>
      <c r="M676">
        <f>VLOOKUP(D676,State_Lookup!$A$2:$B$28,2,FALSE)</f>
        <v/>
      </c>
    </row>
    <row r="677">
      <c r="A677" t="inlineStr">
        <is>
          <t>1103b5da42ef752c4264d8e1b942aa3f</t>
        </is>
      </c>
      <c r="B677" t="inlineStr">
        <is>
          <t>2017-06-16</t>
        </is>
      </c>
      <c r="C677" t="inlineStr">
        <is>
          <t>2017-06</t>
        </is>
      </c>
      <c r="D677" t="inlineStr">
        <is>
          <t>SP</t>
        </is>
      </c>
      <c r="E677" t="inlineStr">
        <is>
          <t>luggage_accessories</t>
        </is>
      </c>
      <c r="F677" t="n">
        <v>1</v>
      </c>
      <c r="G677" t="n">
        <v>89.90000000000001</v>
      </c>
      <c r="H677" t="n">
        <v>32.86</v>
      </c>
      <c r="I677" t="inlineStr">
        <is>
          <t>boleto</t>
        </is>
      </c>
      <c r="J677" t="n">
        <v>5</v>
      </c>
      <c r="K677" t="inlineStr">
        <is>
          <t>On Time</t>
        </is>
      </c>
      <c r="L677" t="n">
        <v>5</v>
      </c>
      <c r="M677">
        <f>VLOOKUP(D677,State_Lookup!$A$2:$B$28,2,FALSE)</f>
        <v/>
      </c>
    </row>
    <row r="678">
      <c r="A678" t="inlineStr">
        <is>
          <t>07d3db06b53989748df4ae194f6b0fde</t>
        </is>
      </c>
      <c r="B678" t="inlineStr">
        <is>
          <t>2017-06-17</t>
        </is>
      </c>
      <c r="C678" t="inlineStr">
        <is>
          <t>2017-06</t>
        </is>
      </c>
      <c r="D678" t="inlineStr">
        <is>
          <t>MG</t>
        </is>
      </c>
      <c r="E678" t="inlineStr">
        <is>
          <t>watches_gifts</t>
        </is>
      </c>
      <c r="F678" t="n">
        <v>1</v>
      </c>
      <c r="G678" t="n">
        <v>379.99</v>
      </c>
      <c r="H678" t="n">
        <v>18.42</v>
      </c>
      <c r="I678" t="inlineStr">
        <is>
          <t>credit_card</t>
        </is>
      </c>
      <c r="J678" t="n">
        <v>4</v>
      </c>
      <c r="K678" t="inlineStr">
        <is>
          <t>On Time</t>
        </is>
      </c>
      <c r="L678" t="n">
        <v>4</v>
      </c>
      <c r="M678">
        <f>VLOOKUP(D678,State_Lookup!$A$2:$B$28,2,FALSE)</f>
        <v/>
      </c>
    </row>
    <row r="679">
      <c r="A679" t="inlineStr">
        <is>
          <t>f53a7ea7fd8dd95811fd2035733baf9e</t>
        </is>
      </c>
      <c r="B679" t="inlineStr">
        <is>
          <t>2017-06-17</t>
        </is>
      </c>
      <c r="C679" t="inlineStr">
        <is>
          <t>2017-06</t>
        </is>
      </c>
      <c r="D679" t="inlineStr">
        <is>
          <t>PR</t>
        </is>
      </c>
      <c r="E679" t="inlineStr">
        <is>
          <t>sports_leisure</t>
        </is>
      </c>
      <c r="F679" t="n">
        <v>1</v>
      </c>
      <c r="G679" t="n">
        <v>129.9</v>
      </c>
      <c r="H679" t="n">
        <v>18.16</v>
      </c>
      <c r="I679" t="inlineStr">
        <is>
          <t>credit_card</t>
        </is>
      </c>
      <c r="J679" t="inlineStr"/>
      <c r="K679" t="inlineStr">
        <is>
          <t>Not Delivered</t>
        </is>
      </c>
      <c r="L679" t="n">
        <v>1</v>
      </c>
      <c r="M679">
        <f>VLOOKUP(D679,State_Lookup!$A$2:$B$28,2,FALSE)</f>
        <v/>
      </c>
    </row>
    <row r="680">
      <c r="A680" t="inlineStr">
        <is>
          <t>a151248b1f51c21684d1a9a65a2c04b2</t>
        </is>
      </c>
      <c r="B680" t="inlineStr">
        <is>
          <t>2017-06-17</t>
        </is>
      </c>
      <c r="C680" t="inlineStr">
        <is>
          <t>2017-06</t>
        </is>
      </c>
      <c r="D680" t="inlineStr">
        <is>
          <t>DF</t>
        </is>
      </c>
      <c r="E680" t="inlineStr">
        <is>
          <t>telephony</t>
        </is>
      </c>
      <c r="F680" t="n">
        <v>1</v>
      </c>
      <c r="G680" t="n">
        <v>15.99</v>
      </c>
      <c r="H680" t="n">
        <v>14.1</v>
      </c>
      <c r="I680" t="inlineStr">
        <is>
          <t>credit_card</t>
        </is>
      </c>
      <c r="J680" t="n">
        <v>5</v>
      </c>
      <c r="K680" t="inlineStr">
        <is>
          <t>On Time</t>
        </is>
      </c>
      <c r="L680" t="n">
        <v>5</v>
      </c>
      <c r="M680">
        <f>VLOOKUP(D680,State_Lookup!$A$2:$B$28,2,FALSE)</f>
        <v/>
      </c>
    </row>
    <row r="681">
      <c r="A681" t="inlineStr">
        <is>
          <t>8fad1f3654133d30218cd4b6fae827ee</t>
        </is>
      </c>
      <c r="B681" t="inlineStr">
        <is>
          <t>2017-06-18</t>
        </is>
      </c>
      <c r="C681" t="inlineStr">
        <is>
          <t>2017-06</t>
        </is>
      </c>
      <c r="D681" t="inlineStr">
        <is>
          <t>SP</t>
        </is>
      </c>
      <c r="E681" t="inlineStr">
        <is>
          <t>housewares</t>
        </is>
      </c>
      <c r="F681" t="n">
        <v>1</v>
      </c>
      <c r="G681" t="n">
        <v>59.9</v>
      </c>
      <c r="H681" t="n">
        <v>13.44</v>
      </c>
      <c r="I681" t="inlineStr">
        <is>
          <t>credit_card</t>
        </is>
      </c>
      <c r="J681" t="n">
        <v>4</v>
      </c>
      <c r="K681" t="inlineStr">
        <is>
          <t>On Time</t>
        </is>
      </c>
      <c r="L681" t="n">
        <v>4</v>
      </c>
      <c r="M681">
        <f>VLOOKUP(D681,State_Lookup!$A$2:$B$28,2,FALSE)</f>
        <v/>
      </c>
    </row>
    <row r="682">
      <c r="A682" t="inlineStr">
        <is>
          <t>de4c308ea3f72fa2d3be68d18a2fedb1</t>
        </is>
      </c>
      <c r="B682" t="inlineStr">
        <is>
          <t>2017-06-18</t>
        </is>
      </c>
      <c r="C682" t="inlineStr">
        <is>
          <t>2017-06</t>
        </is>
      </c>
      <c r="D682" t="inlineStr">
        <is>
          <t>SP</t>
        </is>
      </c>
      <c r="E682" t="inlineStr">
        <is>
          <t>computers_accessories</t>
        </is>
      </c>
      <c r="F682" t="n">
        <v>1</v>
      </c>
      <c r="G682" t="n">
        <v>18.9</v>
      </c>
      <c r="H682" t="n">
        <v>11.85</v>
      </c>
      <c r="I682" t="inlineStr">
        <is>
          <t>credit_card</t>
        </is>
      </c>
      <c r="J682" t="n">
        <v>9</v>
      </c>
      <c r="K682" t="inlineStr">
        <is>
          <t>On Time</t>
        </is>
      </c>
      <c r="L682" t="n">
        <v>5</v>
      </c>
      <c r="M682">
        <f>VLOOKUP(D682,State_Lookup!$A$2:$B$28,2,FALSE)</f>
        <v/>
      </c>
    </row>
    <row r="683">
      <c r="A683" t="inlineStr">
        <is>
          <t>5b3a926fc80185c14ef56c6fa3a45b82</t>
        </is>
      </c>
      <c r="B683" t="inlineStr">
        <is>
          <t>2017-06-18</t>
        </is>
      </c>
      <c r="C683" t="inlineStr">
        <is>
          <t>2017-06</t>
        </is>
      </c>
      <c r="D683" t="inlineStr">
        <is>
          <t>RJ</t>
        </is>
      </c>
      <c r="E683" t="inlineStr">
        <is>
          <t>garden_tools</t>
        </is>
      </c>
      <c r="F683" t="n">
        <v>1</v>
      </c>
      <c r="G683" t="n">
        <v>109.99</v>
      </c>
      <c r="H683" t="n">
        <v>34.13</v>
      </c>
      <c r="I683" t="inlineStr">
        <is>
          <t>credit_card</t>
        </is>
      </c>
      <c r="J683" t="n">
        <v>11</v>
      </c>
      <c r="K683" t="inlineStr">
        <is>
          <t>On Time</t>
        </is>
      </c>
      <c r="L683" t="n">
        <v>5</v>
      </c>
      <c r="M683">
        <f>VLOOKUP(D683,State_Lookup!$A$2:$B$28,2,FALSE)</f>
        <v/>
      </c>
    </row>
    <row r="684">
      <c r="A684" t="inlineStr">
        <is>
          <t>6160672f31a87bdbafd522f69d9e5d8b</t>
        </is>
      </c>
      <c r="B684" t="inlineStr">
        <is>
          <t>2017-06-18</t>
        </is>
      </c>
      <c r="C684" t="inlineStr">
        <is>
          <t>2017-06</t>
        </is>
      </c>
      <c r="D684" t="inlineStr">
        <is>
          <t>RJ</t>
        </is>
      </c>
      <c r="E684" t="inlineStr">
        <is>
          <t>health_beauty</t>
        </is>
      </c>
      <c r="F684" t="n">
        <v>4</v>
      </c>
      <c r="G684" t="n">
        <v>59.56</v>
      </c>
      <c r="H684" t="n">
        <v>56.4</v>
      </c>
      <c r="I684" t="inlineStr">
        <is>
          <t>credit_card</t>
        </is>
      </c>
      <c r="J684" t="n">
        <v>10</v>
      </c>
      <c r="K684" t="inlineStr">
        <is>
          <t>On Time</t>
        </is>
      </c>
      <c r="L684" t="n">
        <v>5</v>
      </c>
      <c r="M684">
        <f>VLOOKUP(D684,State_Lookup!$A$2:$B$28,2,FALSE)</f>
        <v/>
      </c>
    </row>
    <row r="685">
      <c r="A685" t="inlineStr">
        <is>
          <t>609614169498a0a0719e1a47cd02b408</t>
        </is>
      </c>
      <c r="B685" t="inlineStr">
        <is>
          <t>2017-06-18</t>
        </is>
      </c>
      <c r="C685" t="inlineStr">
        <is>
          <t>2017-06</t>
        </is>
      </c>
      <c r="D685" t="inlineStr">
        <is>
          <t>SP</t>
        </is>
      </c>
      <c r="E685" t="inlineStr">
        <is>
          <t>cool_stuff</t>
        </is>
      </c>
      <c r="F685" t="n">
        <v>1</v>
      </c>
      <c r="G685" t="n">
        <v>59.9</v>
      </c>
      <c r="H685" t="n">
        <v>17.67</v>
      </c>
      <c r="I685" t="inlineStr">
        <is>
          <t>credit_card</t>
        </is>
      </c>
      <c r="J685" t="n">
        <v>1</v>
      </c>
      <c r="K685" t="inlineStr">
        <is>
          <t>On Time</t>
        </is>
      </c>
      <c r="L685" t="n">
        <v>5</v>
      </c>
      <c r="M685">
        <f>VLOOKUP(D685,State_Lookup!$A$2:$B$28,2,FALSE)</f>
        <v/>
      </c>
    </row>
    <row r="686">
      <c r="A686" t="inlineStr">
        <is>
          <t>4b62f3ef255e276bf8564f8061361886</t>
        </is>
      </c>
      <c r="B686" t="inlineStr">
        <is>
          <t>2017-06-19</t>
        </is>
      </c>
      <c r="C686" t="inlineStr">
        <is>
          <t>2017-06</t>
        </is>
      </c>
      <c r="D686" t="inlineStr">
        <is>
          <t>SP</t>
        </is>
      </c>
      <c r="E686" t="inlineStr">
        <is>
          <t>housewares</t>
        </is>
      </c>
      <c r="F686" t="n">
        <v>2</v>
      </c>
      <c r="G686" t="n">
        <v>99.8</v>
      </c>
      <c r="H686" t="n">
        <v>25.28</v>
      </c>
      <c r="I686" t="inlineStr">
        <is>
          <t>credit_card</t>
        </is>
      </c>
      <c r="J686" t="n">
        <v>4</v>
      </c>
      <c r="K686" t="inlineStr">
        <is>
          <t>On Time</t>
        </is>
      </c>
      <c r="L686" t="n">
        <v>1</v>
      </c>
      <c r="M686">
        <f>VLOOKUP(D686,State_Lookup!$A$2:$B$28,2,FALSE)</f>
        <v/>
      </c>
    </row>
    <row r="687">
      <c r="A687" t="inlineStr">
        <is>
          <t>bd7ed28cedb8147c71f09e3ab23c369f</t>
        </is>
      </c>
      <c r="B687" t="inlineStr">
        <is>
          <t>2017-06-19</t>
        </is>
      </c>
      <c r="C687" t="inlineStr">
        <is>
          <t>2017-06</t>
        </is>
      </c>
      <c r="D687" t="inlineStr">
        <is>
          <t>MG</t>
        </is>
      </c>
      <c r="E687" t="inlineStr">
        <is>
          <t>cool_stuff</t>
        </is>
      </c>
      <c r="F687" t="n">
        <v>1</v>
      </c>
      <c r="G687" t="n">
        <v>93.5</v>
      </c>
      <c r="H687" t="n">
        <v>15.4</v>
      </c>
      <c r="I687" t="inlineStr">
        <is>
          <t>credit_card</t>
        </is>
      </c>
      <c r="J687" t="n">
        <v>6</v>
      </c>
      <c r="K687" t="inlineStr">
        <is>
          <t>On Time</t>
        </is>
      </c>
      <c r="L687" t="n">
        <v>4</v>
      </c>
      <c r="M687">
        <f>VLOOKUP(D687,State_Lookup!$A$2:$B$28,2,FALSE)</f>
        <v/>
      </c>
    </row>
    <row r="688">
      <c r="A688" t="inlineStr">
        <is>
          <t>1cd399dcea276c15247818674bb83c63</t>
        </is>
      </c>
      <c r="B688" t="inlineStr">
        <is>
          <t>2017-06-19</t>
        </is>
      </c>
      <c r="C688" t="inlineStr">
        <is>
          <t>2017-06</t>
        </is>
      </c>
      <c r="D688" t="inlineStr">
        <is>
          <t>SP</t>
        </is>
      </c>
      <c r="E688" t="inlineStr">
        <is>
          <t>baby</t>
        </is>
      </c>
      <c r="F688" t="n">
        <v>2</v>
      </c>
      <c r="G688" t="n">
        <v>39.8</v>
      </c>
      <c r="H688" t="n">
        <v>23.7</v>
      </c>
      <c r="I688" t="inlineStr">
        <is>
          <t>boleto</t>
        </is>
      </c>
      <c r="J688" t="n">
        <v>14</v>
      </c>
      <c r="K688" t="inlineStr">
        <is>
          <t>On Time</t>
        </is>
      </c>
      <c r="L688" t="n">
        <v>3</v>
      </c>
      <c r="M688">
        <f>VLOOKUP(D688,State_Lookup!$A$2:$B$28,2,FALSE)</f>
        <v/>
      </c>
    </row>
    <row r="689">
      <c r="A689" t="inlineStr">
        <is>
          <t>3859925b9b809beadf83a70aabfca3ce</t>
        </is>
      </c>
      <c r="B689" t="inlineStr">
        <is>
          <t>2017-06-19</t>
        </is>
      </c>
      <c r="C689" t="inlineStr">
        <is>
          <t>2017-06</t>
        </is>
      </c>
      <c r="D689" t="inlineStr">
        <is>
          <t>PR</t>
        </is>
      </c>
      <c r="E689" t="inlineStr">
        <is>
          <t>computers_accessories</t>
        </is>
      </c>
      <c r="F689" t="n">
        <v>1</v>
      </c>
      <c r="G689" t="n">
        <v>61.9</v>
      </c>
      <c r="H689" t="n">
        <v>12.56</v>
      </c>
      <c r="I689" t="inlineStr">
        <is>
          <t>boleto</t>
        </is>
      </c>
      <c r="J689" t="n">
        <v>7</v>
      </c>
      <c r="K689" t="inlineStr">
        <is>
          <t>On Time</t>
        </is>
      </c>
      <c r="L689" t="n">
        <v>5</v>
      </c>
      <c r="M689">
        <f>VLOOKUP(D689,State_Lookup!$A$2:$B$28,2,FALSE)</f>
        <v/>
      </c>
    </row>
    <row r="690">
      <c r="A690" t="inlineStr">
        <is>
          <t>d21a08b18679aca2a35ed7fe46c513d1</t>
        </is>
      </c>
      <c r="B690" t="inlineStr">
        <is>
          <t>2017-06-19</t>
        </is>
      </c>
      <c r="C690" t="inlineStr">
        <is>
          <t>2017-06</t>
        </is>
      </c>
      <c r="D690" t="inlineStr">
        <is>
          <t>SP</t>
        </is>
      </c>
      <c r="E690" t="inlineStr">
        <is>
          <t>home_appliances</t>
        </is>
      </c>
      <c r="F690" t="n">
        <v>1</v>
      </c>
      <c r="G690" t="n">
        <v>161.6</v>
      </c>
      <c r="H690" t="n">
        <v>8.880000000000001</v>
      </c>
      <c r="I690" t="inlineStr">
        <is>
          <t>credit_card</t>
        </is>
      </c>
      <c r="J690" t="n">
        <v>3</v>
      </c>
      <c r="K690" t="inlineStr">
        <is>
          <t>On Time</t>
        </is>
      </c>
      <c r="L690" t="n">
        <v>1</v>
      </c>
      <c r="M690">
        <f>VLOOKUP(D690,State_Lookup!$A$2:$B$28,2,FALSE)</f>
        <v/>
      </c>
    </row>
    <row r="691">
      <c r="A691" t="inlineStr">
        <is>
          <t>ebd0eab2867a20cb181ae2222a511546</t>
        </is>
      </c>
      <c r="B691" t="inlineStr">
        <is>
          <t>2017-06-19</t>
        </is>
      </c>
      <c r="C691" t="inlineStr">
        <is>
          <t>2017-06</t>
        </is>
      </c>
      <c r="D691" t="inlineStr">
        <is>
          <t>RS</t>
        </is>
      </c>
      <c r="E691" t="inlineStr">
        <is>
          <t>computers_accessories</t>
        </is>
      </c>
      <c r="F691" t="n">
        <v>1</v>
      </c>
      <c r="G691" t="n">
        <v>155</v>
      </c>
      <c r="H691" t="n">
        <v>15.84</v>
      </c>
      <c r="I691" t="inlineStr">
        <is>
          <t>boleto</t>
        </is>
      </c>
      <c r="J691" t="n">
        <v>18</v>
      </c>
      <c r="K691" t="inlineStr">
        <is>
          <t>On Time</t>
        </is>
      </c>
      <c r="L691" t="n">
        <v>4</v>
      </c>
      <c r="M691">
        <f>VLOOKUP(D691,State_Lookup!$A$2:$B$28,2,FALSE)</f>
        <v/>
      </c>
    </row>
    <row r="692">
      <c r="A692" t="inlineStr">
        <is>
          <t>c52e91d0960446c0624a5a984188ffba</t>
        </is>
      </c>
      <c r="B692" t="inlineStr">
        <is>
          <t>2017-06-19</t>
        </is>
      </c>
      <c r="C692" t="inlineStr">
        <is>
          <t>2017-06</t>
        </is>
      </c>
      <c r="D692" t="inlineStr">
        <is>
          <t>BA</t>
        </is>
      </c>
      <c r="E692" t="inlineStr">
        <is>
          <t>auto</t>
        </is>
      </c>
      <c r="F692" t="n">
        <v>1</v>
      </c>
      <c r="G692" t="n">
        <v>1999.99</v>
      </c>
      <c r="H692" t="n">
        <v>35.87</v>
      </c>
      <c r="I692" t="inlineStr">
        <is>
          <t>credit_card</t>
        </is>
      </c>
      <c r="J692" t="n">
        <v>39</v>
      </c>
      <c r="K692" t="inlineStr">
        <is>
          <t>Late</t>
        </is>
      </c>
      <c r="L692" t="n">
        <v>1</v>
      </c>
      <c r="M692">
        <f>VLOOKUP(D692,State_Lookup!$A$2:$B$28,2,FALSE)</f>
        <v/>
      </c>
    </row>
    <row r="693">
      <c r="A693" t="inlineStr">
        <is>
          <t>8e231eb804b052ee611d6c4a9300e10f</t>
        </is>
      </c>
      <c r="B693" t="inlineStr">
        <is>
          <t>2017-06-19</t>
        </is>
      </c>
      <c r="C693" t="inlineStr">
        <is>
          <t>2017-06</t>
        </is>
      </c>
      <c r="D693" t="inlineStr">
        <is>
          <t>RJ</t>
        </is>
      </c>
      <c r="E693" t="inlineStr">
        <is>
          <t>watches_gifts</t>
        </is>
      </c>
      <c r="F693" t="n">
        <v>1</v>
      </c>
      <c r="G693" t="n">
        <v>59.6</v>
      </c>
      <c r="H693" t="n">
        <v>16.86</v>
      </c>
      <c r="I693" t="inlineStr">
        <is>
          <t>credit_card</t>
        </is>
      </c>
      <c r="J693" t="n">
        <v>14</v>
      </c>
      <c r="K693" t="inlineStr">
        <is>
          <t>On Time</t>
        </is>
      </c>
      <c r="L693" t="n">
        <v>5</v>
      </c>
      <c r="M693">
        <f>VLOOKUP(D693,State_Lookup!$A$2:$B$28,2,FALSE)</f>
        <v/>
      </c>
    </row>
    <row r="694">
      <c r="A694" t="inlineStr">
        <is>
          <t>74131c82f1f2851457118d475695b53e</t>
        </is>
      </c>
      <c r="B694" t="inlineStr">
        <is>
          <t>2017-06-19</t>
        </is>
      </c>
      <c r="C694" t="inlineStr">
        <is>
          <t>2017-06</t>
        </is>
      </c>
      <c r="D694" t="inlineStr">
        <is>
          <t>SP</t>
        </is>
      </c>
      <c r="E694" t="inlineStr">
        <is>
          <t>furniture_decor</t>
        </is>
      </c>
      <c r="F694" t="n">
        <v>1</v>
      </c>
      <c r="G694" t="n">
        <v>10.9</v>
      </c>
      <c r="H694" t="n">
        <v>11.85</v>
      </c>
      <c r="I694" t="inlineStr">
        <is>
          <t>boleto</t>
        </is>
      </c>
      <c r="J694" t="n">
        <v>10</v>
      </c>
      <c r="K694" t="inlineStr">
        <is>
          <t>On Time</t>
        </is>
      </c>
      <c r="L694" t="n">
        <v>5</v>
      </c>
      <c r="M694">
        <f>VLOOKUP(D694,State_Lookup!$A$2:$B$28,2,FALSE)</f>
        <v/>
      </c>
    </row>
    <row r="695">
      <c r="A695" t="inlineStr">
        <is>
          <t>1b27133663a6ff5c26254c7f8f99a4d4</t>
        </is>
      </c>
      <c r="B695" t="inlineStr">
        <is>
          <t>2017-06-20</t>
        </is>
      </c>
      <c r="C695" t="inlineStr">
        <is>
          <t>2017-06</t>
        </is>
      </c>
      <c r="D695" t="inlineStr">
        <is>
          <t>RJ</t>
        </is>
      </c>
      <c r="E695" t="inlineStr">
        <is>
          <t>housewares</t>
        </is>
      </c>
      <c r="F695" t="n">
        <v>1</v>
      </c>
      <c r="G695" t="n">
        <v>59.9</v>
      </c>
      <c r="H695" t="n">
        <v>16.67</v>
      </c>
      <c r="I695" t="inlineStr">
        <is>
          <t>credit_card</t>
        </is>
      </c>
      <c r="J695" t="n">
        <v>3</v>
      </c>
      <c r="K695" t="inlineStr">
        <is>
          <t>On Time</t>
        </is>
      </c>
      <c r="L695" t="n">
        <v>5</v>
      </c>
      <c r="M695">
        <f>VLOOKUP(D695,State_Lookup!$A$2:$B$28,2,FALSE)</f>
        <v/>
      </c>
    </row>
    <row r="696">
      <c r="A696" t="inlineStr">
        <is>
          <t>311590adda47f81d35e863654feba9f2</t>
        </is>
      </c>
      <c r="B696" t="inlineStr">
        <is>
          <t>2017-06-20</t>
        </is>
      </c>
      <c r="C696" t="inlineStr">
        <is>
          <t>2017-06</t>
        </is>
      </c>
      <c r="D696" t="inlineStr">
        <is>
          <t>RS</t>
        </is>
      </c>
      <c r="E696" t="inlineStr">
        <is>
          <t>cool_stuff</t>
        </is>
      </c>
      <c r="F696" t="n">
        <v>1</v>
      </c>
      <c r="G696" t="n">
        <v>229.99</v>
      </c>
      <c r="H696" t="n">
        <v>21.1</v>
      </c>
      <c r="I696" t="inlineStr">
        <is>
          <t>credit_card</t>
        </is>
      </c>
      <c r="J696" t="n">
        <v>6</v>
      </c>
      <c r="K696" t="inlineStr">
        <is>
          <t>On Time</t>
        </is>
      </c>
      <c r="L696" t="n">
        <v>5</v>
      </c>
      <c r="M696">
        <f>VLOOKUP(D696,State_Lookup!$A$2:$B$28,2,FALSE)</f>
        <v/>
      </c>
    </row>
    <row r="697">
      <c r="A697" t="inlineStr">
        <is>
          <t>4a38745716bb4884b76fd3a12ad5cdd2</t>
        </is>
      </c>
      <c r="B697" t="inlineStr">
        <is>
          <t>2017-06-20</t>
        </is>
      </c>
      <c r="C697" t="inlineStr">
        <is>
          <t>2017-06</t>
        </is>
      </c>
      <c r="D697" t="inlineStr">
        <is>
          <t>SP</t>
        </is>
      </c>
      <c r="E697" t="inlineStr">
        <is>
          <t>baby</t>
        </is>
      </c>
      <c r="F697" t="n">
        <v>1</v>
      </c>
      <c r="G697" t="n">
        <v>79.90000000000001</v>
      </c>
      <c r="H697" t="n">
        <v>7.81</v>
      </c>
      <c r="I697" t="inlineStr">
        <is>
          <t>credit_card</t>
        </is>
      </c>
      <c r="J697" t="n">
        <v>6</v>
      </c>
      <c r="K697" t="inlineStr">
        <is>
          <t>On Time</t>
        </is>
      </c>
      <c r="L697" t="n">
        <v>4</v>
      </c>
      <c r="M697">
        <f>VLOOKUP(D697,State_Lookup!$A$2:$B$28,2,FALSE)</f>
        <v/>
      </c>
    </row>
    <row r="698">
      <c r="A698" t="inlineStr">
        <is>
          <t>c4dbc879a0f2bca255b51ca96ef04847</t>
        </is>
      </c>
      <c r="B698" t="inlineStr">
        <is>
          <t>2017-06-20</t>
        </is>
      </c>
      <c r="C698" t="inlineStr">
        <is>
          <t>2017-06</t>
        </is>
      </c>
      <c r="D698" t="inlineStr">
        <is>
          <t>SP</t>
        </is>
      </c>
      <c r="E698" t="inlineStr">
        <is>
          <t>bed_bath_table</t>
        </is>
      </c>
      <c r="F698" t="n">
        <v>1</v>
      </c>
      <c r="G698" t="n">
        <v>22.99</v>
      </c>
      <c r="H698" t="n">
        <v>11.85</v>
      </c>
      <c r="I698" t="inlineStr">
        <is>
          <t>credit_card</t>
        </is>
      </c>
      <c r="J698" t="n">
        <v>21</v>
      </c>
      <c r="K698" t="inlineStr">
        <is>
          <t>Late</t>
        </is>
      </c>
      <c r="L698" t="n">
        <v>3</v>
      </c>
      <c r="M698">
        <f>VLOOKUP(D698,State_Lookup!$A$2:$B$28,2,FALSE)</f>
        <v/>
      </c>
    </row>
    <row r="699">
      <c r="A699" t="inlineStr">
        <is>
          <t>91c72081ae9c08e96d0bc952f73e6188</t>
        </is>
      </c>
      <c r="B699" t="inlineStr">
        <is>
          <t>2017-06-20</t>
        </is>
      </c>
      <c r="C699" t="inlineStr">
        <is>
          <t>2017-06</t>
        </is>
      </c>
      <c r="D699" t="inlineStr">
        <is>
          <t>SP</t>
        </is>
      </c>
      <c r="E699" t="inlineStr">
        <is>
          <t>computers_accessories</t>
        </is>
      </c>
      <c r="F699" t="n">
        <v>2</v>
      </c>
      <c r="G699" t="n">
        <v>299.68</v>
      </c>
      <c r="H699" t="n">
        <v>36.6</v>
      </c>
      <c r="I699" t="inlineStr">
        <is>
          <t>credit_card</t>
        </is>
      </c>
      <c r="J699" t="n">
        <v>6</v>
      </c>
      <c r="K699" t="inlineStr">
        <is>
          <t>On Time</t>
        </is>
      </c>
      <c r="L699" t="n">
        <v>5</v>
      </c>
      <c r="M699">
        <f>VLOOKUP(D699,State_Lookup!$A$2:$B$28,2,FALSE)</f>
        <v/>
      </c>
    </row>
    <row r="700">
      <c r="A700" t="inlineStr">
        <is>
          <t>18d4e6891576559aeaaef675e25d53ad</t>
        </is>
      </c>
      <c r="B700" t="inlineStr">
        <is>
          <t>2017-06-21</t>
        </is>
      </c>
      <c r="C700" t="inlineStr">
        <is>
          <t>2017-06</t>
        </is>
      </c>
      <c r="D700" t="inlineStr">
        <is>
          <t>SP</t>
        </is>
      </c>
      <c r="E700" t="inlineStr">
        <is>
          <t>auto</t>
        </is>
      </c>
      <c r="F700" t="n">
        <v>1</v>
      </c>
      <c r="G700" t="n">
        <v>19.95</v>
      </c>
      <c r="H700" t="n">
        <v>28.06</v>
      </c>
      <c r="I700" t="inlineStr">
        <is>
          <t>credit_card</t>
        </is>
      </c>
      <c r="J700" t="n">
        <v>8</v>
      </c>
      <c r="K700" t="inlineStr">
        <is>
          <t>On Time</t>
        </is>
      </c>
      <c r="L700" t="n">
        <v>5</v>
      </c>
      <c r="M700">
        <f>VLOOKUP(D700,State_Lookup!$A$2:$B$28,2,FALSE)</f>
        <v/>
      </c>
    </row>
    <row r="701">
      <c r="A701" t="inlineStr">
        <is>
          <t>ae4a905f158c49a81cd20d36a52ccc4b</t>
        </is>
      </c>
      <c r="B701" t="inlineStr">
        <is>
          <t>2017-06-21</t>
        </is>
      </c>
      <c r="C701" t="inlineStr">
        <is>
          <t>2017-06</t>
        </is>
      </c>
      <c r="D701" t="inlineStr">
        <is>
          <t>SP</t>
        </is>
      </c>
      <c r="E701" t="inlineStr">
        <is>
          <t>auto</t>
        </is>
      </c>
      <c r="F701" t="n">
        <v>1</v>
      </c>
      <c r="G701" t="n">
        <v>75</v>
      </c>
      <c r="H701" t="n">
        <v>11.73</v>
      </c>
      <c r="I701" t="inlineStr">
        <is>
          <t>credit_card</t>
        </is>
      </c>
      <c r="J701" t="n">
        <v>3</v>
      </c>
      <c r="K701" t="inlineStr">
        <is>
          <t>On Time</t>
        </is>
      </c>
      <c r="L701" t="n">
        <v>5</v>
      </c>
      <c r="M701">
        <f>VLOOKUP(D701,State_Lookup!$A$2:$B$28,2,FALSE)</f>
        <v/>
      </c>
    </row>
    <row r="702">
      <c r="A702" t="inlineStr">
        <is>
          <t>87f83d5d5bb0b9a13ec25c61c4a71361</t>
        </is>
      </c>
      <c r="B702" t="inlineStr">
        <is>
          <t>2017-06-21</t>
        </is>
      </c>
      <c r="C702" t="inlineStr">
        <is>
          <t>2017-06</t>
        </is>
      </c>
      <c r="D702" t="inlineStr">
        <is>
          <t>RS</t>
        </is>
      </c>
      <c r="E702" t="inlineStr">
        <is>
          <t>housewares</t>
        </is>
      </c>
      <c r="F702" t="n">
        <v>1</v>
      </c>
      <c r="G702" t="n">
        <v>69.90000000000001</v>
      </c>
      <c r="H702" t="n">
        <v>40.99</v>
      </c>
      <c r="I702" t="inlineStr">
        <is>
          <t>credit_card</t>
        </is>
      </c>
      <c r="J702" t="n">
        <v>23</v>
      </c>
      <c r="K702" t="inlineStr">
        <is>
          <t>On Time</t>
        </is>
      </c>
      <c r="L702" t="n">
        <v>3</v>
      </c>
      <c r="M702">
        <f>VLOOKUP(D702,State_Lookup!$A$2:$B$28,2,FALSE)</f>
        <v/>
      </c>
    </row>
    <row r="703">
      <c r="A703" t="inlineStr">
        <is>
          <t>80856e464d96ed6573219f5d65fc7f3e</t>
        </is>
      </c>
      <c r="B703" t="inlineStr">
        <is>
          <t>2017-06-22</t>
        </is>
      </c>
      <c r="C703" t="inlineStr">
        <is>
          <t>2017-06</t>
        </is>
      </c>
      <c r="D703" t="inlineStr">
        <is>
          <t>SP</t>
        </is>
      </c>
      <c r="E703" t="inlineStr">
        <is>
          <t>telephony</t>
        </is>
      </c>
      <c r="F703" t="n">
        <v>1</v>
      </c>
      <c r="G703" t="n">
        <v>94.98999999999999</v>
      </c>
      <c r="H703" t="n">
        <v>8.859999999999999</v>
      </c>
      <c r="I703" t="inlineStr">
        <is>
          <t>credit_card</t>
        </is>
      </c>
      <c r="J703" t="n">
        <v>7</v>
      </c>
      <c r="K703" t="inlineStr">
        <is>
          <t>On Time</t>
        </is>
      </c>
      <c r="L703" t="n">
        <v>1</v>
      </c>
      <c r="M703">
        <f>VLOOKUP(D703,State_Lookup!$A$2:$B$28,2,FALSE)</f>
        <v/>
      </c>
    </row>
    <row r="704">
      <c r="A704" t="inlineStr">
        <is>
          <t>5cfaa2e60887ab4aed7d4e637efe2156</t>
        </is>
      </c>
      <c r="B704" t="inlineStr">
        <is>
          <t>2017-06-22</t>
        </is>
      </c>
      <c r="C704" t="inlineStr">
        <is>
          <t>2017-06</t>
        </is>
      </c>
      <c r="D704" t="inlineStr">
        <is>
          <t>PR</t>
        </is>
      </c>
      <c r="E704" t="inlineStr">
        <is>
          <t>garden_tools</t>
        </is>
      </c>
      <c r="F704" t="n">
        <v>1</v>
      </c>
      <c r="G704" t="n">
        <v>32.9</v>
      </c>
      <c r="H704" t="n">
        <v>17.6</v>
      </c>
      <c r="I704" t="inlineStr">
        <is>
          <t>credit_card</t>
        </is>
      </c>
      <c r="J704" t="n">
        <v>11</v>
      </c>
      <c r="K704" t="inlineStr">
        <is>
          <t>On Time</t>
        </is>
      </c>
      <c r="L704" t="n">
        <v>5</v>
      </c>
      <c r="M704">
        <f>VLOOKUP(D704,State_Lookup!$A$2:$B$28,2,FALSE)</f>
        <v/>
      </c>
    </row>
    <row r="705">
      <c r="A705" t="inlineStr">
        <is>
          <t>7b7aa18c12be9bec06ecb74c33609bcf</t>
        </is>
      </c>
      <c r="B705" t="inlineStr">
        <is>
          <t>2017-06-22</t>
        </is>
      </c>
      <c r="C705" t="inlineStr">
        <is>
          <t>2017-06</t>
        </is>
      </c>
      <c r="D705" t="inlineStr">
        <is>
          <t>RJ</t>
        </is>
      </c>
      <c r="E705" t="inlineStr">
        <is>
          <t>sports_leisure</t>
        </is>
      </c>
      <c r="F705" t="n">
        <v>1</v>
      </c>
      <c r="G705" t="n">
        <v>99</v>
      </c>
      <c r="H705" t="n">
        <v>21.09</v>
      </c>
      <c r="I705" t="inlineStr">
        <is>
          <t>credit_card</t>
        </is>
      </c>
      <c r="J705" t="n">
        <v>19</v>
      </c>
      <c r="K705" t="inlineStr">
        <is>
          <t>On Time</t>
        </is>
      </c>
      <c r="L705" t="n">
        <v>3</v>
      </c>
      <c r="M705">
        <f>VLOOKUP(D705,State_Lookup!$A$2:$B$28,2,FALSE)</f>
        <v/>
      </c>
    </row>
    <row r="706">
      <c r="A706" t="inlineStr">
        <is>
          <t>825ace52d27a25d68c72bcbdd7c66aa0</t>
        </is>
      </c>
      <c r="B706" t="inlineStr">
        <is>
          <t>2017-06-22</t>
        </is>
      </c>
      <c r="C706" t="inlineStr">
        <is>
          <t>2017-06</t>
        </is>
      </c>
      <c r="D706" t="inlineStr">
        <is>
          <t>MG</t>
        </is>
      </c>
      <c r="E706" t="inlineStr">
        <is>
          <t>housewares</t>
        </is>
      </c>
      <c r="F706" t="n">
        <v>1</v>
      </c>
      <c r="G706" t="n">
        <v>89.90000000000001</v>
      </c>
      <c r="H706" t="n">
        <v>21.12</v>
      </c>
      <c r="I706" t="inlineStr">
        <is>
          <t>credit_card</t>
        </is>
      </c>
      <c r="J706" t="n">
        <v>7</v>
      </c>
      <c r="K706" t="inlineStr">
        <is>
          <t>On Time</t>
        </is>
      </c>
      <c r="L706" t="n">
        <v>5</v>
      </c>
      <c r="M706">
        <f>VLOOKUP(D706,State_Lookup!$A$2:$B$28,2,FALSE)</f>
        <v/>
      </c>
    </row>
    <row r="707">
      <c r="A707" t="inlineStr">
        <is>
          <t>b738a048f0968575318e1a5fc8974fba</t>
        </is>
      </c>
      <c r="B707" t="inlineStr">
        <is>
          <t>2017-06-22</t>
        </is>
      </c>
      <c r="C707" t="inlineStr">
        <is>
          <t>2017-06</t>
        </is>
      </c>
      <c r="D707" t="inlineStr">
        <is>
          <t>SP</t>
        </is>
      </c>
      <c r="E707" t="inlineStr">
        <is>
          <t>computers_accessories</t>
        </is>
      </c>
      <c r="F707" t="n">
        <v>1</v>
      </c>
      <c r="G707" t="n">
        <v>35.99</v>
      </c>
      <c r="H707" t="n">
        <v>8.720000000000001</v>
      </c>
      <c r="I707" t="inlineStr">
        <is>
          <t>credit_card</t>
        </is>
      </c>
      <c r="J707" t="n">
        <v>5</v>
      </c>
      <c r="K707" t="inlineStr">
        <is>
          <t>On Time</t>
        </is>
      </c>
      <c r="L707" t="n">
        <v>5</v>
      </c>
      <c r="M707">
        <f>VLOOKUP(D707,State_Lookup!$A$2:$B$28,2,FALSE)</f>
        <v/>
      </c>
    </row>
    <row r="708">
      <c r="A708" t="inlineStr">
        <is>
          <t>4ef36d7c9950e291544d3a68d123992c</t>
        </is>
      </c>
      <c r="B708" t="inlineStr">
        <is>
          <t>2017-06-23</t>
        </is>
      </c>
      <c r="C708" t="inlineStr">
        <is>
          <t>2017-06</t>
        </is>
      </c>
      <c r="D708" t="inlineStr">
        <is>
          <t>RJ</t>
        </is>
      </c>
      <c r="E708" t="inlineStr">
        <is>
          <t>toys</t>
        </is>
      </c>
      <c r="F708" t="n">
        <v>1</v>
      </c>
      <c r="G708" t="n">
        <v>99.98999999999999</v>
      </c>
      <c r="H708" t="n">
        <v>27.24</v>
      </c>
      <c r="I708" t="inlineStr">
        <is>
          <t>credit_card</t>
        </is>
      </c>
      <c r="J708" t="n">
        <v>9</v>
      </c>
      <c r="K708" t="inlineStr">
        <is>
          <t>On Time</t>
        </is>
      </c>
      <c r="L708" t="n">
        <v>1</v>
      </c>
      <c r="M708">
        <f>VLOOKUP(D708,State_Lookup!$A$2:$B$28,2,FALSE)</f>
        <v/>
      </c>
    </row>
    <row r="709">
      <c r="A709" t="inlineStr">
        <is>
          <t>cdaa50d46a294c97f8505c6ac6145e23</t>
        </is>
      </c>
      <c r="B709" t="inlineStr">
        <is>
          <t>2017-06-23</t>
        </is>
      </c>
      <c r="C709" t="inlineStr">
        <is>
          <t>2017-06</t>
        </is>
      </c>
      <c r="D709" t="inlineStr">
        <is>
          <t>RJ</t>
        </is>
      </c>
      <c r="E709" t="inlineStr">
        <is>
          <t>bed_bath_table</t>
        </is>
      </c>
      <c r="F709" t="n">
        <v>1</v>
      </c>
      <c r="G709" t="n">
        <v>220</v>
      </c>
      <c r="H709" t="n">
        <v>26.38</v>
      </c>
      <c r="I709" t="inlineStr">
        <is>
          <t>credit_card</t>
        </is>
      </c>
      <c r="J709" t="n">
        <v>10</v>
      </c>
      <c r="K709" t="inlineStr">
        <is>
          <t>On Time</t>
        </is>
      </c>
      <c r="L709" t="n">
        <v>4</v>
      </c>
      <c r="M709">
        <f>VLOOKUP(D709,State_Lookup!$A$2:$B$28,2,FALSE)</f>
        <v/>
      </c>
    </row>
    <row r="710">
      <c r="A710" t="inlineStr">
        <is>
          <t>2c927414e22e9898e9e0958b417f7ef5</t>
        </is>
      </c>
      <c r="B710" t="inlineStr">
        <is>
          <t>2017-06-23</t>
        </is>
      </c>
      <c r="C710" t="inlineStr">
        <is>
          <t>2017-06</t>
        </is>
      </c>
      <c r="D710" t="inlineStr">
        <is>
          <t>RJ</t>
        </is>
      </c>
      <c r="E710" t="inlineStr">
        <is>
          <t>housewares</t>
        </is>
      </c>
      <c r="F710" t="n">
        <v>1</v>
      </c>
      <c r="G710" t="n">
        <v>59.9</v>
      </c>
      <c r="H710" t="n">
        <v>21.26</v>
      </c>
      <c r="I710" t="inlineStr">
        <is>
          <t>credit_card</t>
        </is>
      </c>
      <c r="J710" t="n">
        <v>10</v>
      </c>
      <c r="K710" t="inlineStr">
        <is>
          <t>On Time</t>
        </is>
      </c>
      <c r="L710" t="n">
        <v>5</v>
      </c>
      <c r="M710">
        <f>VLOOKUP(D710,State_Lookup!$A$2:$B$28,2,FALSE)</f>
        <v/>
      </c>
    </row>
    <row r="711">
      <c r="A711" t="inlineStr">
        <is>
          <t>84d54e2fe6fc76e34d897b32c59dd75d</t>
        </is>
      </c>
      <c r="B711" t="inlineStr">
        <is>
          <t>2017-06-24</t>
        </is>
      </c>
      <c r="C711" t="inlineStr">
        <is>
          <t>2017-06</t>
        </is>
      </c>
      <c r="D711" t="inlineStr">
        <is>
          <t>SP</t>
        </is>
      </c>
      <c r="E711" t="inlineStr">
        <is>
          <t>auto</t>
        </is>
      </c>
      <c r="F711" t="n">
        <v>1</v>
      </c>
      <c r="G711" t="n">
        <v>3.49</v>
      </c>
      <c r="H711" t="n">
        <v>16.79</v>
      </c>
      <c r="I711" t="inlineStr">
        <is>
          <t>credit_card</t>
        </is>
      </c>
      <c r="J711" t="n">
        <v>8</v>
      </c>
      <c r="K711" t="inlineStr">
        <is>
          <t>On Time</t>
        </is>
      </c>
      <c r="L711" t="n">
        <v>5</v>
      </c>
      <c r="M711">
        <f>VLOOKUP(D711,State_Lookup!$A$2:$B$28,2,FALSE)</f>
        <v/>
      </c>
    </row>
    <row r="712">
      <c r="A712" t="inlineStr">
        <is>
          <t>ab5f88ecd8bbfe5386a0b5687ee8beba</t>
        </is>
      </c>
      <c r="B712" t="inlineStr">
        <is>
          <t>2017-06-24</t>
        </is>
      </c>
      <c r="C712" t="inlineStr">
        <is>
          <t>2017-06</t>
        </is>
      </c>
      <c r="D712" t="inlineStr">
        <is>
          <t>SP</t>
        </is>
      </c>
      <c r="E712" t="inlineStr">
        <is>
          <t>housewares</t>
        </is>
      </c>
      <c r="F712" t="n">
        <v>1</v>
      </c>
      <c r="G712" t="n">
        <v>149.9</v>
      </c>
      <c r="H712" t="n">
        <v>12.25</v>
      </c>
      <c r="I712" t="inlineStr">
        <is>
          <t>credit_card</t>
        </is>
      </c>
      <c r="J712" t="n">
        <v>3</v>
      </c>
      <c r="K712" t="inlineStr">
        <is>
          <t>On Time</t>
        </is>
      </c>
      <c r="L712" t="n">
        <v>3</v>
      </c>
      <c r="M712">
        <f>VLOOKUP(D712,State_Lookup!$A$2:$B$28,2,FALSE)</f>
        <v/>
      </c>
    </row>
    <row r="713">
      <c r="A713" t="inlineStr">
        <is>
          <t>34e28e181f142ed3b17dc370a9c22d70</t>
        </is>
      </c>
      <c r="B713" t="inlineStr">
        <is>
          <t>2017-06-25</t>
        </is>
      </c>
      <c r="C713" t="inlineStr">
        <is>
          <t>2017-06</t>
        </is>
      </c>
      <c r="D713" t="inlineStr">
        <is>
          <t>ES</t>
        </is>
      </c>
      <c r="E713" t="inlineStr">
        <is>
          <t>stationery</t>
        </is>
      </c>
      <c r="F713" t="n">
        <v>1</v>
      </c>
      <c r="G713" t="n">
        <v>99</v>
      </c>
      <c r="H713" t="n">
        <v>17.94</v>
      </c>
      <c r="I713" t="inlineStr">
        <is>
          <t>credit_card</t>
        </is>
      </c>
      <c r="J713" t="n">
        <v>11</v>
      </c>
      <c r="K713" t="inlineStr">
        <is>
          <t>On Time</t>
        </is>
      </c>
      <c r="L713" t="n">
        <v>4</v>
      </c>
      <c r="M713">
        <f>VLOOKUP(D713,State_Lookup!$A$2:$B$28,2,FALSE)</f>
        <v/>
      </c>
    </row>
    <row r="714">
      <c r="A714" t="inlineStr">
        <is>
          <t>7eeee20ce93c5e4c8e68984bb116eea0</t>
        </is>
      </c>
      <c r="B714" t="inlineStr">
        <is>
          <t>2017-06-25</t>
        </is>
      </c>
      <c r="C714" t="inlineStr">
        <is>
          <t>2017-06</t>
        </is>
      </c>
      <c r="D714" t="inlineStr">
        <is>
          <t>SP</t>
        </is>
      </c>
      <c r="E714" t="inlineStr">
        <is>
          <t>housewares</t>
        </is>
      </c>
      <c r="F714" t="n">
        <v>1</v>
      </c>
      <c r="G714" t="n">
        <v>59.9</v>
      </c>
      <c r="H714" t="n">
        <v>14.13</v>
      </c>
      <c r="I714" t="inlineStr">
        <is>
          <t>boleto</t>
        </is>
      </c>
      <c r="J714" t="n">
        <v>3</v>
      </c>
      <c r="K714" t="inlineStr">
        <is>
          <t>On Time</t>
        </is>
      </c>
      <c r="L714" t="n">
        <v>5</v>
      </c>
      <c r="M714">
        <f>VLOOKUP(D714,State_Lookup!$A$2:$B$28,2,FALSE)</f>
        <v/>
      </c>
    </row>
    <row r="715">
      <c r="A715" t="inlineStr">
        <is>
          <t>c608c480ac442c0ee8203c097fca5f3c</t>
        </is>
      </c>
      <c r="B715" t="inlineStr">
        <is>
          <t>2017-06-25</t>
        </is>
      </c>
      <c r="C715" t="inlineStr">
        <is>
          <t>2017-06</t>
        </is>
      </c>
      <c r="D715" t="inlineStr">
        <is>
          <t>RS</t>
        </is>
      </c>
      <c r="E715" t="inlineStr">
        <is>
          <t>furniture_decor</t>
        </is>
      </c>
      <c r="F715" t="n">
        <v>1</v>
      </c>
      <c r="G715" t="n">
        <v>24.75</v>
      </c>
      <c r="H715" t="n">
        <v>16.11</v>
      </c>
      <c r="I715" t="inlineStr">
        <is>
          <t>credit_card</t>
        </is>
      </c>
      <c r="J715" t="n">
        <v>16</v>
      </c>
      <c r="K715" t="inlineStr">
        <is>
          <t>On Time</t>
        </is>
      </c>
      <c r="L715" t="n">
        <v>5</v>
      </c>
      <c r="M715">
        <f>VLOOKUP(D715,State_Lookup!$A$2:$B$28,2,FALSE)</f>
        <v/>
      </c>
    </row>
    <row r="716">
      <c r="A716" t="inlineStr">
        <is>
          <t>ac8f8a6e0d980aae7905fb9b3480078d</t>
        </is>
      </c>
      <c r="B716" t="inlineStr">
        <is>
          <t>2017-06-25</t>
        </is>
      </c>
      <c r="C716" t="inlineStr">
        <is>
          <t>2017-06</t>
        </is>
      </c>
      <c r="D716" t="inlineStr">
        <is>
          <t>MG</t>
        </is>
      </c>
      <c r="E716" t="inlineStr">
        <is>
          <t>home_confort</t>
        </is>
      </c>
      <c r="F716" t="n">
        <v>1</v>
      </c>
      <c r="G716" t="n">
        <v>269</v>
      </c>
      <c r="H716" t="n">
        <v>26.72</v>
      </c>
      <c r="I716" t="inlineStr">
        <is>
          <t>credit_card</t>
        </is>
      </c>
      <c r="J716" t="n">
        <v>12</v>
      </c>
      <c r="K716" t="inlineStr">
        <is>
          <t>On Time</t>
        </is>
      </c>
      <c r="L716" t="n">
        <v>4</v>
      </c>
      <c r="M716">
        <f>VLOOKUP(D716,State_Lookup!$A$2:$B$28,2,FALSE)</f>
        <v/>
      </c>
    </row>
    <row r="717">
      <c r="A717" t="inlineStr">
        <is>
          <t>752855fec9c8baf507e885780d74c273</t>
        </is>
      </c>
      <c r="B717" t="inlineStr">
        <is>
          <t>2017-06-25</t>
        </is>
      </c>
      <c r="C717" t="inlineStr">
        <is>
          <t>2017-06</t>
        </is>
      </c>
      <c r="D717" t="inlineStr">
        <is>
          <t>SP</t>
        </is>
      </c>
      <c r="E717" t="inlineStr">
        <is>
          <t>toys</t>
        </is>
      </c>
      <c r="F717" t="n">
        <v>1</v>
      </c>
      <c r="G717" t="n">
        <v>64.90000000000001</v>
      </c>
      <c r="H717" t="n">
        <v>17.7</v>
      </c>
      <c r="I717" t="inlineStr">
        <is>
          <t>credit_card</t>
        </is>
      </c>
      <c r="J717" t="n">
        <v>8</v>
      </c>
      <c r="K717" t="inlineStr">
        <is>
          <t>On Time</t>
        </is>
      </c>
      <c r="L717" t="n">
        <v>5</v>
      </c>
      <c r="M717">
        <f>VLOOKUP(D717,State_Lookup!$A$2:$B$28,2,FALSE)</f>
        <v/>
      </c>
    </row>
    <row r="718">
      <c r="A718" t="inlineStr">
        <is>
          <t>80384df0c422c9485fe5c3d33e07ac6b</t>
        </is>
      </c>
      <c r="B718" t="inlineStr">
        <is>
          <t>2017-06-25</t>
        </is>
      </c>
      <c r="C718" t="inlineStr">
        <is>
          <t>2017-06</t>
        </is>
      </c>
      <c r="D718" t="inlineStr">
        <is>
          <t>SP</t>
        </is>
      </c>
      <c r="E718" t="inlineStr">
        <is>
          <t>pet_shop</t>
        </is>
      </c>
      <c r="F718" t="n">
        <v>1</v>
      </c>
      <c r="G718" t="n">
        <v>59.9</v>
      </c>
      <c r="H718" t="n">
        <v>15.17</v>
      </c>
      <c r="I718" t="inlineStr">
        <is>
          <t>credit_card</t>
        </is>
      </c>
      <c r="J718" t="n">
        <v>3</v>
      </c>
      <c r="K718" t="inlineStr">
        <is>
          <t>On Time</t>
        </is>
      </c>
      <c r="L718" t="n">
        <v>5</v>
      </c>
      <c r="M718">
        <f>VLOOKUP(D718,State_Lookup!$A$2:$B$28,2,FALSE)</f>
        <v/>
      </c>
    </row>
    <row r="719">
      <c r="A719" t="inlineStr">
        <is>
          <t>2ee09d85df9aae765e175f897b5fb99b</t>
        </is>
      </c>
      <c r="B719" t="inlineStr">
        <is>
          <t>2017-06-26</t>
        </is>
      </c>
      <c r="C719" t="inlineStr">
        <is>
          <t>2017-06</t>
        </is>
      </c>
      <c r="D719" t="inlineStr">
        <is>
          <t>MG</t>
        </is>
      </c>
      <c r="E719" t="inlineStr">
        <is>
          <t>watches_gifts</t>
        </is>
      </c>
      <c r="F719" t="n">
        <v>1</v>
      </c>
      <c r="G719" t="n">
        <v>45</v>
      </c>
      <c r="H719" t="n">
        <v>14.1</v>
      </c>
      <c r="I719" t="inlineStr">
        <is>
          <t>credit_card</t>
        </is>
      </c>
      <c r="J719" t="n">
        <v>9</v>
      </c>
      <c r="K719" t="inlineStr">
        <is>
          <t>On Time</t>
        </is>
      </c>
      <c r="L719" t="n">
        <v>5</v>
      </c>
      <c r="M719">
        <f>VLOOKUP(D719,State_Lookup!$A$2:$B$28,2,FALSE)</f>
        <v/>
      </c>
    </row>
    <row r="720">
      <c r="A720" t="inlineStr">
        <is>
          <t>acafc483caca0c28cef0ad651d6bb9fc</t>
        </is>
      </c>
      <c r="B720" t="inlineStr">
        <is>
          <t>2017-06-26</t>
        </is>
      </c>
      <c r="C720" t="inlineStr">
        <is>
          <t>2017-06</t>
        </is>
      </c>
      <c r="D720" t="inlineStr">
        <is>
          <t>SP</t>
        </is>
      </c>
      <c r="E720" t="inlineStr">
        <is>
          <t>computers_accessories</t>
        </is>
      </c>
      <c r="F720" t="n">
        <v>3</v>
      </c>
      <c r="G720" t="n">
        <v>521.8099999999999</v>
      </c>
      <c r="H720" t="n">
        <v>31.9</v>
      </c>
      <c r="I720" t="inlineStr">
        <is>
          <t>credit_card</t>
        </is>
      </c>
      <c r="J720" t="n">
        <v>6</v>
      </c>
      <c r="K720" t="inlineStr">
        <is>
          <t>On Time</t>
        </is>
      </c>
      <c r="L720" t="n">
        <v>5</v>
      </c>
      <c r="M720">
        <f>VLOOKUP(D720,State_Lookup!$A$2:$B$28,2,FALSE)</f>
        <v/>
      </c>
    </row>
    <row r="721">
      <c r="A721" t="inlineStr">
        <is>
          <t>4b594c50ed0279e3677e9580c4cfcfdb</t>
        </is>
      </c>
      <c r="B721" t="inlineStr">
        <is>
          <t>2017-06-26</t>
        </is>
      </c>
      <c r="C721" t="inlineStr">
        <is>
          <t>2017-06</t>
        </is>
      </c>
      <c r="D721" t="inlineStr">
        <is>
          <t>RS</t>
        </is>
      </c>
      <c r="E721" t="inlineStr">
        <is>
          <t>garden_tools</t>
        </is>
      </c>
      <c r="F721" t="n">
        <v>1</v>
      </c>
      <c r="G721" t="n">
        <v>59.9</v>
      </c>
      <c r="H721" t="n">
        <v>17.67</v>
      </c>
      <c r="I721" t="inlineStr">
        <is>
          <t>credit_card</t>
        </is>
      </c>
      <c r="J721" t="n">
        <v>14</v>
      </c>
      <c r="K721" t="inlineStr">
        <is>
          <t>On Time</t>
        </is>
      </c>
      <c r="L721" t="n">
        <v>5</v>
      </c>
      <c r="M721">
        <f>VLOOKUP(D721,State_Lookup!$A$2:$B$28,2,FALSE)</f>
        <v/>
      </c>
    </row>
    <row r="722">
      <c r="A722" t="inlineStr">
        <is>
          <t>725d9a21b91d5ee08aaa56ef88058147</t>
        </is>
      </c>
      <c r="B722" t="inlineStr">
        <is>
          <t>2017-06-26</t>
        </is>
      </c>
      <c r="C722" t="inlineStr">
        <is>
          <t>2017-06</t>
        </is>
      </c>
      <c r="D722" t="inlineStr">
        <is>
          <t>PB</t>
        </is>
      </c>
      <c r="E722" t="inlineStr">
        <is>
          <t>unknown</t>
        </is>
      </c>
      <c r="F722" t="n">
        <v>1</v>
      </c>
      <c r="G722" t="n">
        <v>69</v>
      </c>
      <c r="H722" t="n">
        <v>38.03</v>
      </c>
      <c r="I722" t="inlineStr">
        <is>
          <t>boleto</t>
        </is>
      </c>
      <c r="J722" t="n">
        <v>14</v>
      </c>
      <c r="K722" t="inlineStr">
        <is>
          <t>On Time</t>
        </is>
      </c>
      <c r="L722" t="n">
        <v>5</v>
      </c>
      <c r="M722">
        <f>VLOOKUP(D722,State_Lookup!$A$2:$B$28,2,FALSE)</f>
        <v/>
      </c>
    </row>
    <row r="723">
      <c r="A723" t="inlineStr">
        <is>
          <t>a702e68bc7f4b63f299ffe8105a5ac20</t>
        </is>
      </c>
      <c r="B723" t="inlineStr">
        <is>
          <t>2017-06-27</t>
        </is>
      </c>
      <c r="C723" t="inlineStr">
        <is>
          <t>2017-06</t>
        </is>
      </c>
      <c r="D723" t="inlineStr">
        <is>
          <t>SC</t>
        </is>
      </c>
      <c r="E723" t="inlineStr">
        <is>
          <t>small_appliances</t>
        </is>
      </c>
      <c r="F723" t="n">
        <v>1</v>
      </c>
      <c r="G723" t="n">
        <v>319</v>
      </c>
      <c r="H723" t="n">
        <v>83.31999999999999</v>
      </c>
      <c r="I723" t="inlineStr">
        <is>
          <t>credit_card</t>
        </is>
      </c>
      <c r="J723" t="n">
        <v>13</v>
      </c>
      <c r="K723" t="inlineStr">
        <is>
          <t>On Time</t>
        </is>
      </c>
      <c r="L723" t="n">
        <v>5</v>
      </c>
      <c r="M723">
        <f>VLOOKUP(D723,State_Lookup!$A$2:$B$28,2,FALSE)</f>
        <v/>
      </c>
    </row>
    <row r="724">
      <c r="A724" t="inlineStr">
        <is>
          <t>68cf62098cbe8d4ef838a1b3d63e74ea</t>
        </is>
      </c>
      <c r="B724" t="inlineStr">
        <is>
          <t>2017-06-27</t>
        </is>
      </c>
      <c r="C724" t="inlineStr">
        <is>
          <t>2017-06</t>
        </is>
      </c>
      <c r="D724" t="inlineStr">
        <is>
          <t>BA</t>
        </is>
      </c>
      <c r="E724" t="inlineStr">
        <is>
          <t>small_appliances</t>
        </is>
      </c>
      <c r="F724" t="n">
        <v>1</v>
      </c>
      <c r="G724" t="n">
        <v>64</v>
      </c>
      <c r="H724" t="n">
        <v>19.69</v>
      </c>
      <c r="I724" t="inlineStr">
        <is>
          <t>credit_card</t>
        </is>
      </c>
      <c r="J724" t="n">
        <v>17</v>
      </c>
      <c r="K724" t="inlineStr">
        <is>
          <t>On Time</t>
        </is>
      </c>
      <c r="L724" t="n">
        <v>5</v>
      </c>
      <c r="M724">
        <f>VLOOKUP(D724,State_Lookup!$A$2:$B$28,2,FALSE)</f>
        <v/>
      </c>
    </row>
    <row r="725">
      <c r="A725" t="inlineStr">
        <is>
          <t>2af4817f66a5aeb427fc06e41204bc7b</t>
        </is>
      </c>
      <c r="B725" t="inlineStr">
        <is>
          <t>2017-06-27</t>
        </is>
      </c>
      <c r="C725" t="inlineStr">
        <is>
          <t>2017-06</t>
        </is>
      </c>
      <c r="D725" t="inlineStr">
        <is>
          <t>SP</t>
        </is>
      </c>
      <c r="E725" t="inlineStr">
        <is>
          <t>pet_shop</t>
        </is>
      </c>
      <c r="F725" t="n">
        <v>1</v>
      </c>
      <c r="G725" t="n">
        <v>12.99</v>
      </c>
      <c r="H725" t="n">
        <v>9.74</v>
      </c>
      <c r="I725" t="inlineStr">
        <is>
          <t>credit_card</t>
        </is>
      </c>
      <c r="J725" t="n">
        <v>2</v>
      </c>
      <c r="K725" t="inlineStr">
        <is>
          <t>On Time</t>
        </is>
      </c>
      <c r="L725" t="n">
        <v>5</v>
      </c>
      <c r="M725">
        <f>VLOOKUP(D725,State_Lookup!$A$2:$B$28,2,FALSE)</f>
        <v/>
      </c>
    </row>
    <row r="726">
      <c r="A726" t="inlineStr">
        <is>
          <t>a32c1ae6b544c2e27c53db079e2a3af6</t>
        </is>
      </c>
      <c r="B726" t="inlineStr">
        <is>
          <t>2017-06-27</t>
        </is>
      </c>
      <c r="C726" t="inlineStr">
        <is>
          <t>2017-06</t>
        </is>
      </c>
      <c r="D726" t="inlineStr">
        <is>
          <t>BA</t>
        </is>
      </c>
      <c r="E726" t="inlineStr">
        <is>
          <t>cool_stuff</t>
        </is>
      </c>
      <c r="F726" t="n">
        <v>1</v>
      </c>
      <c r="G726" t="n">
        <v>499.9</v>
      </c>
      <c r="H726" t="n">
        <v>22.74</v>
      </c>
      <c r="I726" t="inlineStr">
        <is>
          <t>credit_card</t>
        </is>
      </c>
      <c r="J726" t="n">
        <v>13</v>
      </c>
      <c r="K726" t="inlineStr">
        <is>
          <t>On Time</t>
        </is>
      </c>
      <c r="L726" t="n">
        <v>5</v>
      </c>
      <c r="M726">
        <f>VLOOKUP(D726,State_Lookup!$A$2:$B$28,2,FALSE)</f>
        <v/>
      </c>
    </row>
    <row r="727">
      <c r="A727" t="inlineStr">
        <is>
          <t>7a45b93cba1b6ebadb4498f33f110b4e</t>
        </is>
      </c>
      <c r="B727" t="inlineStr">
        <is>
          <t>2017-06-27</t>
        </is>
      </c>
      <c r="C727" t="inlineStr">
        <is>
          <t>2017-06</t>
        </is>
      </c>
      <c r="D727" t="inlineStr">
        <is>
          <t>SP</t>
        </is>
      </c>
      <c r="E727" t="inlineStr">
        <is>
          <t>health_beauty</t>
        </is>
      </c>
      <c r="F727" t="n">
        <v>1</v>
      </c>
      <c r="G727" t="n">
        <v>18.99</v>
      </c>
      <c r="H727" t="n">
        <v>7.78</v>
      </c>
      <c r="I727" t="inlineStr">
        <is>
          <t>credit_card</t>
        </is>
      </c>
      <c r="J727" t="n">
        <v>1</v>
      </c>
      <c r="K727" t="inlineStr">
        <is>
          <t>On Time</t>
        </is>
      </c>
      <c r="L727" t="n">
        <v>4</v>
      </c>
      <c r="M727">
        <f>VLOOKUP(D727,State_Lookup!$A$2:$B$28,2,FALSE)</f>
        <v/>
      </c>
    </row>
    <row r="728">
      <c r="A728" t="inlineStr">
        <is>
          <t>6e8b784db4941b3dbd08146464f9f628</t>
        </is>
      </c>
      <c r="B728" t="inlineStr">
        <is>
          <t>2017-06-28</t>
        </is>
      </c>
      <c r="C728" t="inlineStr">
        <is>
          <t>2017-06</t>
        </is>
      </c>
      <c r="D728" t="inlineStr">
        <is>
          <t>PA</t>
        </is>
      </c>
      <c r="E728" t="inlineStr">
        <is>
          <t>telephony</t>
        </is>
      </c>
      <c r="F728" t="n">
        <v>1</v>
      </c>
      <c r="G728" t="n">
        <v>12.5</v>
      </c>
      <c r="H728" t="n">
        <v>25.63</v>
      </c>
      <c r="I728" t="inlineStr">
        <is>
          <t>boleto</t>
        </is>
      </c>
      <c r="J728" t="n">
        <v>36</v>
      </c>
      <c r="K728" t="inlineStr">
        <is>
          <t>Late</t>
        </is>
      </c>
      <c r="L728" t="n">
        <v>5</v>
      </c>
      <c r="M728">
        <f>VLOOKUP(D728,State_Lookup!$A$2:$B$28,2,FALSE)</f>
        <v/>
      </c>
    </row>
    <row r="729">
      <c r="A729" t="inlineStr">
        <is>
          <t>f7f27a0b991c58f8f3287801b9b26802</t>
        </is>
      </c>
      <c r="B729" t="inlineStr">
        <is>
          <t>2017-06-28</t>
        </is>
      </c>
      <c r="C729" t="inlineStr">
        <is>
          <t>2017-06</t>
        </is>
      </c>
      <c r="D729" t="inlineStr">
        <is>
          <t>RJ</t>
        </is>
      </c>
      <c r="E729" t="inlineStr">
        <is>
          <t>computers_accessories</t>
        </is>
      </c>
      <c r="F729" t="n">
        <v>1</v>
      </c>
      <c r="G729" t="n">
        <v>46.9</v>
      </c>
      <c r="H729" t="n">
        <v>16.6</v>
      </c>
      <c r="I729" t="inlineStr">
        <is>
          <t>credit_card</t>
        </is>
      </c>
      <c r="J729" t="n">
        <v>6</v>
      </c>
      <c r="K729" t="inlineStr">
        <is>
          <t>On Time</t>
        </is>
      </c>
      <c r="L729" t="n">
        <v>5</v>
      </c>
      <c r="M729">
        <f>VLOOKUP(D729,State_Lookup!$A$2:$B$28,2,FALSE)</f>
        <v/>
      </c>
    </row>
    <row r="730">
      <c r="A730" t="inlineStr">
        <is>
          <t>632984d58b2a50f588c4a3c559c1f8f3</t>
        </is>
      </c>
      <c r="B730" t="inlineStr">
        <is>
          <t>2017-06-28</t>
        </is>
      </c>
      <c r="C730" t="inlineStr">
        <is>
          <t>2017-06</t>
        </is>
      </c>
      <c r="D730" t="inlineStr">
        <is>
          <t>SC</t>
        </is>
      </c>
      <c r="E730" t="inlineStr">
        <is>
          <t>electronics</t>
        </is>
      </c>
      <c r="F730" t="n">
        <v>1</v>
      </c>
      <c r="G730" t="n">
        <v>49</v>
      </c>
      <c r="H730" t="n">
        <v>15.1</v>
      </c>
      <c r="I730" t="inlineStr">
        <is>
          <t>credit_card</t>
        </is>
      </c>
      <c r="J730" t="n">
        <v>14</v>
      </c>
      <c r="K730" t="inlineStr">
        <is>
          <t>On Time</t>
        </is>
      </c>
      <c r="L730" t="n">
        <v>5</v>
      </c>
      <c r="M730">
        <f>VLOOKUP(D730,State_Lookup!$A$2:$B$28,2,FALSE)</f>
        <v/>
      </c>
    </row>
    <row r="731">
      <c r="A731" t="inlineStr">
        <is>
          <t>5f92e202714f58d016aa087092c33fe7</t>
        </is>
      </c>
      <c r="B731" t="inlineStr">
        <is>
          <t>2017-06-28</t>
        </is>
      </c>
      <c r="C731" t="inlineStr">
        <is>
          <t>2017-06</t>
        </is>
      </c>
      <c r="D731" t="inlineStr">
        <is>
          <t>MG</t>
        </is>
      </c>
      <c r="E731" t="inlineStr">
        <is>
          <t>consoles_games</t>
        </is>
      </c>
      <c r="F731" t="n">
        <v>1</v>
      </c>
      <c r="G731" t="n">
        <v>79.98999999999999</v>
      </c>
      <c r="H731" t="n">
        <v>12.69</v>
      </c>
      <c r="I731" t="inlineStr">
        <is>
          <t>credit_card</t>
        </is>
      </c>
      <c r="J731" t="n">
        <v>5</v>
      </c>
      <c r="K731" t="inlineStr">
        <is>
          <t>On Time</t>
        </is>
      </c>
      <c r="L731" t="n">
        <v>5</v>
      </c>
      <c r="M731">
        <f>VLOOKUP(D731,State_Lookup!$A$2:$B$28,2,FALSE)</f>
        <v/>
      </c>
    </row>
    <row r="732">
      <c r="A732" t="inlineStr">
        <is>
          <t>f327645eb13511d92d672ec03773b2ae</t>
        </is>
      </c>
      <c r="B732" t="inlineStr">
        <is>
          <t>2017-06-29</t>
        </is>
      </c>
      <c r="C732" t="inlineStr">
        <is>
          <t>2017-06</t>
        </is>
      </c>
      <c r="D732" t="inlineStr">
        <is>
          <t>GO</t>
        </is>
      </c>
      <c r="E732" t="inlineStr">
        <is>
          <t>health_beauty</t>
        </is>
      </c>
      <c r="F732" t="n">
        <v>1</v>
      </c>
      <c r="G732" t="n">
        <v>97.90000000000001</v>
      </c>
      <c r="H732" t="n">
        <v>21.18</v>
      </c>
      <c r="I732" t="inlineStr">
        <is>
          <t>boleto</t>
        </is>
      </c>
      <c r="J732" t="n">
        <v>13</v>
      </c>
      <c r="K732" t="inlineStr">
        <is>
          <t>On Time</t>
        </is>
      </c>
      <c r="L732" t="n">
        <v>5</v>
      </c>
      <c r="M732">
        <f>VLOOKUP(D732,State_Lookup!$A$2:$B$28,2,FALSE)</f>
        <v/>
      </c>
    </row>
    <row r="733">
      <c r="A733" t="inlineStr">
        <is>
          <t>962aeb93da677a2ce2fdb8e771e4668e</t>
        </is>
      </c>
      <c r="B733" t="inlineStr">
        <is>
          <t>2017-06-29</t>
        </is>
      </c>
      <c r="C733" t="inlineStr">
        <is>
          <t>2017-06</t>
        </is>
      </c>
      <c r="D733" t="inlineStr">
        <is>
          <t>GO</t>
        </is>
      </c>
      <c r="E733" t="inlineStr">
        <is>
          <t>telephony</t>
        </is>
      </c>
      <c r="F733" t="n">
        <v>1</v>
      </c>
      <c r="G733" t="n">
        <v>15.9</v>
      </c>
      <c r="H733" t="n">
        <v>14.1</v>
      </c>
      <c r="I733" t="inlineStr">
        <is>
          <t>boleto</t>
        </is>
      </c>
      <c r="J733" t="n">
        <v>7</v>
      </c>
      <c r="K733" t="inlineStr">
        <is>
          <t>On Time</t>
        </is>
      </c>
      <c r="L733" t="n">
        <v>5</v>
      </c>
      <c r="M733">
        <f>VLOOKUP(D733,State_Lookup!$A$2:$B$28,2,FALSE)</f>
        <v/>
      </c>
    </row>
    <row r="734">
      <c r="A734" t="inlineStr">
        <is>
          <t>825c221a4e981f278e9c5ec6ead83a3f</t>
        </is>
      </c>
      <c r="B734" t="inlineStr">
        <is>
          <t>2017-06-29</t>
        </is>
      </c>
      <c r="C734" t="inlineStr">
        <is>
          <t>2017-06</t>
        </is>
      </c>
      <c r="D734" t="inlineStr">
        <is>
          <t>SP</t>
        </is>
      </c>
      <c r="E734" t="inlineStr">
        <is>
          <t>health_beauty</t>
        </is>
      </c>
      <c r="F734" t="n">
        <v>1</v>
      </c>
      <c r="G734" t="n">
        <v>73.90000000000001</v>
      </c>
      <c r="H734" t="n">
        <v>13.54</v>
      </c>
      <c r="I734" t="inlineStr">
        <is>
          <t>credit_card</t>
        </is>
      </c>
      <c r="J734" t="n">
        <v>10</v>
      </c>
      <c r="K734" t="inlineStr">
        <is>
          <t>On Time</t>
        </is>
      </c>
      <c r="L734" t="n">
        <v>5</v>
      </c>
      <c r="M734">
        <f>VLOOKUP(D734,State_Lookup!$A$2:$B$28,2,FALSE)</f>
        <v/>
      </c>
    </row>
    <row r="735">
      <c r="A735" t="inlineStr">
        <is>
          <t>c26b94aa87e95d1c1eb1b592f43eb223</t>
        </is>
      </c>
      <c r="B735" t="inlineStr">
        <is>
          <t>2017-06-29</t>
        </is>
      </c>
      <c r="C735" t="inlineStr">
        <is>
          <t>2017-06</t>
        </is>
      </c>
      <c r="D735" t="inlineStr">
        <is>
          <t>SP</t>
        </is>
      </c>
      <c r="E735" t="inlineStr">
        <is>
          <t>home_confort</t>
        </is>
      </c>
      <c r="F735" t="n">
        <v>2</v>
      </c>
      <c r="G735" t="n">
        <v>179.8</v>
      </c>
      <c r="H735" t="n">
        <v>24.26</v>
      </c>
      <c r="I735" t="inlineStr">
        <is>
          <t>credit_card</t>
        </is>
      </c>
      <c r="J735" t="n">
        <v>11</v>
      </c>
      <c r="K735" t="inlineStr">
        <is>
          <t>On Time</t>
        </is>
      </c>
      <c r="L735" t="n">
        <v>5</v>
      </c>
      <c r="M735">
        <f>VLOOKUP(D735,State_Lookup!$A$2:$B$28,2,FALSE)</f>
        <v/>
      </c>
    </row>
    <row r="736">
      <c r="A736" t="inlineStr">
        <is>
          <t>502ffac2e1d978a412b48e2b290bfb4d</t>
        </is>
      </c>
      <c r="B736" t="inlineStr">
        <is>
          <t>2017-06-29</t>
        </is>
      </c>
      <c r="C736" t="inlineStr">
        <is>
          <t>2017-06</t>
        </is>
      </c>
      <c r="D736" t="inlineStr">
        <is>
          <t>SP</t>
        </is>
      </c>
      <c r="E736" t="inlineStr">
        <is>
          <t>sports_leisure</t>
        </is>
      </c>
      <c r="F736" t="n">
        <v>2</v>
      </c>
      <c r="G736" t="n">
        <v>35.1</v>
      </c>
      <c r="H736" t="n">
        <v>50.38</v>
      </c>
      <c r="I736" t="inlineStr">
        <is>
          <t>boleto</t>
        </is>
      </c>
      <c r="J736" t="n">
        <v>34</v>
      </c>
      <c r="K736" t="inlineStr">
        <is>
          <t>Late</t>
        </is>
      </c>
      <c r="L736" t="n">
        <v>5</v>
      </c>
      <c r="M736">
        <f>VLOOKUP(D736,State_Lookup!$A$2:$B$28,2,FALSE)</f>
        <v/>
      </c>
    </row>
    <row r="737">
      <c r="A737" t="inlineStr">
        <is>
          <t>8c760e278dae85ccf9365fa1653bf04e</t>
        </is>
      </c>
      <c r="B737" t="inlineStr">
        <is>
          <t>2017-06-29</t>
        </is>
      </c>
      <c r="C737" t="inlineStr">
        <is>
          <t>2017-06</t>
        </is>
      </c>
      <c r="D737" t="inlineStr">
        <is>
          <t>RJ</t>
        </is>
      </c>
      <c r="E737" t="inlineStr">
        <is>
          <t>cool_stuff</t>
        </is>
      </c>
      <c r="F737" t="n">
        <v>1</v>
      </c>
      <c r="G737" t="n">
        <v>444</v>
      </c>
      <c r="H737" t="n">
        <v>18.87</v>
      </c>
      <c r="I737" t="inlineStr">
        <is>
          <t>credit_card</t>
        </is>
      </c>
      <c r="J737" t="n">
        <v>13</v>
      </c>
      <c r="K737" t="inlineStr">
        <is>
          <t>On Time</t>
        </is>
      </c>
      <c r="L737" t="n">
        <v>5</v>
      </c>
      <c r="M737">
        <f>VLOOKUP(D737,State_Lookup!$A$2:$B$28,2,FALSE)</f>
        <v/>
      </c>
    </row>
    <row r="738">
      <c r="A738" t="inlineStr">
        <is>
          <t>960470e088ef6e37d9b9dd22f2cfb57e</t>
        </is>
      </c>
      <c r="B738" t="inlineStr">
        <is>
          <t>2017-06-29</t>
        </is>
      </c>
      <c r="C738" t="inlineStr">
        <is>
          <t>2017-06</t>
        </is>
      </c>
      <c r="D738" t="inlineStr">
        <is>
          <t>MG</t>
        </is>
      </c>
      <c r="E738" t="inlineStr">
        <is>
          <t>pet_shop</t>
        </is>
      </c>
      <c r="F738" t="n">
        <v>1</v>
      </c>
      <c r="G738" t="n">
        <v>59.99</v>
      </c>
      <c r="H738" t="n">
        <v>16.18</v>
      </c>
      <c r="I738" t="inlineStr">
        <is>
          <t>credit_card</t>
        </is>
      </c>
      <c r="J738" t="n">
        <v>4</v>
      </c>
      <c r="K738" t="inlineStr">
        <is>
          <t>On Time</t>
        </is>
      </c>
      <c r="L738" t="n">
        <v>5</v>
      </c>
      <c r="M738">
        <f>VLOOKUP(D738,State_Lookup!$A$2:$B$28,2,FALSE)</f>
        <v/>
      </c>
    </row>
    <row r="739">
      <c r="A739" t="inlineStr">
        <is>
          <t>c2a8cb0a8bf007dbb36ed1c3bda6aeae</t>
        </is>
      </c>
      <c r="B739" t="inlineStr">
        <is>
          <t>2017-06-30</t>
        </is>
      </c>
      <c r="C739" t="inlineStr">
        <is>
          <t>2017-06</t>
        </is>
      </c>
      <c r="D739" t="inlineStr">
        <is>
          <t>MG</t>
        </is>
      </c>
      <c r="E739" t="inlineStr">
        <is>
          <t>fixed_telephony</t>
        </is>
      </c>
      <c r="F739" t="n">
        <v>1</v>
      </c>
      <c r="G739" t="n">
        <v>32.99</v>
      </c>
      <c r="H739" t="n">
        <v>15.1</v>
      </c>
      <c r="I739" t="inlineStr">
        <is>
          <t>boleto</t>
        </is>
      </c>
      <c r="J739" t="n">
        <v>7</v>
      </c>
      <c r="K739" t="inlineStr">
        <is>
          <t>On Time</t>
        </is>
      </c>
      <c r="L739" t="n">
        <v>5</v>
      </c>
      <c r="M739">
        <f>VLOOKUP(D739,State_Lookup!$A$2:$B$28,2,FALSE)</f>
        <v/>
      </c>
    </row>
    <row r="740">
      <c r="A740" t="inlineStr">
        <is>
          <t>5b939ecc014a32ab25d16b70ffdb0426</t>
        </is>
      </c>
      <c r="B740" t="inlineStr">
        <is>
          <t>2017-06-30</t>
        </is>
      </c>
      <c r="C740" t="inlineStr">
        <is>
          <t>2017-06</t>
        </is>
      </c>
      <c r="D740" t="inlineStr">
        <is>
          <t>RJ</t>
        </is>
      </c>
      <c r="E740" t="inlineStr">
        <is>
          <t>toys</t>
        </is>
      </c>
      <c r="F740" t="n">
        <v>1</v>
      </c>
      <c r="G740" t="n">
        <v>152.9</v>
      </c>
      <c r="H740" t="n">
        <v>18.32</v>
      </c>
      <c r="I740" t="inlineStr">
        <is>
          <t>credit_card</t>
        </is>
      </c>
      <c r="J740" t="n">
        <v>11</v>
      </c>
      <c r="K740" t="inlineStr">
        <is>
          <t>On Time</t>
        </is>
      </c>
      <c r="L740" t="n">
        <v>5</v>
      </c>
      <c r="M740">
        <f>VLOOKUP(D740,State_Lookup!$A$2:$B$28,2,FALSE)</f>
        <v/>
      </c>
    </row>
    <row r="741">
      <c r="A741" t="inlineStr">
        <is>
          <t>7d1195a1ae8175a0713fbeeedb018fca</t>
        </is>
      </c>
      <c r="B741" t="inlineStr">
        <is>
          <t>2017-06-30</t>
        </is>
      </c>
      <c r="C741" t="inlineStr">
        <is>
          <t>2017-06</t>
        </is>
      </c>
      <c r="D741" t="inlineStr">
        <is>
          <t>RJ</t>
        </is>
      </c>
      <c r="E741" t="inlineStr">
        <is>
          <t>consoles_games</t>
        </is>
      </c>
      <c r="F741" t="n">
        <v>1</v>
      </c>
      <c r="G741" t="n">
        <v>8.99</v>
      </c>
      <c r="H741" t="n">
        <v>15.1</v>
      </c>
      <c r="I741" t="inlineStr">
        <is>
          <t>credit_card</t>
        </is>
      </c>
      <c r="J741" t="n">
        <v>10</v>
      </c>
      <c r="K741" t="inlineStr">
        <is>
          <t>On Time</t>
        </is>
      </c>
      <c r="L741" t="n">
        <v>5</v>
      </c>
      <c r="M741">
        <f>VLOOKUP(D741,State_Lookup!$A$2:$B$28,2,FALSE)</f>
        <v/>
      </c>
    </row>
    <row r="742">
      <c r="A742" t="inlineStr">
        <is>
          <t>4624ea7637e72baa8c19beb97398173d</t>
        </is>
      </c>
      <c r="B742" t="inlineStr">
        <is>
          <t>2017-06-30</t>
        </is>
      </c>
      <c r="C742" t="inlineStr">
        <is>
          <t>2017-06</t>
        </is>
      </c>
      <c r="D742" t="inlineStr">
        <is>
          <t>GO</t>
        </is>
      </c>
      <c r="E742" t="inlineStr">
        <is>
          <t>office_furniture</t>
        </is>
      </c>
      <c r="F742" t="n">
        <v>1</v>
      </c>
      <c r="G742" t="n">
        <v>144.94</v>
      </c>
      <c r="H742" t="n">
        <v>30.85</v>
      </c>
      <c r="I742" t="inlineStr">
        <is>
          <t>credit_card</t>
        </is>
      </c>
      <c r="J742" t="n">
        <v>20</v>
      </c>
      <c r="K742" t="inlineStr">
        <is>
          <t>On Time</t>
        </is>
      </c>
      <c r="L742" t="n">
        <v>5</v>
      </c>
      <c r="M742">
        <f>VLOOKUP(D742,State_Lookup!$A$2:$B$28,2,FALSE)</f>
        <v/>
      </c>
    </row>
    <row r="743">
      <c r="A743" t="inlineStr">
        <is>
          <t>f100e6de2729471b754facdcdb55b3e4</t>
        </is>
      </c>
      <c r="B743" t="inlineStr">
        <is>
          <t>2017-06-30</t>
        </is>
      </c>
      <c r="C743" t="inlineStr">
        <is>
          <t>2017-06</t>
        </is>
      </c>
      <c r="D743" t="inlineStr">
        <is>
          <t>RJ</t>
        </is>
      </c>
      <c r="E743" t="inlineStr">
        <is>
          <t>construction_tools_construction</t>
        </is>
      </c>
      <c r="F743" t="n">
        <v>1</v>
      </c>
      <c r="G743" t="n">
        <v>99.98999999999999</v>
      </c>
      <c r="H743" t="n">
        <v>32.03</v>
      </c>
      <c r="I743" t="inlineStr">
        <is>
          <t>credit_card</t>
        </is>
      </c>
      <c r="J743" t="n">
        <v>7</v>
      </c>
      <c r="K743" t="inlineStr">
        <is>
          <t>On Time</t>
        </is>
      </c>
      <c r="L743" t="n">
        <v>5</v>
      </c>
      <c r="M743">
        <f>VLOOKUP(D743,State_Lookup!$A$2:$B$28,2,FALSE)</f>
        <v/>
      </c>
    </row>
    <row r="744">
      <c r="A744" t="inlineStr">
        <is>
          <t>294d16591b8d224412320d2053d48623</t>
        </is>
      </c>
      <c r="B744" t="inlineStr">
        <is>
          <t>2017-06-30</t>
        </is>
      </c>
      <c r="C744" t="inlineStr">
        <is>
          <t>2017-06</t>
        </is>
      </c>
      <c r="D744" t="inlineStr">
        <is>
          <t>SP</t>
        </is>
      </c>
      <c r="E744" t="inlineStr">
        <is>
          <t>auto</t>
        </is>
      </c>
      <c r="F744" t="n">
        <v>1</v>
      </c>
      <c r="G744" t="n">
        <v>143.8</v>
      </c>
      <c r="H744" t="n">
        <v>15.76</v>
      </c>
      <c r="I744" t="inlineStr">
        <is>
          <t>credit_card</t>
        </is>
      </c>
      <c r="J744" t="n">
        <v>27</v>
      </c>
      <c r="K744" t="inlineStr">
        <is>
          <t>Late</t>
        </is>
      </c>
      <c r="L744" t="n">
        <v>1</v>
      </c>
      <c r="M744">
        <f>VLOOKUP(D744,State_Lookup!$A$2:$B$28,2,FALSE)</f>
        <v/>
      </c>
    </row>
    <row r="745">
      <c r="A745" t="inlineStr">
        <is>
          <t>0581cc006c5d0b4351b5435336828add</t>
        </is>
      </c>
      <c r="B745" t="inlineStr">
        <is>
          <t>2017-07-01</t>
        </is>
      </c>
      <c r="C745" t="inlineStr">
        <is>
          <t>2017-07</t>
        </is>
      </c>
      <c r="D745" t="inlineStr">
        <is>
          <t>RS</t>
        </is>
      </c>
      <c r="E745" t="inlineStr">
        <is>
          <t>baby</t>
        </is>
      </c>
      <c r="F745" t="n">
        <v>1</v>
      </c>
      <c r="G745" t="n">
        <v>349.99</v>
      </c>
      <c r="H745" t="n">
        <v>20.69</v>
      </c>
      <c r="I745" t="inlineStr">
        <is>
          <t>voucher</t>
        </is>
      </c>
      <c r="J745" t="n">
        <v>12</v>
      </c>
      <c r="K745" t="inlineStr">
        <is>
          <t>On Time</t>
        </is>
      </c>
      <c r="L745" t="n">
        <v>5</v>
      </c>
      <c r="M745">
        <f>VLOOKUP(D745,State_Lookup!$A$2:$B$28,2,FALSE)</f>
        <v/>
      </c>
    </row>
    <row r="746">
      <c r="A746" t="inlineStr">
        <is>
          <t>5753fab4ca88fe20c5a7e8c843941287</t>
        </is>
      </c>
      <c r="B746" t="inlineStr">
        <is>
          <t>2017-07-01</t>
        </is>
      </c>
      <c r="C746" t="inlineStr">
        <is>
          <t>2017-07</t>
        </is>
      </c>
      <c r="D746" t="inlineStr">
        <is>
          <t>SP</t>
        </is>
      </c>
      <c r="E746" t="inlineStr">
        <is>
          <t>cool_stuff</t>
        </is>
      </c>
      <c r="F746" t="n">
        <v>1</v>
      </c>
      <c r="G746" t="n">
        <v>99.90000000000001</v>
      </c>
      <c r="H746" t="n">
        <v>16.46</v>
      </c>
      <c r="I746" t="inlineStr">
        <is>
          <t>credit_card</t>
        </is>
      </c>
      <c r="J746" t="n">
        <v>4</v>
      </c>
      <c r="K746" t="inlineStr">
        <is>
          <t>On Time</t>
        </is>
      </c>
      <c r="L746" t="n">
        <v>5</v>
      </c>
      <c r="M746">
        <f>VLOOKUP(D746,State_Lookup!$A$2:$B$28,2,FALSE)</f>
        <v/>
      </c>
    </row>
    <row r="747">
      <c r="A747" t="inlineStr">
        <is>
          <t>7597c7c4c83261b22f9e17126dd703e3</t>
        </is>
      </c>
      <c r="B747" t="inlineStr">
        <is>
          <t>2017-07-01</t>
        </is>
      </c>
      <c r="C747" t="inlineStr">
        <is>
          <t>2017-07</t>
        </is>
      </c>
      <c r="D747" t="inlineStr">
        <is>
          <t>SP</t>
        </is>
      </c>
      <c r="E747" t="inlineStr">
        <is>
          <t>bed_bath_table</t>
        </is>
      </c>
      <c r="F747" t="n">
        <v>1</v>
      </c>
      <c r="G747" t="n">
        <v>205</v>
      </c>
      <c r="H747" t="n">
        <v>15.04</v>
      </c>
      <c r="I747" t="inlineStr">
        <is>
          <t>credit_card</t>
        </is>
      </c>
      <c r="J747" t="n">
        <v>6</v>
      </c>
      <c r="K747" t="inlineStr">
        <is>
          <t>On Time</t>
        </is>
      </c>
      <c r="L747" t="n">
        <v>3</v>
      </c>
      <c r="M747">
        <f>VLOOKUP(D747,State_Lookup!$A$2:$B$28,2,FALSE)</f>
        <v/>
      </c>
    </row>
    <row r="748">
      <c r="A748" t="inlineStr">
        <is>
          <t>c6c503c80e66a33d6e643178cd943e7b</t>
        </is>
      </c>
      <c r="B748" t="inlineStr">
        <is>
          <t>2017-07-02</t>
        </is>
      </c>
      <c r="C748" t="inlineStr">
        <is>
          <t>2017-07</t>
        </is>
      </c>
      <c r="D748" t="inlineStr">
        <is>
          <t>RS</t>
        </is>
      </c>
      <c r="E748" t="inlineStr">
        <is>
          <t>health_beauty</t>
        </is>
      </c>
      <c r="F748" t="n">
        <v>1</v>
      </c>
      <c r="G748" t="n">
        <v>54.99</v>
      </c>
      <c r="H748" t="n">
        <v>16.63</v>
      </c>
      <c r="I748" t="inlineStr">
        <is>
          <t>credit_card</t>
        </is>
      </c>
      <c r="J748" t="n">
        <v>11</v>
      </c>
      <c r="K748" t="inlineStr">
        <is>
          <t>On Time</t>
        </is>
      </c>
      <c r="L748" t="n">
        <v>2</v>
      </c>
      <c r="M748">
        <f>VLOOKUP(D748,State_Lookup!$A$2:$B$28,2,FALSE)</f>
        <v/>
      </c>
    </row>
    <row r="749">
      <c r="A749" t="inlineStr">
        <is>
          <t>ef3b6bd27aca9b9f50e6ad8be5a2b8e5</t>
        </is>
      </c>
      <c r="B749" t="inlineStr">
        <is>
          <t>2017-07-02</t>
        </is>
      </c>
      <c r="C749" t="inlineStr">
        <is>
          <t>2017-07</t>
        </is>
      </c>
      <c r="D749" t="inlineStr">
        <is>
          <t>RS</t>
        </is>
      </c>
      <c r="E749" t="inlineStr">
        <is>
          <t>cool_stuff</t>
        </is>
      </c>
      <c r="F749" t="n">
        <v>1</v>
      </c>
      <c r="G749" t="n">
        <v>99.98999999999999</v>
      </c>
      <c r="H749" t="n">
        <v>16.95</v>
      </c>
      <c r="I749" t="inlineStr">
        <is>
          <t>boleto</t>
        </is>
      </c>
      <c r="J749" t="n">
        <v>11</v>
      </c>
      <c r="K749" t="inlineStr">
        <is>
          <t>On Time</t>
        </is>
      </c>
      <c r="L749" t="n">
        <v>5</v>
      </c>
      <c r="M749">
        <f>VLOOKUP(D749,State_Lookup!$A$2:$B$28,2,FALSE)</f>
        <v/>
      </c>
    </row>
    <row r="750">
      <c r="A750" t="inlineStr">
        <is>
          <t>f518949d44e76c5b33a8d2019191acae</t>
        </is>
      </c>
      <c r="B750" t="inlineStr">
        <is>
          <t>2017-07-02</t>
        </is>
      </c>
      <c r="C750" t="inlineStr">
        <is>
          <t>2017-07</t>
        </is>
      </c>
      <c r="D750" t="inlineStr">
        <is>
          <t>MG</t>
        </is>
      </c>
      <c r="E750" t="inlineStr">
        <is>
          <t>stationery</t>
        </is>
      </c>
      <c r="F750" t="n">
        <v>1</v>
      </c>
      <c r="G750" t="n">
        <v>194</v>
      </c>
      <c r="H750" t="n">
        <v>15.11</v>
      </c>
      <c r="I750" t="inlineStr">
        <is>
          <t>credit_card</t>
        </is>
      </c>
      <c r="J750" t="n">
        <v>7</v>
      </c>
      <c r="K750" t="inlineStr">
        <is>
          <t>On Time</t>
        </is>
      </c>
      <c r="L750" t="n">
        <v>5</v>
      </c>
      <c r="M750">
        <f>VLOOKUP(D750,State_Lookup!$A$2:$B$28,2,FALSE)</f>
        <v/>
      </c>
    </row>
    <row r="751">
      <c r="A751" t="inlineStr">
        <is>
          <t>3f81bec0a9a43000562b9aea4ba6c2af</t>
        </is>
      </c>
      <c r="B751" t="inlineStr">
        <is>
          <t>2017-07-02</t>
        </is>
      </c>
      <c r="C751" t="inlineStr">
        <is>
          <t>2017-07</t>
        </is>
      </c>
      <c r="D751" t="inlineStr">
        <is>
          <t>ES</t>
        </is>
      </c>
      <c r="E751" t="inlineStr">
        <is>
          <t>computers_accessories</t>
        </is>
      </c>
      <c r="F751" t="n">
        <v>1</v>
      </c>
      <c r="G751" t="n">
        <v>29.4</v>
      </c>
      <c r="H751" t="n">
        <v>16.11</v>
      </c>
      <c r="I751" t="inlineStr">
        <is>
          <t>credit_card</t>
        </is>
      </c>
      <c r="J751" t="n">
        <v>22</v>
      </c>
      <c r="K751" t="inlineStr">
        <is>
          <t>On Time</t>
        </is>
      </c>
      <c r="L751" t="n">
        <v>5</v>
      </c>
      <c r="M751">
        <f>VLOOKUP(D751,State_Lookup!$A$2:$B$28,2,FALSE)</f>
        <v/>
      </c>
    </row>
    <row r="752">
      <c r="A752" t="inlineStr">
        <is>
          <t>eecc1b7c0a139c574d4f9f7e707bf083</t>
        </is>
      </c>
      <c r="B752" t="inlineStr">
        <is>
          <t>2017-07-02</t>
        </is>
      </c>
      <c r="C752" t="inlineStr">
        <is>
          <t>2017-07</t>
        </is>
      </c>
      <c r="D752" t="inlineStr">
        <is>
          <t>SP</t>
        </is>
      </c>
      <c r="E752" t="inlineStr">
        <is>
          <t>bed_bath_table</t>
        </is>
      </c>
      <c r="F752" t="n">
        <v>1</v>
      </c>
      <c r="G752" t="n">
        <v>69.90000000000001</v>
      </c>
      <c r="H752" t="n">
        <v>11.99</v>
      </c>
      <c r="I752" t="inlineStr">
        <is>
          <t>boleto</t>
        </is>
      </c>
      <c r="J752" t="n">
        <v>10</v>
      </c>
      <c r="K752" t="inlineStr">
        <is>
          <t>On Time</t>
        </is>
      </c>
      <c r="L752" t="n">
        <v>5</v>
      </c>
      <c r="M752">
        <f>VLOOKUP(D752,State_Lookup!$A$2:$B$28,2,FALSE)</f>
        <v/>
      </c>
    </row>
    <row r="753">
      <c r="A753" t="inlineStr">
        <is>
          <t>0cabc61e5deb17c32904e1b512204efd</t>
        </is>
      </c>
      <c r="B753" t="inlineStr">
        <is>
          <t>2017-07-02</t>
        </is>
      </c>
      <c r="C753" t="inlineStr">
        <is>
          <t>2017-07</t>
        </is>
      </c>
      <c r="D753" t="inlineStr">
        <is>
          <t>SP</t>
        </is>
      </c>
      <c r="E753" t="inlineStr">
        <is>
          <t>watches_gifts</t>
        </is>
      </c>
      <c r="F753" t="n">
        <v>1</v>
      </c>
      <c r="G753" t="n">
        <v>66.89</v>
      </c>
      <c r="H753" t="n">
        <v>17.72</v>
      </c>
      <c r="I753" t="inlineStr">
        <is>
          <t>voucher</t>
        </is>
      </c>
      <c r="J753" t="n">
        <v>10</v>
      </c>
      <c r="K753" t="inlineStr">
        <is>
          <t>On Time</t>
        </is>
      </c>
      <c r="L753" t="n">
        <v>5</v>
      </c>
      <c r="M753">
        <f>VLOOKUP(D753,State_Lookup!$A$2:$B$28,2,FALSE)</f>
        <v/>
      </c>
    </row>
    <row r="754">
      <c r="A754" t="inlineStr">
        <is>
          <t>ab98ae53ea3aa5c0c205452e32cc099b</t>
        </is>
      </c>
      <c r="B754" t="inlineStr">
        <is>
          <t>2017-07-03</t>
        </is>
      </c>
      <c r="C754" t="inlineStr">
        <is>
          <t>2017-07</t>
        </is>
      </c>
      <c r="D754" t="inlineStr">
        <is>
          <t>RJ</t>
        </is>
      </c>
      <c r="E754" t="inlineStr">
        <is>
          <t>furniture_living_room</t>
        </is>
      </c>
      <c r="F754" t="n">
        <v>1</v>
      </c>
      <c r="G754" t="n">
        <v>329.9</v>
      </c>
      <c r="H754" t="n">
        <v>40.15</v>
      </c>
      <c r="I754" t="inlineStr">
        <is>
          <t>credit_card</t>
        </is>
      </c>
      <c r="J754" t="n">
        <v>17</v>
      </c>
      <c r="K754" t="inlineStr">
        <is>
          <t>On Time</t>
        </is>
      </c>
      <c r="L754" t="n">
        <v>3</v>
      </c>
      <c r="M754">
        <f>VLOOKUP(D754,State_Lookup!$A$2:$B$28,2,FALSE)</f>
        <v/>
      </c>
    </row>
    <row r="755">
      <c r="A755" t="inlineStr">
        <is>
          <t>52a3cfb8a44b79a2e8d6e52ea5ff5b13</t>
        </is>
      </c>
      <c r="B755" t="inlineStr">
        <is>
          <t>2017-07-03</t>
        </is>
      </c>
      <c r="C755" t="inlineStr">
        <is>
          <t>2017-07</t>
        </is>
      </c>
      <c r="D755" t="inlineStr">
        <is>
          <t>RJ</t>
        </is>
      </c>
      <c r="E755" t="inlineStr">
        <is>
          <t>electronics</t>
        </is>
      </c>
      <c r="F755" t="n">
        <v>1</v>
      </c>
      <c r="G755" t="n">
        <v>12.9</v>
      </c>
      <c r="H755" t="n">
        <v>16.79</v>
      </c>
      <c r="I755" t="inlineStr">
        <is>
          <t>credit_card</t>
        </is>
      </c>
      <c r="J755" t="n">
        <v>14</v>
      </c>
      <c r="K755" t="inlineStr">
        <is>
          <t>On Time</t>
        </is>
      </c>
      <c r="L755" t="n">
        <v>5</v>
      </c>
      <c r="M755">
        <f>VLOOKUP(D755,State_Lookup!$A$2:$B$28,2,FALSE)</f>
        <v/>
      </c>
    </row>
    <row r="756">
      <c r="A756" t="inlineStr">
        <is>
          <t>ea048e4dd31fbc0e639a1aade37c7f3e</t>
        </is>
      </c>
      <c r="B756" t="inlineStr">
        <is>
          <t>2017-07-03</t>
        </is>
      </c>
      <c r="C756" t="inlineStr">
        <is>
          <t>2017-07</t>
        </is>
      </c>
      <c r="D756" t="inlineStr">
        <is>
          <t>PA</t>
        </is>
      </c>
      <c r="E756" t="inlineStr">
        <is>
          <t>sports_leisure</t>
        </is>
      </c>
      <c r="F756" t="n">
        <v>1</v>
      </c>
      <c r="G756" t="n">
        <v>189.5</v>
      </c>
      <c r="H756" t="n">
        <v>29.73</v>
      </c>
      <c r="I756" t="inlineStr">
        <is>
          <t>boleto</t>
        </is>
      </c>
      <c r="J756" t="n">
        <v>17</v>
      </c>
      <c r="K756" t="inlineStr">
        <is>
          <t>On Time</t>
        </is>
      </c>
      <c r="L756" t="n">
        <v>5</v>
      </c>
      <c r="M756">
        <f>VLOOKUP(D756,State_Lookup!$A$2:$B$28,2,FALSE)</f>
        <v/>
      </c>
    </row>
    <row r="757">
      <c r="A757" t="inlineStr">
        <is>
          <t>d6f9e75b25f4d86db87bf9c7e6d14a4b</t>
        </is>
      </c>
      <c r="B757" t="inlineStr">
        <is>
          <t>2017-07-03</t>
        </is>
      </c>
      <c r="C757" t="inlineStr">
        <is>
          <t>2017-07</t>
        </is>
      </c>
      <c r="D757" t="inlineStr">
        <is>
          <t>RJ</t>
        </is>
      </c>
      <c r="E757" t="inlineStr">
        <is>
          <t>toys</t>
        </is>
      </c>
      <c r="F757" t="n">
        <v>1</v>
      </c>
      <c r="G757" t="n">
        <v>218.9</v>
      </c>
      <c r="H757" t="n">
        <v>18.78</v>
      </c>
      <c r="I757" t="inlineStr">
        <is>
          <t>credit_card</t>
        </is>
      </c>
      <c r="J757" t="inlineStr"/>
      <c r="K757" t="inlineStr">
        <is>
          <t>Not Delivered</t>
        </is>
      </c>
      <c r="L757" t="n">
        <v>1</v>
      </c>
      <c r="M757">
        <f>VLOOKUP(D757,State_Lookup!$A$2:$B$28,2,FALSE)</f>
        <v/>
      </c>
    </row>
    <row r="758">
      <c r="A758" t="inlineStr">
        <is>
          <t>0cae0419c5938004fa8b8dba302552d1</t>
        </is>
      </c>
      <c r="B758" t="inlineStr">
        <is>
          <t>2017-07-03</t>
        </is>
      </c>
      <c r="C758" t="inlineStr">
        <is>
          <t>2017-07</t>
        </is>
      </c>
      <c r="D758" t="inlineStr">
        <is>
          <t>MA</t>
        </is>
      </c>
      <c r="E758" t="inlineStr">
        <is>
          <t>sports_leisure</t>
        </is>
      </c>
      <c r="F758" t="n">
        <v>1</v>
      </c>
      <c r="G758" t="n">
        <v>39.9</v>
      </c>
      <c r="H758" t="n">
        <v>21.15</v>
      </c>
      <c r="I758" t="inlineStr">
        <is>
          <t>boleto</t>
        </is>
      </c>
      <c r="J758" t="n">
        <v>18</v>
      </c>
      <c r="K758" t="inlineStr">
        <is>
          <t>On Time</t>
        </is>
      </c>
      <c r="L758" t="n">
        <v>5</v>
      </c>
      <c r="M758">
        <f>VLOOKUP(D758,State_Lookup!$A$2:$B$28,2,FALSE)</f>
        <v/>
      </c>
    </row>
    <row r="759">
      <c r="A759" t="inlineStr">
        <is>
          <t>45cd1a6af2fc3bbb9c5869ace4eef304</t>
        </is>
      </c>
      <c r="B759" t="inlineStr">
        <is>
          <t>2017-07-03</t>
        </is>
      </c>
      <c r="C759" t="inlineStr">
        <is>
          <t>2017-07</t>
        </is>
      </c>
      <c r="D759" t="inlineStr">
        <is>
          <t>RS</t>
        </is>
      </c>
      <c r="E759" t="inlineStr">
        <is>
          <t>food_drink</t>
        </is>
      </c>
      <c r="F759" t="n">
        <v>1</v>
      </c>
      <c r="G759" t="n">
        <v>41.5</v>
      </c>
      <c r="H759" t="n">
        <v>16.11</v>
      </c>
      <c r="I759" t="inlineStr">
        <is>
          <t>credit_card</t>
        </is>
      </c>
      <c r="J759" t="n">
        <v>8</v>
      </c>
      <c r="K759" t="inlineStr">
        <is>
          <t>On Time</t>
        </is>
      </c>
      <c r="L759" t="n">
        <v>5</v>
      </c>
      <c r="M759">
        <f>VLOOKUP(D759,State_Lookup!$A$2:$B$28,2,FALSE)</f>
        <v/>
      </c>
    </row>
    <row r="760">
      <c r="A760" t="inlineStr">
        <is>
          <t>543208567174edffa48d4c3262b0343e</t>
        </is>
      </c>
      <c r="B760" t="inlineStr">
        <is>
          <t>2017-07-03</t>
        </is>
      </c>
      <c r="C760" t="inlineStr">
        <is>
          <t>2017-07</t>
        </is>
      </c>
      <c r="D760" t="inlineStr">
        <is>
          <t>RJ</t>
        </is>
      </c>
      <c r="E760" t="inlineStr">
        <is>
          <t>cool_stuff</t>
        </is>
      </c>
      <c r="F760" t="n">
        <v>1</v>
      </c>
      <c r="G760" t="n">
        <v>249.9</v>
      </c>
      <c r="H760" t="n">
        <v>78.77</v>
      </c>
      <c r="I760" t="inlineStr">
        <is>
          <t>boleto</t>
        </is>
      </c>
      <c r="J760" t="n">
        <v>7</v>
      </c>
      <c r="K760" t="inlineStr">
        <is>
          <t>On Time</t>
        </is>
      </c>
      <c r="L760" t="n">
        <v>5</v>
      </c>
      <c r="M760">
        <f>VLOOKUP(D760,State_Lookup!$A$2:$B$28,2,FALSE)</f>
        <v/>
      </c>
    </row>
    <row r="761">
      <c r="A761" t="inlineStr">
        <is>
          <t>c5bbc2e1ea510338b16c37d3bd7437cc</t>
        </is>
      </c>
      <c r="B761" t="inlineStr">
        <is>
          <t>2017-07-03</t>
        </is>
      </c>
      <c r="C761" t="inlineStr">
        <is>
          <t>2017-07</t>
        </is>
      </c>
      <c r="D761" t="inlineStr">
        <is>
          <t>SP</t>
        </is>
      </c>
      <c r="E761" t="inlineStr">
        <is>
          <t>pet_shop</t>
        </is>
      </c>
      <c r="F761" t="n">
        <v>2</v>
      </c>
      <c r="G761" t="n">
        <v>155.4</v>
      </c>
      <c r="H761" t="n">
        <v>23.5</v>
      </c>
      <c r="I761" t="inlineStr">
        <is>
          <t>credit_card</t>
        </is>
      </c>
      <c r="J761" t="n">
        <v>8</v>
      </c>
      <c r="K761" t="inlineStr">
        <is>
          <t>On Time</t>
        </is>
      </c>
      <c r="L761" t="n">
        <v>5</v>
      </c>
      <c r="M761">
        <f>VLOOKUP(D761,State_Lookup!$A$2:$B$28,2,FALSE)</f>
        <v/>
      </c>
    </row>
    <row r="762">
      <c r="A762" t="inlineStr">
        <is>
          <t>27d9d312e04f1893b26836442d680000</t>
        </is>
      </c>
      <c r="B762" t="inlineStr">
        <is>
          <t>2017-07-04</t>
        </is>
      </c>
      <c r="C762" t="inlineStr">
        <is>
          <t>2017-07</t>
        </is>
      </c>
      <c r="D762" t="inlineStr">
        <is>
          <t>SP</t>
        </is>
      </c>
      <c r="E762" t="inlineStr">
        <is>
          <t>computers_accessories</t>
        </is>
      </c>
      <c r="F762" t="n">
        <v>1</v>
      </c>
      <c r="G762" t="n">
        <v>39.9</v>
      </c>
      <c r="H762" t="n">
        <v>15.1</v>
      </c>
      <c r="I762" t="inlineStr">
        <is>
          <t>credit_card</t>
        </is>
      </c>
      <c r="J762" t="n">
        <v>7</v>
      </c>
      <c r="K762" t="inlineStr">
        <is>
          <t>On Time</t>
        </is>
      </c>
      <c r="L762" t="n">
        <v>4</v>
      </c>
      <c r="M762">
        <f>VLOOKUP(D762,State_Lookup!$A$2:$B$28,2,FALSE)</f>
        <v/>
      </c>
    </row>
    <row r="763">
      <c r="A763" t="inlineStr">
        <is>
          <t>91c743d287fad03a614394bf50338369</t>
        </is>
      </c>
      <c r="B763" t="inlineStr">
        <is>
          <t>2017-07-04</t>
        </is>
      </c>
      <c r="C763" t="inlineStr">
        <is>
          <t>2017-07</t>
        </is>
      </c>
      <c r="D763" t="inlineStr">
        <is>
          <t>SC</t>
        </is>
      </c>
      <c r="E763" t="inlineStr">
        <is>
          <t>bed_bath_table</t>
        </is>
      </c>
      <c r="F763" t="n">
        <v>1</v>
      </c>
      <c r="G763" t="n">
        <v>69.90000000000001</v>
      </c>
      <c r="H763" t="n">
        <v>14.36</v>
      </c>
      <c r="I763" t="inlineStr">
        <is>
          <t>boleto</t>
        </is>
      </c>
      <c r="J763" t="n">
        <v>13</v>
      </c>
      <c r="K763" t="inlineStr">
        <is>
          <t>On Time</t>
        </is>
      </c>
      <c r="L763" t="n">
        <v>4</v>
      </c>
      <c r="M763">
        <f>VLOOKUP(D763,State_Lookup!$A$2:$B$28,2,FALSE)</f>
        <v/>
      </c>
    </row>
    <row r="764">
      <c r="A764" t="inlineStr">
        <is>
          <t>f7791fd674aa787f1f33ae0fc5bb0e3c</t>
        </is>
      </c>
      <c r="B764" t="inlineStr">
        <is>
          <t>2017-07-04</t>
        </is>
      </c>
      <c r="C764" t="inlineStr">
        <is>
          <t>2017-07</t>
        </is>
      </c>
      <c r="D764" t="inlineStr">
        <is>
          <t>RJ</t>
        </is>
      </c>
      <c r="E764" t="inlineStr">
        <is>
          <t>computers_accessories</t>
        </is>
      </c>
      <c r="F764" t="n">
        <v>1</v>
      </c>
      <c r="G764" t="n">
        <v>708</v>
      </c>
      <c r="H764" t="n">
        <v>18.71</v>
      </c>
      <c r="I764" t="inlineStr">
        <is>
          <t>credit_card</t>
        </is>
      </c>
      <c r="J764" t="n">
        <v>5</v>
      </c>
      <c r="K764" t="inlineStr">
        <is>
          <t>On Time</t>
        </is>
      </c>
      <c r="L764" t="n">
        <v>4</v>
      </c>
      <c r="M764">
        <f>VLOOKUP(D764,State_Lookup!$A$2:$B$28,2,FALSE)</f>
        <v/>
      </c>
    </row>
    <row r="765">
      <c r="A765" t="inlineStr">
        <is>
          <t>118ec9ddef528c64a545169b898e7699</t>
        </is>
      </c>
      <c r="B765" t="inlineStr">
        <is>
          <t>2017-07-04</t>
        </is>
      </c>
      <c r="C765" t="inlineStr">
        <is>
          <t>2017-07</t>
        </is>
      </c>
      <c r="D765" t="inlineStr">
        <is>
          <t>RS</t>
        </is>
      </c>
      <c r="E765" t="inlineStr">
        <is>
          <t>air_conditioning</t>
        </is>
      </c>
      <c r="F765" t="n">
        <v>1</v>
      </c>
      <c r="G765" t="n">
        <v>10.9</v>
      </c>
      <c r="H765" t="n">
        <v>15.1</v>
      </c>
      <c r="I765" t="inlineStr">
        <is>
          <t>credit_card</t>
        </is>
      </c>
      <c r="J765" t="n">
        <v>7</v>
      </c>
      <c r="K765" t="inlineStr">
        <is>
          <t>On Time</t>
        </is>
      </c>
      <c r="L765" t="n">
        <v>1</v>
      </c>
      <c r="M765">
        <f>VLOOKUP(D765,State_Lookup!$A$2:$B$28,2,FALSE)</f>
        <v/>
      </c>
    </row>
    <row r="766">
      <c r="A766" t="inlineStr">
        <is>
          <t>e1cce1b92d11a7a2edd0cbcb4de05aa5</t>
        </is>
      </c>
      <c r="B766" t="inlineStr">
        <is>
          <t>2017-07-04</t>
        </is>
      </c>
      <c r="C766" t="inlineStr">
        <is>
          <t>2017-07</t>
        </is>
      </c>
      <c r="D766" t="inlineStr">
        <is>
          <t>DF</t>
        </is>
      </c>
      <c r="E766" t="inlineStr">
        <is>
          <t>sports_leisure</t>
        </is>
      </c>
      <c r="F766" t="n">
        <v>1</v>
      </c>
      <c r="G766" t="n">
        <v>65</v>
      </c>
      <c r="H766" t="n">
        <v>25.73</v>
      </c>
      <c r="I766" t="inlineStr">
        <is>
          <t>boleto</t>
        </is>
      </c>
      <c r="J766" t="n">
        <v>13</v>
      </c>
      <c r="K766" t="inlineStr">
        <is>
          <t>On Time</t>
        </is>
      </c>
      <c r="L766" t="n">
        <v>4</v>
      </c>
      <c r="M766">
        <f>VLOOKUP(D766,State_Lookup!$A$2:$B$28,2,FALSE)</f>
        <v/>
      </c>
    </row>
    <row r="767">
      <c r="A767" t="inlineStr">
        <is>
          <t>d65137e8832d68f38fd35e84cbacd4f5</t>
        </is>
      </c>
      <c r="B767" t="inlineStr">
        <is>
          <t>2017-07-04</t>
        </is>
      </c>
      <c r="C767" t="inlineStr">
        <is>
          <t>2017-07</t>
        </is>
      </c>
      <c r="D767" t="inlineStr">
        <is>
          <t>RS</t>
        </is>
      </c>
      <c r="E767" t="inlineStr">
        <is>
          <t>baby</t>
        </is>
      </c>
      <c r="F767" t="n">
        <v>1</v>
      </c>
      <c r="G767" t="n">
        <v>34.99</v>
      </c>
      <c r="H767" t="n">
        <v>12.48</v>
      </c>
      <c r="I767" t="inlineStr">
        <is>
          <t>credit_card</t>
        </is>
      </c>
      <c r="J767" t="n">
        <v>6</v>
      </c>
      <c r="K767" t="inlineStr">
        <is>
          <t>On Time</t>
        </is>
      </c>
      <c r="L767" t="n">
        <v>5</v>
      </c>
      <c r="M767">
        <f>VLOOKUP(D767,State_Lookup!$A$2:$B$28,2,FALSE)</f>
        <v/>
      </c>
    </row>
    <row r="768">
      <c r="A768" t="inlineStr">
        <is>
          <t>7f4fc31e180fd06c1de45a945223f877</t>
        </is>
      </c>
      <c r="B768" t="inlineStr">
        <is>
          <t>2017-07-04</t>
        </is>
      </c>
      <c r="C768" t="inlineStr">
        <is>
          <t>2017-07</t>
        </is>
      </c>
      <c r="D768" t="inlineStr">
        <is>
          <t>SC</t>
        </is>
      </c>
      <c r="E768" t="inlineStr">
        <is>
          <t>auto</t>
        </is>
      </c>
      <c r="F768" t="n">
        <v>1</v>
      </c>
      <c r="G768" t="n">
        <v>99</v>
      </c>
      <c r="H768" t="n">
        <v>17.94</v>
      </c>
      <c r="I768" t="inlineStr">
        <is>
          <t>boleto</t>
        </is>
      </c>
      <c r="J768" t="n">
        <v>7</v>
      </c>
      <c r="K768" t="inlineStr">
        <is>
          <t>On Time</t>
        </is>
      </c>
      <c r="L768" t="n">
        <v>3</v>
      </c>
      <c r="M768">
        <f>VLOOKUP(D768,State_Lookup!$A$2:$B$28,2,FALSE)</f>
        <v/>
      </c>
    </row>
    <row r="769">
      <c r="A769" t="inlineStr">
        <is>
          <t>05c5fe623dddb59ad7462d5adf24885f</t>
        </is>
      </c>
      <c r="B769" t="inlineStr">
        <is>
          <t>2017-07-05</t>
        </is>
      </c>
      <c r="C769" t="inlineStr">
        <is>
          <t>2017-07</t>
        </is>
      </c>
      <c r="D769" t="inlineStr">
        <is>
          <t>SC</t>
        </is>
      </c>
      <c r="E769" t="inlineStr">
        <is>
          <t>pet_shop</t>
        </is>
      </c>
      <c r="F769" t="n">
        <v>1</v>
      </c>
      <c r="G769" t="n">
        <v>144.9</v>
      </c>
      <c r="H769" t="n">
        <v>21.5</v>
      </c>
      <c r="I769" t="inlineStr">
        <is>
          <t>credit_card</t>
        </is>
      </c>
      <c r="J769" t="n">
        <v>12</v>
      </c>
      <c r="K769" t="inlineStr">
        <is>
          <t>On Time</t>
        </is>
      </c>
      <c r="L769" t="n">
        <v>5</v>
      </c>
      <c r="M769">
        <f>VLOOKUP(D769,State_Lookup!$A$2:$B$28,2,FALSE)</f>
        <v/>
      </c>
    </row>
    <row r="770">
      <c r="A770" t="inlineStr">
        <is>
          <t>e52223f2c81fa3a68e1bbd37037abc5c</t>
        </is>
      </c>
      <c r="B770" t="inlineStr">
        <is>
          <t>2017-07-05</t>
        </is>
      </c>
      <c r="C770" t="inlineStr">
        <is>
          <t>2017-07</t>
        </is>
      </c>
      <c r="D770" t="inlineStr">
        <is>
          <t>RJ</t>
        </is>
      </c>
      <c r="E770" t="inlineStr">
        <is>
          <t>housewares</t>
        </is>
      </c>
      <c r="F770" t="n">
        <v>1</v>
      </c>
      <c r="G770" t="n">
        <v>24</v>
      </c>
      <c r="H770" t="n">
        <v>15.1</v>
      </c>
      <c r="I770" t="inlineStr">
        <is>
          <t>credit_card</t>
        </is>
      </c>
      <c r="J770" t="n">
        <v>12</v>
      </c>
      <c r="K770" t="inlineStr">
        <is>
          <t>On Time</t>
        </is>
      </c>
      <c r="L770" t="n">
        <v>5</v>
      </c>
      <c r="M770">
        <f>VLOOKUP(D770,State_Lookup!$A$2:$B$28,2,FALSE)</f>
        <v/>
      </c>
    </row>
    <row r="771">
      <c r="A771" t="inlineStr">
        <is>
          <t>d1a6e1e7cadfe1427229d6a8afc29222</t>
        </is>
      </c>
      <c r="B771" t="inlineStr">
        <is>
          <t>2017-07-05</t>
        </is>
      </c>
      <c r="C771" t="inlineStr">
        <is>
          <t>2017-07</t>
        </is>
      </c>
      <c r="D771" t="inlineStr">
        <is>
          <t>DF</t>
        </is>
      </c>
      <c r="E771" t="inlineStr">
        <is>
          <t>computers_accessories</t>
        </is>
      </c>
      <c r="F771" t="n">
        <v>1</v>
      </c>
      <c r="G771" t="n">
        <v>149.84</v>
      </c>
      <c r="H771" t="n">
        <v>18.3</v>
      </c>
      <c r="I771" t="inlineStr">
        <is>
          <t>credit_card</t>
        </is>
      </c>
      <c r="J771" t="n">
        <v>19</v>
      </c>
      <c r="K771" t="inlineStr">
        <is>
          <t>On Time</t>
        </is>
      </c>
      <c r="L771" t="n">
        <v>4</v>
      </c>
      <c r="M771">
        <f>VLOOKUP(D771,State_Lookup!$A$2:$B$28,2,FALSE)</f>
        <v/>
      </c>
    </row>
    <row r="772">
      <c r="A772" t="inlineStr">
        <is>
          <t>3d98c6327fa1c45b931c31e7ca2c97cb</t>
        </is>
      </c>
      <c r="B772" t="inlineStr">
        <is>
          <t>2017-07-05</t>
        </is>
      </c>
      <c r="C772" t="inlineStr">
        <is>
          <t>2017-07</t>
        </is>
      </c>
      <c r="D772" t="inlineStr">
        <is>
          <t>RJ</t>
        </is>
      </c>
      <c r="E772" t="inlineStr">
        <is>
          <t>bed_bath_table</t>
        </is>
      </c>
      <c r="F772" t="n">
        <v>1</v>
      </c>
      <c r="G772" t="n">
        <v>54.9</v>
      </c>
      <c r="H772" t="n">
        <v>19.87</v>
      </c>
      <c r="I772" t="inlineStr">
        <is>
          <t>credit_card</t>
        </is>
      </c>
      <c r="J772" t="n">
        <v>8</v>
      </c>
      <c r="K772" t="inlineStr">
        <is>
          <t>On Time</t>
        </is>
      </c>
      <c r="L772" t="n">
        <v>5</v>
      </c>
      <c r="M772">
        <f>VLOOKUP(D772,State_Lookup!$A$2:$B$28,2,FALSE)</f>
        <v/>
      </c>
    </row>
    <row r="773">
      <c r="A773" t="inlineStr">
        <is>
          <t>16cdedbb1542ddfe411a0b979b43aa64</t>
        </is>
      </c>
      <c r="B773" t="inlineStr">
        <is>
          <t>2017-07-05</t>
        </is>
      </c>
      <c r="C773" t="inlineStr">
        <is>
          <t>2017-07</t>
        </is>
      </c>
      <c r="D773" t="inlineStr">
        <is>
          <t>RS</t>
        </is>
      </c>
      <c r="E773" t="inlineStr">
        <is>
          <t>bed_bath_table</t>
        </is>
      </c>
      <c r="F773" t="n">
        <v>2</v>
      </c>
      <c r="G773" t="n">
        <v>79.8</v>
      </c>
      <c r="H773" t="n">
        <v>32.22</v>
      </c>
      <c r="I773" t="inlineStr">
        <is>
          <t>credit_card</t>
        </is>
      </c>
      <c r="J773" t="n">
        <v>7</v>
      </c>
      <c r="K773" t="inlineStr">
        <is>
          <t>On Time</t>
        </is>
      </c>
      <c r="L773" t="n">
        <v>4</v>
      </c>
      <c r="M773">
        <f>VLOOKUP(D773,State_Lookup!$A$2:$B$28,2,FALSE)</f>
        <v/>
      </c>
    </row>
    <row r="774">
      <c r="A774" t="inlineStr">
        <is>
          <t>e8f1a30189522698bfce82adf60472e7</t>
        </is>
      </c>
      <c r="B774" t="inlineStr">
        <is>
          <t>2017-07-05</t>
        </is>
      </c>
      <c r="C774" t="inlineStr">
        <is>
          <t>2017-07</t>
        </is>
      </c>
      <c r="D774" t="inlineStr">
        <is>
          <t>SP</t>
        </is>
      </c>
      <c r="E774" t="inlineStr">
        <is>
          <t>cool_stuff</t>
        </is>
      </c>
      <c r="F774" t="n">
        <v>1</v>
      </c>
      <c r="G774" t="n">
        <v>44.99</v>
      </c>
      <c r="H774" t="n">
        <v>7.78</v>
      </c>
      <c r="I774" t="inlineStr">
        <is>
          <t>credit_card</t>
        </is>
      </c>
      <c r="J774" t="n">
        <v>2</v>
      </c>
      <c r="K774" t="inlineStr">
        <is>
          <t>On Time</t>
        </is>
      </c>
      <c r="L774" t="n">
        <v>5</v>
      </c>
      <c r="M774">
        <f>VLOOKUP(D774,State_Lookup!$A$2:$B$28,2,FALSE)</f>
        <v/>
      </c>
    </row>
    <row r="775">
      <c r="A775" t="inlineStr">
        <is>
          <t>a037897ffc90e9b89c16d0b6c55e9a0d</t>
        </is>
      </c>
      <c r="B775" t="inlineStr">
        <is>
          <t>2017-07-06</t>
        </is>
      </c>
      <c r="C775" t="inlineStr">
        <is>
          <t>2017-07</t>
        </is>
      </c>
      <c r="D775" t="inlineStr">
        <is>
          <t>RN</t>
        </is>
      </c>
      <c r="E775" t="inlineStr">
        <is>
          <t>cool_stuff</t>
        </is>
      </c>
      <c r="F775" t="n">
        <v>1</v>
      </c>
      <c r="G775" t="n">
        <v>129.99</v>
      </c>
      <c r="H775" t="n">
        <v>38.46</v>
      </c>
      <c r="I775" t="inlineStr">
        <is>
          <t>credit_card</t>
        </is>
      </c>
      <c r="J775" t="n">
        <v>27</v>
      </c>
      <c r="K775" t="inlineStr">
        <is>
          <t>On Time</t>
        </is>
      </c>
      <c r="L775" t="n">
        <v>5</v>
      </c>
      <c r="M775">
        <f>VLOOKUP(D775,State_Lookup!$A$2:$B$28,2,FALSE)</f>
        <v/>
      </c>
    </row>
    <row r="776">
      <c r="A776" t="inlineStr">
        <is>
          <t>4bdc72a43c134005e672c71df83dde1e</t>
        </is>
      </c>
      <c r="B776" t="inlineStr">
        <is>
          <t>2017-07-06</t>
        </is>
      </c>
      <c r="C776" t="inlineStr">
        <is>
          <t>2017-07</t>
        </is>
      </c>
      <c r="D776" t="inlineStr">
        <is>
          <t>MG</t>
        </is>
      </c>
      <c r="E776" t="inlineStr">
        <is>
          <t>luggage_accessories</t>
        </is>
      </c>
      <c r="F776" t="n">
        <v>1</v>
      </c>
      <c r="G776" t="n">
        <v>139.9</v>
      </c>
      <c r="H776" t="n">
        <v>78</v>
      </c>
      <c r="I776" t="inlineStr">
        <is>
          <t>credit_card</t>
        </is>
      </c>
      <c r="J776" t="n">
        <v>12</v>
      </c>
      <c r="K776" t="inlineStr">
        <is>
          <t>On Time</t>
        </is>
      </c>
      <c r="L776" t="n">
        <v>5</v>
      </c>
      <c r="M776">
        <f>VLOOKUP(D776,State_Lookup!$A$2:$B$28,2,FALSE)</f>
        <v/>
      </c>
    </row>
    <row r="777">
      <c r="A777" t="inlineStr">
        <is>
          <t>c32cfe30ac8d846c41d6695f9967bd04</t>
        </is>
      </c>
      <c r="B777" t="inlineStr">
        <is>
          <t>2017-07-06</t>
        </is>
      </c>
      <c r="C777" t="inlineStr">
        <is>
          <t>2017-07</t>
        </is>
      </c>
      <c r="D777" t="inlineStr">
        <is>
          <t>MG</t>
        </is>
      </c>
      <c r="E777" t="inlineStr">
        <is>
          <t>bed_bath_table</t>
        </is>
      </c>
      <c r="F777" t="n">
        <v>1</v>
      </c>
      <c r="G777" t="n">
        <v>220</v>
      </c>
      <c r="H777" t="n">
        <v>16.29</v>
      </c>
      <c r="I777" t="inlineStr">
        <is>
          <t>credit_card</t>
        </is>
      </c>
      <c r="J777" t="n">
        <v>15</v>
      </c>
      <c r="K777" t="inlineStr">
        <is>
          <t>On Time</t>
        </is>
      </c>
      <c r="L777" t="n">
        <v>5</v>
      </c>
      <c r="M777">
        <f>VLOOKUP(D777,State_Lookup!$A$2:$B$28,2,FALSE)</f>
        <v/>
      </c>
    </row>
    <row r="778">
      <c r="A778" t="inlineStr">
        <is>
          <t>2e2dd1119ebf597a9c05d80b5d6eeace</t>
        </is>
      </c>
      <c r="B778" t="inlineStr">
        <is>
          <t>2017-07-06</t>
        </is>
      </c>
      <c r="C778" t="inlineStr">
        <is>
          <t>2017-07</t>
        </is>
      </c>
      <c r="D778" t="inlineStr">
        <is>
          <t>SP</t>
        </is>
      </c>
      <c r="E778" t="inlineStr">
        <is>
          <t>cool_stuff</t>
        </is>
      </c>
      <c r="F778" t="n">
        <v>1</v>
      </c>
      <c r="G778" t="n">
        <v>97</v>
      </c>
      <c r="H778" t="n">
        <v>8.42</v>
      </c>
      <c r="I778" t="inlineStr">
        <is>
          <t>credit_card</t>
        </is>
      </c>
      <c r="J778" t="n">
        <v>14</v>
      </c>
      <c r="K778" t="inlineStr">
        <is>
          <t>On Time</t>
        </is>
      </c>
      <c r="L778" t="n">
        <v>3</v>
      </c>
      <c r="M778">
        <f>VLOOKUP(D778,State_Lookup!$A$2:$B$28,2,FALSE)</f>
        <v/>
      </c>
    </row>
    <row r="779">
      <c r="A779" t="inlineStr">
        <is>
          <t>77959eeab7515802d0b17bd97ca522b7</t>
        </is>
      </c>
      <c r="B779" t="inlineStr">
        <is>
          <t>2017-07-06</t>
        </is>
      </c>
      <c r="C779" t="inlineStr">
        <is>
          <t>2017-07</t>
        </is>
      </c>
      <c r="D779" t="inlineStr">
        <is>
          <t>CE</t>
        </is>
      </c>
      <c r="E779" t="inlineStr">
        <is>
          <t>fashion_bags_accessories</t>
        </is>
      </c>
      <c r="F779" t="n">
        <v>1</v>
      </c>
      <c r="G779" t="n">
        <v>49.9</v>
      </c>
      <c r="H779" t="n">
        <v>25.63</v>
      </c>
      <c r="I779" t="inlineStr">
        <is>
          <t>credit_card</t>
        </is>
      </c>
      <c r="J779" t="n">
        <v>15</v>
      </c>
      <c r="K779" t="inlineStr">
        <is>
          <t>On Time</t>
        </is>
      </c>
      <c r="L779" t="n">
        <v>5</v>
      </c>
      <c r="M779">
        <f>VLOOKUP(D779,State_Lookup!$A$2:$B$28,2,FALSE)</f>
        <v/>
      </c>
    </row>
    <row r="780">
      <c r="A780" t="inlineStr">
        <is>
          <t>f14ffd28776719a57c5bbf16cce58dd4</t>
        </is>
      </c>
      <c r="B780" t="inlineStr">
        <is>
          <t>2017-07-06</t>
        </is>
      </c>
      <c r="C780" t="inlineStr">
        <is>
          <t>2017-07</t>
        </is>
      </c>
      <c r="D780" t="inlineStr">
        <is>
          <t>PR</t>
        </is>
      </c>
      <c r="E780" t="inlineStr">
        <is>
          <t>cool_stuff</t>
        </is>
      </c>
      <c r="F780" t="n">
        <v>1</v>
      </c>
      <c r="G780" t="n">
        <v>139.9</v>
      </c>
      <c r="H780" t="n">
        <v>17.42</v>
      </c>
      <c r="I780" t="inlineStr">
        <is>
          <t>credit_card</t>
        </is>
      </c>
      <c r="J780" t="n">
        <v>15</v>
      </c>
      <c r="K780" t="inlineStr">
        <is>
          <t>On Time</t>
        </is>
      </c>
      <c r="L780" t="n">
        <v>4</v>
      </c>
      <c r="M780">
        <f>VLOOKUP(D780,State_Lookup!$A$2:$B$28,2,FALSE)</f>
        <v/>
      </c>
    </row>
    <row r="781">
      <c r="A781" t="inlineStr">
        <is>
          <t>4f5c54be4162fc29637f7fc1237ba307</t>
        </is>
      </c>
      <c r="B781" t="inlineStr">
        <is>
          <t>2017-07-06</t>
        </is>
      </c>
      <c r="C781" t="inlineStr">
        <is>
          <t>2017-07</t>
        </is>
      </c>
      <c r="D781" t="inlineStr">
        <is>
          <t>SP</t>
        </is>
      </c>
      <c r="E781" t="inlineStr">
        <is>
          <t>luggage_accessories</t>
        </is>
      </c>
      <c r="F781" t="n">
        <v>1</v>
      </c>
      <c r="G781" t="n">
        <v>102.9</v>
      </c>
      <c r="H781" t="n">
        <v>17.97</v>
      </c>
      <c r="I781" t="inlineStr">
        <is>
          <t>voucher</t>
        </is>
      </c>
      <c r="J781" t="n">
        <v>12</v>
      </c>
      <c r="K781" t="inlineStr">
        <is>
          <t>On Time</t>
        </is>
      </c>
      <c r="L781" t="n">
        <v>5</v>
      </c>
      <c r="M781">
        <f>VLOOKUP(D781,State_Lookup!$A$2:$B$28,2,FALSE)</f>
        <v/>
      </c>
    </row>
    <row r="782">
      <c r="A782" t="inlineStr">
        <is>
          <t>b8643ed80a2602a3562b8cb0d6f7a3b1</t>
        </is>
      </c>
      <c r="B782" t="inlineStr">
        <is>
          <t>2017-07-07</t>
        </is>
      </c>
      <c r="C782" t="inlineStr">
        <is>
          <t>2017-07</t>
        </is>
      </c>
      <c r="D782" t="inlineStr">
        <is>
          <t>PR</t>
        </is>
      </c>
      <c r="E782" t="inlineStr">
        <is>
          <t>electronics</t>
        </is>
      </c>
      <c r="F782" t="n">
        <v>1</v>
      </c>
      <c r="G782" t="n">
        <v>14.9</v>
      </c>
      <c r="H782" t="n">
        <v>12.48</v>
      </c>
      <c r="I782" t="inlineStr">
        <is>
          <t>boleto</t>
        </is>
      </c>
      <c r="J782" t="n">
        <v>10</v>
      </c>
      <c r="K782" t="inlineStr">
        <is>
          <t>On Time</t>
        </is>
      </c>
      <c r="L782" t="n">
        <v>5</v>
      </c>
      <c r="M782">
        <f>VLOOKUP(D782,State_Lookup!$A$2:$B$28,2,FALSE)</f>
        <v/>
      </c>
    </row>
    <row r="783">
      <c r="A783" t="inlineStr">
        <is>
          <t>1d52ecb64812aade8eda623f0a2f0c79</t>
        </is>
      </c>
      <c r="B783" t="inlineStr">
        <is>
          <t>2017-07-07</t>
        </is>
      </c>
      <c r="C783" t="inlineStr">
        <is>
          <t>2017-07</t>
        </is>
      </c>
      <c r="D783" t="inlineStr">
        <is>
          <t>SP</t>
        </is>
      </c>
      <c r="E783" t="inlineStr">
        <is>
          <t>watches_gifts</t>
        </is>
      </c>
      <c r="F783" t="n">
        <v>1</v>
      </c>
      <c r="G783" t="n">
        <v>129</v>
      </c>
      <c r="H783" t="n">
        <v>8.16</v>
      </c>
      <c r="I783" t="inlineStr">
        <is>
          <t>credit_card</t>
        </is>
      </c>
      <c r="J783" t="n">
        <v>4</v>
      </c>
      <c r="K783" t="inlineStr">
        <is>
          <t>On Time</t>
        </is>
      </c>
      <c r="L783" t="n">
        <v>5</v>
      </c>
      <c r="M783">
        <f>VLOOKUP(D783,State_Lookup!$A$2:$B$28,2,FALSE)</f>
        <v/>
      </c>
    </row>
    <row r="784">
      <c r="A784" t="inlineStr">
        <is>
          <t>4993ef6ff0e62c90c51232f5164acb56</t>
        </is>
      </c>
      <c r="B784" t="inlineStr">
        <is>
          <t>2017-07-07</t>
        </is>
      </c>
      <c r="C784" t="inlineStr">
        <is>
          <t>2017-07</t>
        </is>
      </c>
      <c r="D784" t="inlineStr">
        <is>
          <t>BA</t>
        </is>
      </c>
      <c r="E784" t="inlineStr">
        <is>
          <t>auto</t>
        </is>
      </c>
      <c r="F784" t="n">
        <v>1</v>
      </c>
      <c r="G784" t="n">
        <v>45</v>
      </c>
      <c r="H784" t="n">
        <v>16.79</v>
      </c>
      <c r="I784" t="inlineStr">
        <is>
          <t>credit_card</t>
        </is>
      </c>
      <c r="J784" t="n">
        <v>19</v>
      </c>
      <c r="K784" t="inlineStr">
        <is>
          <t>On Time</t>
        </is>
      </c>
      <c r="L784" t="n">
        <v>3</v>
      </c>
      <c r="M784">
        <f>VLOOKUP(D784,State_Lookup!$A$2:$B$28,2,FALSE)</f>
        <v/>
      </c>
    </row>
    <row r="785">
      <c r="A785" t="inlineStr">
        <is>
          <t>1c8cfd2e1e836008b0ebaa67b1e6e3e9</t>
        </is>
      </c>
      <c r="B785" t="inlineStr">
        <is>
          <t>2017-07-07</t>
        </is>
      </c>
      <c r="C785" t="inlineStr">
        <is>
          <t>2017-07</t>
        </is>
      </c>
      <c r="D785" t="inlineStr">
        <is>
          <t>SP</t>
        </is>
      </c>
      <c r="E785" t="inlineStr">
        <is>
          <t>bed_bath_table</t>
        </is>
      </c>
      <c r="F785" t="n">
        <v>1</v>
      </c>
      <c r="G785" t="n">
        <v>79.98999999999999</v>
      </c>
      <c r="H785" t="n">
        <v>11.76</v>
      </c>
      <c r="I785" t="inlineStr">
        <is>
          <t>credit_card</t>
        </is>
      </c>
      <c r="J785" t="n">
        <v>4</v>
      </c>
      <c r="K785" t="inlineStr">
        <is>
          <t>On Time</t>
        </is>
      </c>
      <c r="L785" t="n">
        <v>5</v>
      </c>
      <c r="M785">
        <f>VLOOKUP(D785,State_Lookup!$A$2:$B$28,2,FALSE)</f>
        <v/>
      </c>
    </row>
    <row r="786">
      <c r="A786" t="inlineStr">
        <is>
          <t>021f26893462ec6a677baba7f06ce4c1</t>
        </is>
      </c>
      <c r="B786" t="inlineStr">
        <is>
          <t>2017-07-07</t>
        </is>
      </c>
      <c r="C786" t="inlineStr">
        <is>
          <t>2017-07</t>
        </is>
      </c>
      <c r="D786" t="inlineStr">
        <is>
          <t>SP</t>
        </is>
      </c>
      <c r="E786" t="inlineStr">
        <is>
          <t>bed_bath_table</t>
        </is>
      </c>
      <c r="F786" t="n">
        <v>1</v>
      </c>
      <c r="G786" t="n">
        <v>49.95</v>
      </c>
      <c r="H786" t="n">
        <v>11.85</v>
      </c>
      <c r="I786" t="inlineStr">
        <is>
          <t>credit_card</t>
        </is>
      </c>
      <c r="J786" t="n">
        <v>14</v>
      </c>
      <c r="K786" t="inlineStr">
        <is>
          <t>On Time</t>
        </is>
      </c>
      <c r="L786" t="inlineStr"/>
      <c r="M786">
        <f>VLOOKUP(D786,State_Lookup!$A$2:$B$28,2,FALSE)</f>
        <v/>
      </c>
    </row>
    <row r="787">
      <c r="A787" t="inlineStr">
        <is>
          <t>a6ae83eedb05638e88dace7706d71c26</t>
        </is>
      </c>
      <c r="B787" t="inlineStr">
        <is>
          <t>2017-07-07</t>
        </is>
      </c>
      <c r="C787" t="inlineStr">
        <is>
          <t>2017-07</t>
        </is>
      </c>
      <c r="D787" t="inlineStr">
        <is>
          <t>MG</t>
        </is>
      </c>
      <c r="E787" t="inlineStr">
        <is>
          <t>bed_bath_table</t>
        </is>
      </c>
      <c r="F787" t="n">
        <v>1</v>
      </c>
      <c r="G787" t="n">
        <v>99.90000000000001</v>
      </c>
      <c r="H787" t="n">
        <v>16.46</v>
      </c>
      <c r="I787" t="inlineStr">
        <is>
          <t>credit_card</t>
        </is>
      </c>
      <c r="J787" t="n">
        <v>12</v>
      </c>
      <c r="K787" t="inlineStr">
        <is>
          <t>On Time</t>
        </is>
      </c>
      <c r="L787" t="n">
        <v>5</v>
      </c>
      <c r="M787">
        <f>VLOOKUP(D787,State_Lookup!$A$2:$B$28,2,FALSE)</f>
        <v/>
      </c>
    </row>
    <row r="788">
      <c r="A788" t="inlineStr">
        <is>
          <t>ba305eaf10df01ecdb8d805b1a46d402</t>
        </is>
      </c>
      <c r="B788" t="inlineStr">
        <is>
          <t>2017-07-07</t>
        </is>
      </c>
      <c r="C788" t="inlineStr">
        <is>
          <t>2017-07</t>
        </is>
      </c>
      <c r="D788" t="inlineStr">
        <is>
          <t>SP</t>
        </is>
      </c>
      <c r="E788" t="inlineStr">
        <is>
          <t>bed_bath_table</t>
        </is>
      </c>
      <c r="F788" t="n">
        <v>1</v>
      </c>
      <c r="G788" t="n">
        <v>24.9</v>
      </c>
      <c r="H788" t="n">
        <v>11.85</v>
      </c>
      <c r="I788" t="inlineStr">
        <is>
          <t>boleto</t>
        </is>
      </c>
      <c r="J788" t="n">
        <v>19</v>
      </c>
      <c r="K788" t="inlineStr">
        <is>
          <t>On Time</t>
        </is>
      </c>
      <c r="L788" t="n">
        <v>5</v>
      </c>
      <c r="M788">
        <f>VLOOKUP(D788,State_Lookup!$A$2:$B$28,2,FALSE)</f>
        <v/>
      </c>
    </row>
    <row r="789">
      <c r="A789" t="inlineStr">
        <is>
          <t>5664fde64525f1c1c6a8ef23aa35dc22</t>
        </is>
      </c>
      <c r="B789" t="inlineStr">
        <is>
          <t>2017-07-08</t>
        </is>
      </c>
      <c r="C789" t="inlineStr">
        <is>
          <t>2017-07</t>
        </is>
      </c>
      <c r="D789" t="inlineStr">
        <is>
          <t>PR</t>
        </is>
      </c>
      <c r="E789" t="inlineStr">
        <is>
          <t>housewares</t>
        </is>
      </c>
      <c r="F789" t="n">
        <v>2</v>
      </c>
      <c r="G789" t="n">
        <v>215.97</v>
      </c>
      <c r="H789" t="n">
        <v>31.98</v>
      </c>
      <c r="I789" t="inlineStr">
        <is>
          <t>credit_card</t>
        </is>
      </c>
      <c r="J789" t="n">
        <v>7</v>
      </c>
      <c r="K789" t="inlineStr">
        <is>
          <t>On Time</t>
        </is>
      </c>
      <c r="L789" t="n">
        <v>4</v>
      </c>
      <c r="M789">
        <f>VLOOKUP(D789,State_Lookup!$A$2:$B$28,2,FALSE)</f>
        <v/>
      </c>
    </row>
    <row r="790">
      <c r="A790" t="inlineStr">
        <is>
          <t>ae5c6e1388284e38412e62dd4bdbd966</t>
        </is>
      </c>
      <c r="B790" t="inlineStr">
        <is>
          <t>2017-07-08</t>
        </is>
      </c>
      <c r="C790" t="inlineStr">
        <is>
          <t>2017-07</t>
        </is>
      </c>
      <c r="D790" t="inlineStr">
        <is>
          <t>RO</t>
        </is>
      </c>
      <c r="E790" t="inlineStr">
        <is>
          <t>health_beauty</t>
        </is>
      </c>
      <c r="F790" t="n">
        <v>1</v>
      </c>
      <c r="G790" t="n">
        <v>258.3</v>
      </c>
      <c r="H790" t="n">
        <v>24.13</v>
      </c>
      <c r="I790" t="inlineStr">
        <is>
          <t>credit_card</t>
        </is>
      </c>
      <c r="J790" t="n">
        <v>10</v>
      </c>
      <c r="K790" t="inlineStr">
        <is>
          <t>On Time</t>
        </is>
      </c>
      <c r="L790" t="n">
        <v>5</v>
      </c>
      <c r="M790">
        <f>VLOOKUP(D790,State_Lookup!$A$2:$B$28,2,FALSE)</f>
        <v/>
      </c>
    </row>
    <row r="791">
      <c r="A791" t="inlineStr">
        <is>
          <t>81d4e3ab663ca6c51e659ad5b31457e7</t>
        </is>
      </c>
      <c r="B791" t="inlineStr">
        <is>
          <t>2017-07-08</t>
        </is>
      </c>
      <c r="C791" t="inlineStr">
        <is>
          <t>2017-07</t>
        </is>
      </c>
      <c r="D791" t="inlineStr">
        <is>
          <t>SC</t>
        </is>
      </c>
      <c r="E791" t="inlineStr">
        <is>
          <t>bed_bath_table</t>
        </is>
      </c>
      <c r="F791" t="n">
        <v>1</v>
      </c>
      <c r="G791" t="n">
        <v>79.98999999999999</v>
      </c>
      <c r="H791" t="n">
        <v>17.81</v>
      </c>
      <c r="I791" t="inlineStr">
        <is>
          <t>boleto</t>
        </is>
      </c>
      <c r="J791" t="n">
        <v>12</v>
      </c>
      <c r="K791" t="inlineStr">
        <is>
          <t>On Time</t>
        </is>
      </c>
      <c r="L791" t="n">
        <v>5</v>
      </c>
      <c r="M791">
        <f>VLOOKUP(D791,State_Lookup!$A$2:$B$28,2,FALSE)</f>
        <v/>
      </c>
    </row>
    <row r="792">
      <c r="A792" t="inlineStr">
        <is>
          <t>3b681dd1f8baba1507d1f484f7f289c2</t>
        </is>
      </c>
      <c r="B792" t="inlineStr">
        <is>
          <t>2017-07-08</t>
        </is>
      </c>
      <c r="C792" t="inlineStr">
        <is>
          <t>2017-07</t>
        </is>
      </c>
      <c r="D792" t="inlineStr">
        <is>
          <t>SP</t>
        </is>
      </c>
      <c r="E792" t="inlineStr">
        <is>
          <t>unknown</t>
        </is>
      </c>
      <c r="F792" t="n">
        <v>2</v>
      </c>
      <c r="G792" t="n">
        <v>196</v>
      </c>
      <c r="H792" t="n">
        <v>36.77</v>
      </c>
      <c r="I792" t="inlineStr">
        <is>
          <t>boleto</t>
        </is>
      </c>
      <c r="J792" t="n">
        <v>4</v>
      </c>
      <c r="K792" t="inlineStr">
        <is>
          <t>On Time</t>
        </is>
      </c>
      <c r="L792" t="n">
        <v>5</v>
      </c>
      <c r="M792">
        <f>VLOOKUP(D792,State_Lookup!$A$2:$B$28,2,FALSE)</f>
        <v/>
      </c>
    </row>
    <row r="793">
      <c r="A793" t="inlineStr">
        <is>
          <t>f37d444498e3442d5896c6d98a89eb09</t>
        </is>
      </c>
      <c r="B793" t="inlineStr">
        <is>
          <t>2017-07-08</t>
        </is>
      </c>
      <c r="C793" t="inlineStr">
        <is>
          <t>2017-07</t>
        </is>
      </c>
      <c r="D793" t="inlineStr">
        <is>
          <t>SP</t>
        </is>
      </c>
      <c r="E793" t="inlineStr">
        <is>
          <t>cool_stuff</t>
        </is>
      </c>
      <c r="F793" t="n">
        <v>1</v>
      </c>
      <c r="G793" t="n">
        <v>69.98999999999999</v>
      </c>
      <c r="H793" t="n">
        <v>11.73</v>
      </c>
      <c r="I793" t="inlineStr">
        <is>
          <t>credit_card</t>
        </is>
      </c>
      <c r="J793" t="n">
        <v>6</v>
      </c>
      <c r="K793" t="inlineStr">
        <is>
          <t>On Time</t>
        </is>
      </c>
      <c r="L793" t="n">
        <v>3</v>
      </c>
      <c r="M793">
        <f>VLOOKUP(D793,State_Lookup!$A$2:$B$28,2,FALSE)</f>
        <v/>
      </c>
    </row>
    <row r="794">
      <c r="A794" t="inlineStr">
        <is>
          <t>c577aae17cbefe7f45972f2b2f06a760</t>
        </is>
      </c>
      <c r="B794" t="inlineStr">
        <is>
          <t>2017-07-09</t>
        </is>
      </c>
      <c r="C794" t="inlineStr">
        <is>
          <t>2017-07</t>
        </is>
      </c>
      <c r="D794" t="inlineStr">
        <is>
          <t>SC</t>
        </is>
      </c>
      <c r="E794" t="inlineStr">
        <is>
          <t>furniture_living_room</t>
        </is>
      </c>
      <c r="F794" t="n">
        <v>1</v>
      </c>
      <c r="G794" t="n">
        <v>49.9</v>
      </c>
      <c r="H794" t="n">
        <v>16.16</v>
      </c>
      <c r="I794" t="inlineStr">
        <is>
          <t>credit_card</t>
        </is>
      </c>
      <c r="J794" t="n">
        <v>4</v>
      </c>
      <c r="K794" t="inlineStr">
        <is>
          <t>On Time</t>
        </is>
      </c>
      <c r="L794" t="n">
        <v>5</v>
      </c>
      <c r="M794">
        <f>VLOOKUP(D794,State_Lookup!$A$2:$B$28,2,FALSE)</f>
        <v/>
      </c>
    </row>
    <row r="795">
      <c r="A795" t="inlineStr">
        <is>
          <t>64c8df7b4890817fdc2023304306f58f</t>
        </is>
      </c>
      <c r="B795" t="inlineStr">
        <is>
          <t>2017-07-09</t>
        </is>
      </c>
      <c r="C795" t="inlineStr">
        <is>
          <t>2017-07</t>
        </is>
      </c>
      <c r="D795" t="inlineStr">
        <is>
          <t>SP</t>
        </is>
      </c>
      <c r="E795" t="inlineStr">
        <is>
          <t>electronics</t>
        </is>
      </c>
      <c r="F795" t="n">
        <v>1</v>
      </c>
      <c r="G795" t="n">
        <v>12.9</v>
      </c>
      <c r="H795" t="n">
        <v>12.48</v>
      </c>
      <c r="I795" t="inlineStr">
        <is>
          <t>boleto</t>
        </is>
      </c>
      <c r="J795" t="n">
        <v>16</v>
      </c>
      <c r="K795" t="inlineStr">
        <is>
          <t>On Time</t>
        </is>
      </c>
      <c r="L795" t="n">
        <v>5</v>
      </c>
      <c r="M795">
        <f>VLOOKUP(D795,State_Lookup!$A$2:$B$28,2,FALSE)</f>
        <v/>
      </c>
    </row>
    <row r="796">
      <c r="A796" t="inlineStr">
        <is>
          <t>352b9aec1e649ed93ea863e41dc39439</t>
        </is>
      </c>
      <c r="B796" t="inlineStr">
        <is>
          <t>2017-07-09</t>
        </is>
      </c>
      <c r="C796" t="inlineStr">
        <is>
          <t>2017-07</t>
        </is>
      </c>
      <c r="D796" t="inlineStr">
        <is>
          <t>SP</t>
        </is>
      </c>
      <c r="E796" t="inlineStr">
        <is>
          <t>telephony</t>
        </is>
      </c>
      <c r="F796" t="n">
        <v>1</v>
      </c>
      <c r="G796" t="n">
        <v>25.99</v>
      </c>
      <c r="H796" t="n">
        <v>7.78</v>
      </c>
      <c r="I796" t="inlineStr">
        <is>
          <t>boleto</t>
        </is>
      </c>
      <c r="J796" t="n">
        <v>2</v>
      </c>
      <c r="K796" t="inlineStr">
        <is>
          <t>On Time</t>
        </is>
      </c>
      <c r="L796" t="n">
        <v>5</v>
      </c>
      <c r="M796">
        <f>VLOOKUP(D796,State_Lookup!$A$2:$B$28,2,FALSE)</f>
        <v/>
      </c>
    </row>
    <row r="797">
      <c r="A797" t="inlineStr">
        <is>
          <t>b78ba2e791199cc6293f8abf411fa386</t>
        </is>
      </c>
      <c r="B797" t="inlineStr">
        <is>
          <t>2017-07-09</t>
        </is>
      </c>
      <c r="C797" t="inlineStr">
        <is>
          <t>2017-07</t>
        </is>
      </c>
      <c r="D797" t="inlineStr">
        <is>
          <t>RS</t>
        </is>
      </c>
      <c r="E797" t="inlineStr">
        <is>
          <t>toys</t>
        </is>
      </c>
      <c r="F797" t="n">
        <v>1</v>
      </c>
      <c r="G797" t="n">
        <v>138.9</v>
      </c>
      <c r="H797" t="n">
        <v>13.99</v>
      </c>
      <c r="I797" t="inlineStr">
        <is>
          <t>credit_card</t>
        </is>
      </c>
      <c r="J797" t="n">
        <v>5</v>
      </c>
      <c r="K797" t="inlineStr">
        <is>
          <t>On Time</t>
        </is>
      </c>
      <c r="L797" t="n">
        <v>5</v>
      </c>
      <c r="M797">
        <f>VLOOKUP(D797,State_Lookup!$A$2:$B$28,2,FALSE)</f>
        <v/>
      </c>
    </row>
    <row r="798">
      <c r="A798" t="inlineStr">
        <is>
          <t>2d82dd44bd4ea2cb852068142568d5ce</t>
        </is>
      </c>
      <c r="B798" t="inlineStr">
        <is>
          <t>2017-07-09</t>
        </is>
      </c>
      <c r="C798" t="inlineStr">
        <is>
          <t>2017-07</t>
        </is>
      </c>
      <c r="D798" t="inlineStr">
        <is>
          <t>MG</t>
        </is>
      </c>
      <c r="E798" t="inlineStr">
        <is>
          <t>housewares</t>
        </is>
      </c>
      <c r="F798" t="n">
        <v>1</v>
      </c>
      <c r="G798" t="n">
        <v>149.9</v>
      </c>
      <c r="H798" t="n">
        <v>18.3</v>
      </c>
      <c r="I798" t="inlineStr">
        <is>
          <t>credit_card</t>
        </is>
      </c>
      <c r="J798" t="n">
        <v>15</v>
      </c>
      <c r="K798" t="inlineStr">
        <is>
          <t>On Time</t>
        </is>
      </c>
      <c r="L798" t="n">
        <v>5</v>
      </c>
      <c r="M798">
        <f>VLOOKUP(D798,State_Lookup!$A$2:$B$28,2,FALSE)</f>
        <v/>
      </c>
    </row>
    <row r="799">
      <c r="A799" t="inlineStr">
        <is>
          <t>06ae350afd844b7e1dc14f9322504baf</t>
        </is>
      </c>
      <c r="B799" t="inlineStr">
        <is>
          <t>2017-07-09</t>
        </is>
      </c>
      <c r="C799" t="inlineStr">
        <is>
          <t>2017-07</t>
        </is>
      </c>
      <c r="D799" t="inlineStr">
        <is>
          <t>PE</t>
        </is>
      </c>
      <c r="E799" t="inlineStr">
        <is>
          <t>bed_bath_table</t>
        </is>
      </c>
      <c r="F799" t="n">
        <v>1</v>
      </c>
      <c r="G799" t="n">
        <v>24.9</v>
      </c>
      <c r="H799" t="n">
        <v>25.63</v>
      </c>
      <c r="I799" t="inlineStr">
        <is>
          <t>credit_card</t>
        </is>
      </c>
      <c r="J799" t="n">
        <v>26</v>
      </c>
      <c r="K799" t="inlineStr">
        <is>
          <t>On Time</t>
        </is>
      </c>
      <c r="L799" t="n">
        <v>4</v>
      </c>
      <c r="M799">
        <f>VLOOKUP(D799,State_Lookup!$A$2:$B$28,2,FALSE)</f>
        <v/>
      </c>
    </row>
    <row r="800">
      <c r="A800" t="inlineStr">
        <is>
          <t>87dbf189fd5e4ff0a6846675d7fe9d0e</t>
        </is>
      </c>
      <c r="B800" t="inlineStr">
        <is>
          <t>2017-07-09</t>
        </is>
      </c>
      <c r="C800" t="inlineStr">
        <is>
          <t>2017-07</t>
        </is>
      </c>
      <c r="D800" t="inlineStr">
        <is>
          <t>PR</t>
        </is>
      </c>
      <c r="E800" t="inlineStr">
        <is>
          <t>health_beauty</t>
        </is>
      </c>
      <c r="F800" t="n">
        <v>1</v>
      </c>
      <c r="G800" t="n">
        <v>104.99</v>
      </c>
      <c r="H800" t="n">
        <v>14.46</v>
      </c>
      <c r="I800" t="inlineStr">
        <is>
          <t>credit_card</t>
        </is>
      </c>
      <c r="J800" t="n">
        <v>7</v>
      </c>
      <c r="K800" t="inlineStr">
        <is>
          <t>On Time</t>
        </is>
      </c>
      <c r="L800" t="n">
        <v>5</v>
      </c>
      <c r="M800">
        <f>VLOOKUP(D800,State_Lookup!$A$2:$B$28,2,FALSE)</f>
        <v/>
      </c>
    </row>
    <row r="801">
      <c r="A801" t="inlineStr">
        <is>
          <t>2e05e404dbee7a30852c84523f222b1e</t>
        </is>
      </c>
      <c r="B801" t="inlineStr">
        <is>
          <t>2017-07-10</t>
        </is>
      </c>
      <c r="C801" t="inlineStr">
        <is>
          <t>2017-07</t>
        </is>
      </c>
      <c r="D801" t="inlineStr">
        <is>
          <t>SP</t>
        </is>
      </c>
      <c r="E801" t="inlineStr">
        <is>
          <t>sports_leisure</t>
        </is>
      </c>
      <c r="F801" t="n">
        <v>1</v>
      </c>
      <c r="G801" t="n">
        <v>99.90000000000001</v>
      </c>
      <c r="H801" t="n">
        <v>38.12</v>
      </c>
      <c r="I801" t="inlineStr">
        <is>
          <t>boleto</t>
        </is>
      </c>
      <c r="J801" t="n">
        <v>8</v>
      </c>
      <c r="K801" t="inlineStr">
        <is>
          <t>On Time</t>
        </is>
      </c>
      <c r="L801" t="n">
        <v>4</v>
      </c>
      <c r="M801">
        <f>VLOOKUP(D801,State_Lookup!$A$2:$B$28,2,FALSE)</f>
        <v/>
      </c>
    </row>
    <row r="802">
      <c r="A802" t="inlineStr">
        <is>
          <t>d14713175ab3ff245a441613d7242f3b</t>
        </is>
      </c>
      <c r="B802" t="inlineStr">
        <is>
          <t>2017-07-10</t>
        </is>
      </c>
      <c r="C802" t="inlineStr">
        <is>
          <t>2017-07</t>
        </is>
      </c>
      <c r="D802" t="inlineStr">
        <is>
          <t>SP</t>
        </is>
      </c>
      <c r="E802" t="inlineStr">
        <is>
          <t>office_furniture</t>
        </is>
      </c>
      <c r="F802" t="n">
        <v>1</v>
      </c>
      <c r="G802" t="n">
        <v>199.97</v>
      </c>
      <c r="H802" t="n">
        <v>36.91</v>
      </c>
      <c r="I802" t="inlineStr">
        <is>
          <t>credit_card</t>
        </is>
      </c>
      <c r="J802" t="n">
        <v>15</v>
      </c>
      <c r="K802" t="inlineStr">
        <is>
          <t>On Time</t>
        </is>
      </c>
      <c r="L802" t="n">
        <v>5</v>
      </c>
      <c r="M802">
        <f>VLOOKUP(D802,State_Lookup!$A$2:$B$28,2,FALSE)</f>
        <v/>
      </c>
    </row>
    <row r="803">
      <c r="A803" t="inlineStr">
        <is>
          <t>dfd3b2df64ce5d1f5378d2e211743bbc</t>
        </is>
      </c>
      <c r="B803" t="inlineStr">
        <is>
          <t>2017-07-10</t>
        </is>
      </c>
      <c r="C803" t="inlineStr">
        <is>
          <t>2017-07</t>
        </is>
      </c>
      <c r="D803" t="inlineStr">
        <is>
          <t>RJ</t>
        </is>
      </c>
      <c r="E803" t="inlineStr">
        <is>
          <t>cool_stuff</t>
        </is>
      </c>
      <c r="F803" t="n">
        <v>1</v>
      </c>
      <c r="G803" t="n">
        <v>87.98999999999999</v>
      </c>
      <c r="H803" t="n">
        <v>17.87</v>
      </c>
      <c r="I803" t="inlineStr">
        <is>
          <t>boleto</t>
        </is>
      </c>
      <c r="J803" t="n">
        <v>7</v>
      </c>
      <c r="K803" t="inlineStr">
        <is>
          <t>On Time</t>
        </is>
      </c>
      <c r="L803" t="n">
        <v>5</v>
      </c>
      <c r="M803">
        <f>VLOOKUP(D803,State_Lookup!$A$2:$B$28,2,FALSE)</f>
        <v/>
      </c>
    </row>
    <row r="804">
      <c r="A804" t="inlineStr">
        <is>
          <t>a824d8daf564c79aa91695c4126d0a06</t>
        </is>
      </c>
      <c r="B804" t="inlineStr">
        <is>
          <t>2017-07-10</t>
        </is>
      </c>
      <c r="C804" t="inlineStr">
        <is>
          <t>2017-07</t>
        </is>
      </c>
      <c r="D804" t="inlineStr">
        <is>
          <t>ES</t>
        </is>
      </c>
      <c r="E804" t="inlineStr">
        <is>
          <t>telephony</t>
        </is>
      </c>
      <c r="F804" t="n">
        <v>1</v>
      </c>
      <c r="G804" t="n">
        <v>28.99</v>
      </c>
      <c r="H804" t="n">
        <v>15.1</v>
      </c>
      <c r="I804" t="inlineStr">
        <is>
          <t>boleto</t>
        </is>
      </c>
      <c r="J804" t="n">
        <v>21</v>
      </c>
      <c r="K804" t="inlineStr">
        <is>
          <t>On Time</t>
        </is>
      </c>
      <c r="L804" t="n">
        <v>5</v>
      </c>
      <c r="M804">
        <f>VLOOKUP(D804,State_Lookup!$A$2:$B$28,2,FALSE)</f>
        <v/>
      </c>
    </row>
    <row r="805">
      <c r="A805" t="inlineStr">
        <is>
          <t>b11a56abf15c11b6a5c248689c6525af</t>
        </is>
      </c>
      <c r="B805" t="inlineStr">
        <is>
          <t>2017-07-10</t>
        </is>
      </c>
      <c r="C805" t="inlineStr">
        <is>
          <t>2017-07</t>
        </is>
      </c>
      <c r="D805" t="inlineStr">
        <is>
          <t>SP</t>
        </is>
      </c>
      <c r="E805" t="inlineStr">
        <is>
          <t>baby</t>
        </is>
      </c>
      <c r="F805" t="n">
        <v>1</v>
      </c>
      <c r="G805" t="n">
        <v>9.99</v>
      </c>
      <c r="H805" t="n">
        <v>11.73</v>
      </c>
      <c r="I805" t="inlineStr">
        <is>
          <t>credit_card</t>
        </is>
      </c>
      <c r="J805" t="n">
        <v>2</v>
      </c>
      <c r="K805" t="inlineStr">
        <is>
          <t>On Time</t>
        </is>
      </c>
      <c r="L805" t="n">
        <v>5</v>
      </c>
      <c r="M805">
        <f>VLOOKUP(D805,State_Lookup!$A$2:$B$28,2,FALSE)</f>
        <v/>
      </c>
    </row>
    <row r="806">
      <c r="A806" t="inlineStr">
        <is>
          <t>6a2979d48eda14bfbe2d632638ae16a2</t>
        </is>
      </c>
      <c r="B806" t="inlineStr">
        <is>
          <t>2017-07-10</t>
        </is>
      </c>
      <c r="C806" t="inlineStr">
        <is>
          <t>2017-07</t>
        </is>
      </c>
      <c r="D806" t="inlineStr">
        <is>
          <t>GO</t>
        </is>
      </c>
      <c r="E806" t="inlineStr">
        <is>
          <t>home_confort</t>
        </is>
      </c>
      <c r="F806" t="n">
        <v>2</v>
      </c>
      <c r="G806" t="n">
        <v>179.8</v>
      </c>
      <c r="H806" t="n">
        <v>30.76</v>
      </c>
      <c r="I806" t="inlineStr">
        <is>
          <t>credit_card</t>
        </is>
      </c>
      <c r="J806" t="n">
        <v>21</v>
      </c>
      <c r="K806" t="inlineStr">
        <is>
          <t>On Time</t>
        </is>
      </c>
      <c r="L806" t="n">
        <v>5</v>
      </c>
      <c r="M806">
        <f>VLOOKUP(D806,State_Lookup!$A$2:$B$28,2,FALSE)</f>
        <v/>
      </c>
    </row>
    <row r="807">
      <c r="A807" t="inlineStr">
        <is>
          <t>88639fdb042f2080a58a9ed47b6d6a70</t>
        </is>
      </c>
      <c r="B807" t="inlineStr">
        <is>
          <t>2017-07-11</t>
        </is>
      </c>
      <c r="C807" t="inlineStr">
        <is>
          <t>2017-07</t>
        </is>
      </c>
      <c r="D807" t="inlineStr">
        <is>
          <t>PR</t>
        </is>
      </c>
      <c r="E807" t="inlineStr">
        <is>
          <t>cool_stuff</t>
        </is>
      </c>
      <c r="F807" t="n">
        <v>1</v>
      </c>
      <c r="G807" t="n">
        <v>75</v>
      </c>
      <c r="H807" t="n">
        <v>15.28</v>
      </c>
      <c r="I807" t="inlineStr">
        <is>
          <t>credit_card</t>
        </is>
      </c>
      <c r="J807" t="n">
        <v>14</v>
      </c>
      <c r="K807" t="inlineStr">
        <is>
          <t>On Time</t>
        </is>
      </c>
      <c r="L807" t="n">
        <v>5</v>
      </c>
      <c r="M807">
        <f>VLOOKUP(D807,State_Lookup!$A$2:$B$28,2,FALSE)</f>
        <v/>
      </c>
    </row>
    <row r="808">
      <c r="A808" t="inlineStr">
        <is>
          <t>5097dff6bbed76071da15d650ab36173</t>
        </is>
      </c>
      <c r="B808" t="inlineStr">
        <is>
          <t>2017-07-11</t>
        </is>
      </c>
      <c r="C808" t="inlineStr">
        <is>
          <t>2017-07</t>
        </is>
      </c>
      <c r="D808" t="inlineStr">
        <is>
          <t>MG</t>
        </is>
      </c>
      <c r="E808" t="inlineStr">
        <is>
          <t>garden_tools</t>
        </is>
      </c>
      <c r="F808" t="n">
        <v>1</v>
      </c>
      <c r="G808" t="n">
        <v>469</v>
      </c>
      <c r="H808" t="n">
        <v>29.82</v>
      </c>
      <c r="I808" t="inlineStr">
        <is>
          <t>boleto</t>
        </is>
      </c>
      <c r="J808" t="n">
        <v>14</v>
      </c>
      <c r="K808" t="inlineStr">
        <is>
          <t>On Time</t>
        </is>
      </c>
      <c r="L808" t="n">
        <v>5</v>
      </c>
      <c r="M808">
        <f>VLOOKUP(D808,State_Lookup!$A$2:$B$28,2,FALSE)</f>
        <v/>
      </c>
    </row>
    <row r="809">
      <c r="A809" t="inlineStr">
        <is>
          <t>e7a7c3f23a94a1094f891ae30eeeccd3</t>
        </is>
      </c>
      <c r="B809" t="inlineStr">
        <is>
          <t>2017-07-11</t>
        </is>
      </c>
      <c r="C809" t="inlineStr">
        <is>
          <t>2017-07</t>
        </is>
      </c>
      <c r="D809" t="inlineStr">
        <is>
          <t>PE</t>
        </is>
      </c>
      <c r="E809" t="inlineStr">
        <is>
          <t>stationery</t>
        </is>
      </c>
      <c r="F809" t="n">
        <v>1</v>
      </c>
      <c r="G809" t="n">
        <v>139</v>
      </c>
      <c r="H809" t="n">
        <v>29.37</v>
      </c>
      <c r="I809" t="inlineStr">
        <is>
          <t>credit_card</t>
        </is>
      </c>
      <c r="J809" t="n">
        <v>28</v>
      </c>
      <c r="K809" t="inlineStr">
        <is>
          <t>On Time</t>
        </is>
      </c>
      <c r="L809" t="n">
        <v>2</v>
      </c>
      <c r="M809">
        <f>VLOOKUP(D809,State_Lookup!$A$2:$B$28,2,FALSE)</f>
        <v/>
      </c>
    </row>
    <row r="810">
      <c r="A810" t="inlineStr">
        <is>
          <t>ee0b134993ab33ad14fbebf2da7e8b59</t>
        </is>
      </c>
      <c r="B810" t="inlineStr">
        <is>
          <t>2017-07-11</t>
        </is>
      </c>
      <c r="C810" t="inlineStr">
        <is>
          <t>2017-07</t>
        </is>
      </c>
      <c r="D810" t="inlineStr">
        <is>
          <t>PR</t>
        </is>
      </c>
      <c r="E810" t="inlineStr">
        <is>
          <t>housewares</t>
        </is>
      </c>
      <c r="F810" t="n">
        <v>1</v>
      </c>
      <c r="G810" t="n">
        <v>59.9</v>
      </c>
      <c r="H810" t="n">
        <v>14.15</v>
      </c>
      <c r="I810" t="inlineStr">
        <is>
          <t>credit_card</t>
        </is>
      </c>
      <c r="J810" t="n">
        <v>7</v>
      </c>
      <c r="K810" t="inlineStr">
        <is>
          <t>On Time</t>
        </is>
      </c>
      <c r="L810" t="n">
        <v>5</v>
      </c>
      <c r="M810">
        <f>VLOOKUP(D810,State_Lookup!$A$2:$B$28,2,FALSE)</f>
        <v/>
      </c>
    </row>
    <row r="811">
      <c r="A811" t="inlineStr">
        <is>
          <t>10f34fc8a567488225794fc598c3c9f4</t>
        </is>
      </c>
      <c r="B811" t="inlineStr">
        <is>
          <t>2017-07-11</t>
        </is>
      </c>
      <c r="C811" t="inlineStr">
        <is>
          <t>2017-07</t>
        </is>
      </c>
      <c r="D811" t="inlineStr">
        <is>
          <t>SP</t>
        </is>
      </c>
      <c r="E811" t="inlineStr">
        <is>
          <t>cool_stuff</t>
        </is>
      </c>
      <c r="F811" t="n">
        <v>1</v>
      </c>
      <c r="G811" t="n">
        <v>129.99</v>
      </c>
      <c r="H811" t="n">
        <v>13.93</v>
      </c>
      <c r="I811" t="inlineStr">
        <is>
          <t>credit_card</t>
        </is>
      </c>
      <c r="J811" t="n">
        <v>8</v>
      </c>
      <c r="K811" t="inlineStr">
        <is>
          <t>On Time</t>
        </is>
      </c>
      <c r="L811" t="n">
        <v>5</v>
      </c>
      <c r="M811">
        <f>VLOOKUP(D811,State_Lookup!$A$2:$B$28,2,FALSE)</f>
        <v/>
      </c>
    </row>
    <row r="812">
      <c r="A812" t="inlineStr">
        <is>
          <t>efe9a00980989785f6defa2602f5e4cd</t>
        </is>
      </c>
      <c r="B812" t="inlineStr">
        <is>
          <t>2017-07-11</t>
        </is>
      </c>
      <c r="C812" t="inlineStr">
        <is>
          <t>2017-07</t>
        </is>
      </c>
      <c r="D812" t="inlineStr">
        <is>
          <t>MS</t>
        </is>
      </c>
      <c r="E812" t="inlineStr">
        <is>
          <t>garden_tools</t>
        </is>
      </c>
      <c r="F812" t="n">
        <v>1</v>
      </c>
      <c r="G812" t="n">
        <v>179.9</v>
      </c>
      <c r="H812" t="n">
        <v>17.02</v>
      </c>
      <c r="I812" t="inlineStr">
        <is>
          <t>boleto</t>
        </is>
      </c>
      <c r="J812" t="n">
        <v>8</v>
      </c>
      <c r="K812" t="inlineStr">
        <is>
          <t>On Time</t>
        </is>
      </c>
      <c r="L812" t="n">
        <v>5</v>
      </c>
      <c r="M812">
        <f>VLOOKUP(D812,State_Lookup!$A$2:$B$28,2,FALSE)</f>
        <v/>
      </c>
    </row>
    <row r="813">
      <c r="A813" t="inlineStr">
        <is>
          <t>b29e21660ec21d241b0b2fdb161bf7d8</t>
        </is>
      </c>
      <c r="B813" t="inlineStr">
        <is>
          <t>2017-07-11</t>
        </is>
      </c>
      <c r="C813" t="inlineStr">
        <is>
          <t>2017-07</t>
        </is>
      </c>
      <c r="D813" t="inlineStr">
        <is>
          <t>SP</t>
        </is>
      </c>
      <c r="E813" t="inlineStr">
        <is>
          <t>housewares</t>
        </is>
      </c>
      <c r="F813" t="n">
        <v>1</v>
      </c>
      <c r="G813" t="n">
        <v>69.90000000000001</v>
      </c>
      <c r="H813" t="n">
        <v>16.74</v>
      </c>
      <c r="I813" t="inlineStr">
        <is>
          <t>boleto</t>
        </is>
      </c>
      <c r="J813" t="n">
        <v>8</v>
      </c>
      <c r="K813" t="inlineStr">
        <is>
          <t>On Time</t>
        </is>
      </c>
      <c r="L813" t="n">
        <v>4</v>
      </c>
      <c r="M813">
        <f>VLOOKUP(D813,State_Lookup!$A$2:$B$28,2,FALSE)</f>
        <v/>
      </c>
    </row>
    <row r="814">
      <c r="A814" t="inlineStr">
        <is>
          <t>9695b39a3c85c3d4651b63f03864fd38</t>
        </is>
      </c>
      <c r="B814" t="inlineStr">
        <is>
          <t>2017-07-11</t>
        </is>
      </c>
      <c r="C814" t="inlineStr">
        <is>
          <t>2017-07</t>
        </is>
      </c>
      <c r="D814" t="inlineStr">
        <is>
          <t>MS</t>
        </is>
      </c>
      <c r="E814" t="inlineStr">
        <is>
          <t>small_appliances</t>
        </is>
      </c>
      <c r="F814" t="n">
        <v>1</v>
      </c>
      <c r="G814" t="n">
        <v>16.99</v>
      </c>
      <c r="H814" t="n">
        <v>16.79</v>
      </c>
      <c r="I814" t="inlineStr">
        <is>
          <t>credit_card</t>
        </is>
      </c>
      <c r="J814" t="n">
        <v>12</v>
      </c>
      <c r="K814" t="inlineStr">
        <is>
          <t>On Time</t>
        </is>
      </c>
      <c r="L814" t="n">
        <v>5</v>
      </c>
      <c r="M814">
        <f>VLOOKUP(D814,State_Lookup!$A$2:$B$28,2,FALSE)</f>
        <v/>
      </c>
    </row>
    <row r="815">
      <c r="A815" t="inlineStr">
        <is>
          <t>a97107c0b3df262ab4454ad8c3a91d0b</t>
        </is>
      </c>
      <c r="B815" t="inlineStr">
        <is>
          <t>2017-07-11</t>
        </is>
      </c>
      <c r="C815" t="inlineStr">
        <is>
          <t>2017-07</t>
        </is>
      </c>
      <c r="D815" t="inlineStr">
        <is>
          <t>SP</t>
        </is>
      </c>
      <c r="E815" t="inlineStr">
        <is>
          <t>bed_bath_table</t>
        </is>
      </c>
      <c r="F815" t="n">
        <v>1</v>
      </c>
      <c r="G815" t="n">
        <v>69.90000000000001</v>
      </c>
      <c r="H815" t="n">
        <v>11.99</v>
      </c>
      <c r="I815" t="inlineStr">
        <is>
          <t>credit_card</t>
        </is>
      </c>
      <c r="J815" t="n">
        <v>6</v>
      </c>
      <c r="K815" t="inlineStr">
        <is>
          <t>On Time</t>
        </is>
      </c>
      <c r="L815" t="n">
        <v>4</v>
      </c>
      <c r="M815">
        <f>VLOOKUP(D815,State_Lookup!$A$2:$B$28,2,FALSE)</f>
        <v/>
      </c>
    </row>
    <row r="816">
      <c r="A816" t="inlineStr">
        <is>
          <t>804e0b86e8fe8f4b319d850c87dd79bd</t>
        </is>
      </c>
      <c r="B816" t="inlineStr">
        <is>
          <t>2017-07-11</t>
        </is>
      </c>
      <c r="C816" t="inlineStr">
        <is>
          <t>2017-07</t>
        </is>
      </c>
      <c r="D816" t="inlineStr">
        <is>
          <t>SP</t>
        </is>
      </c>
      <c r="E816" t="inlineStr">
        <is>
          <t>watches_gifts</t>
        </is>
      </c>
      <c r="F816" t="n">
        <v>1</v>
      </c>
      <c r="G816" t="n">
        <v>29</v>
      </c>
      <c r="H816" t="n">
        <v>7.78</v>
      </c>
      <c r="I816" t="inlineStr">
        <is>
          <t>credit_card</t>
        </is>
      </c>
      <c r="J816" t="n">
        <v>19</v>
      </c>
      <c r="K816" t="inlineStr">
        <is>
          <t>Late</t>
        </is>
      </c>
      <c r="L816" t="n">
        <v>3</v>
      </c>
      <c r="M816">
        <f>VLOOKUP(D816,State_Lookup!$A$2:$B$28,2,FALSE)</f>
        <v/>
      </c>
    </row>
    <row r="817">
      <c r="A817" t="inlineStr">
        <is>
          <t>b5247f083ab1483738dc1a173aac237a</t>
        </is>
      </c>
      <c r="B817" t="inlineStr">
        <is>
          <t>2017-07-11</t>
        </is>
      </c>
      <c r="C817" t="inlineStr">
        <is>
          <t>2017-07</t>
        </is>
      </c>
      <c r="D817" t="inlineStr">
        <is>
          <t>RS</t>
        </is>
      </c>
      <c r="E817" t="inlineStr">
        <is>
          <t>office_furniture</t>
        </is>
      </c>
      <c r="F817" t="n">
        <v>1</v>
      </c>
      <c r="G817" t="n">
        <v>209.99</v>
      </c>
      <c r="H817" t="n">
        <v>66.28</v>
      </c>
      <c r="I817" t="inlineStr">
        <is>
          <t>credit_card</t>
        </is>
      </c>
      <c r="J817" t="n">
        <v>19</v>
      </c>
      <c r="K817" t="inlineStr">
        <is>
          <t>On Time</t>
        </is>
      </c>
      <c r="L817" t="n">
        <v>3</v>
      </c>
      <c r="M817">
        <f>VLOOKUP(D817,State_Lookup!$A$2:$B$28,2,FALSE)</f>
        <v/>
      </c>
    </row>
    <row r="818">
      <c r="A818" t="inlineStr">
        <is>
          <t>f16d36e918e76d6b9afabb3d8189f313</t>
        </is>
      </c>
      <c r="B818" t="inlineStr">
        <is>
          <t>2017-07-12</t>
        </is>
      </c>
      <c r="C818" t="inlineStr">
        <is>
          <t>2017-07</t>
        </is>
      </c>
      <c r="D818" t="inlineStr">
        <is>
          <t>SP</t>
        </is>
      </c>
      <c r="E818" t="inlineStr">
        <is>
          <t>unknown</t>
        </is>
      </c>
      <c r="F818" t="n">
        <v>2</v>
      </c>
      <c r="G818" t="n">
        <v>118</v>
      </c>
      <c r="H818" t="n">
        <v>15.56</v>
      </c>
      <c r="I818" t="inlineStr">
        <is>
          <t>credit_card</t>
        </is>
      </c>
      <c r="J818" t="n">
        <v>1</v>
      </c>
      <c r="K818" t="inlineStr">
        <is>
          <t>On Time</t>
        </is>
      </c>
      <c r="L818" t="n">
        <v>4</v>
      </c>
      <c r="M818">
        <f>VLOOKUP(D818,State_Lookup!$A$2:$B$28,2,FALSE)</f>
        <v/>
      </c>
    </row>
    <row r="819">
      <c r="A819" t="inlineStr">
        <is>
          <t>1f3128e8dcdc994a80f83cff1c576a35</t>
        </is>
      </c>
      <c r="B819" t="inlineStr">
        <is>
          <t>2017-07-12</t>
        </is>
      </c>
      <c r="C819" t="inlineStr">
        <is>
          <t>2017-07</t>
        </is>
      </c>
      <c r="D819" t="inlineStr">
        <is>
          <t>SC</t>
        </is>
      </c>
      <c r="E819" t="inlineStr">
        <is>
          <t>auto</t>
        </is>
      </c>
      <c r="F819" t="n">
        <v>1</v>
      </c>
      <c r="G819" t="n">
        <v>44.9</v>
      </c>
      <c r="H819" t="n">
        <v>13.5</v>
      </c>
      <c r="I819" t="inlineStr">
        <is>
          <t>credit_card</t>
        </is>
      </c>
      <c r="J819" t="n">
        <v>24</v>
      </c>
      <c r="K819" t="inlineStr">
        <is>
          <t>On Time</t>
        </is>
      </c>
      <c r="L819" t="n">
        <v>1</v>
      </c>
      <c r="M819">
        <f>VLOOKUP(D819,State_Lookup!$A$2:$B$28,2,FALSE)</f>
        <v/>
      </c>
    </row>
    <row r="820">
      <c r="A820" t="inlineStr">
        <is>
          <t>3f5abd933258e53656eb4368f0762fec</t>
        </is>
      </c>
      <c r="B820" t="inlineStr">
        <is>
          <t>2017-07-12</t>
        </is>
      </c>
      <c r="C820" t="inlineStr">
        <is>
          <t>2017-07</t>
        </is>
      </c>
      <c r="D820" t="inlineStr">
        <is>
          <t>SP</t>
        </is>
      </c>
      <c r="E820" t="inlineStr">
        <is>
          <t>watches_gifts</t>
        </is>
      </c>
      <c r="F820" t="n">
        <v>1</v>
      </c>
      <c r="G820" t="n">
        <v>209.99</v>
      </c>
      <c r="H820" t="n">
        <v>13.81</v>
      </c>
      <c r="I820" t="inlineStr">
        <is>
          <t>credit_card</t>
        </is>
      </c>
      <c r="J820" t="n">
        <v>7</v>
      </c>
      <c r="K820" t="inlineStr">
        <is>
          <t>On Time</t>
        </is>
      </c>
      <c r="L820" t="n">
        <v>5</v>
      </c>
      <c r="M820">
        <f>VLOOKUP(D820,State_Lookup!$A$2:$B$28,2,FALSE)</f>
        <v/>
      </c>
    </row>
    <row r="821">
      <c r="A821" t="inlineStr">
        <is>
          <t>a173a87bc70963a0ab33b92dd6f193dd</t>
        </is>
      </c>
      <c r="B821" t="inlineStr">
        <is>
          <t>2017-07-12</t>
        </is>
      </c>
      <c r="C821" t="inlineStr">
        <is>
          <t>2017-07</t>
        </is>
      </c>
      <c r="D821" t="inlineStr">
        <is>
          <t>BA</t>
        </is>
      </c>
      <c r="E821" t="inlineStr">
        <is>
          <t>sports_leisure</t>
        </is>
      </c>
      <c r="F821" t="n">
        <v>1</v>
      </c>
      <c r="G821" t="n">
        <v>59.99</v>
      </c>
      <c r="H821" t="n">
        <v>16.99</v>
      </c>
      <c r="I821" t="inlineStr">
        <is>
          <t>credit_card</t>
        </is>
      </c>
      <c r="J821" t="n">
        <v>12</v>
      </c>
      <c r="K821" t="inlineStr">
        <is>
          <t>On Time</t>
        </is>
      </c>
      <c r="L821" t="n">
        <v>5</v>
      </c>
      <c r="M821">
        <f>VLOOKUP(D821,State_Lookup!$A$2:$B$28,2,FALSE)</f>
        <v/>
      </c>
    </row>
    <row r="822">
      <c r="A822" t="inlineStr">
        <is>
          <t>d9bc6265a0fd5fd74e4c1db0ee72d753</t>
        </is>
      </c>
      <c r="B822" t="inlineStr">
        <is>
          <t>2017-07-12</t>
        </is>
      </c>
      <c r="C822" t="inlineStr">
        <is>
          <t>2017-07</t>
        </is>
      </c>
      <c r="D822" t="inlineStr">
        <is>
          <t>SC</t>
        </is>
      </c>
      <c r="E822" t="inlineStr">
        <is>
          <t>health_beauty</t>
        </is>
      </c>
      <c r="F822" t="n">
        <v>1</v>
      </c>
      <c r="G822" t="n">
        <v>119.9</v>
      </c>
      <c r="H822" t="n">
        <v>15.59</v>
      </c>
      <c r="I822" t="inlineStr">
        <is>
          <t>credit_card</t>
        </is>
      </c>
      <c r="J822" t="n">
        <v>23</v>
      </c>
      <c r="K822" t="inlineStr">
        <is>
          <t>Late</t>
        </is>
      </c>
      <c r="L822" t="n">
        <v>1</v>
      </c>
      <c r="M822">
        <f>VLOOKUP(D822,State_Lookup!$A$2:$B$28,2,FALSE)</f>
        <v/>
      </c>
    </row>
    <row r="823">
      <c r="A823" t="inlineStr">
        <is>
          <t>73d34a2bf529090b8e28797f2169823c</t>
        </is>
      </c>
      <c r="B823" t="inlineStr">
        <is>
          <t>2017-07-13</t>
        </is>
      </c>
      <c r="C823" t="inlineStr">
        <is>
          <t>2017-07</t>
        </is>
      </c>
      <c r="D823" t="inlineStr">
        <is>
          <t>MG</t>
        </is>
      </c>
      <c r="E823" t="inlineStr">
        <is>
          <t>bed_bath_table</t>
        </is>
      </c>
      <c r="F823" t="n">
        <v>1</v>
      </c>
      <c r="G823" t="n">
        <v>205</v>
      </c>
      <c r="H823" t="n">
        <v>26.27</v>
      </c>
      <c r="I823" t="inlineStr">
        <is>
          <t>credit_card</t>
        </is>
      </c>
      <c r="J823" t="n">
        <v>11</v>
      </c>
      <c r="K823" t="inlineStr">
        <is>
          <t>On Time</t>
        </is>
      </c>
      <c r="L823" t="n">
        <v>5</v>
      </c>
      <c r="M823">
        <f>VLOOKUP(D823,State_Lookup!$A$2:$B$28,2,FALSE)</f>
        <v/>
      </c>
    </row>
    <row r="824">
      <c r="A824" t="inlineStr">
        <is>
          <t>20bc33ea85750fd7d20d7b72c5c4b36d</t>
        </is>
      </c>
      <c r="B824" t="inlineStr">
        <is>
          <t>2017-07-13</t>
        </is>
      </c>
      <c r="C824" t="inlineStr">
        <is>
          <t>2017-07</t>
        </is>
      </c>
      <c r="D824" t="inlineStr">
        <is>
          <t>PR</t>
        </is>
      </c>
      <c r="E824" t="inlineStr">
        <is>
          <t>office_furniture</t>
        </is>
      </c>
      <c r="F824" t="n">
        <v>2</v>
      </c>
      <c r="G824" t="n">
        <v>399.88</v>
      </c>
      <c r="H824" t="n">
        <v>173.12</v>
      </c>
      <c r="I824" t="inlineStr">
        <is>
          <t>credit_card</t>
        </is>
      </c>
      <c r="J824" t="n">
        <v>17</v>
      </c>
      <c r="K824" t="inlineStr">
        <is>
          <t>On Time</t>
        </is>
      </c>
      <c r="L824" t="n">
        <v>1</v>
      </c>
      <c r="M824">
        <f>VLOOKUP(D824,State_Lookup!$A$2:$B$28,2,FALSE)</f>
        <v/>
      </c>
    </row>
    <row r="825">
      <c r="A825" t="inlineStr">
        <is>
          <t>788981eeae5e313081bd50e623f540f8</t>
        </is>
      </c>
      <c r="B825" t="inlineStr">
        <is>
          <t>2017-07-13</t>
        </is>
      </c>
      <c r="C825" t="inlineStr">
        <is>
          <t>2017-07</t>
        </is>
      </c>
      <c r="D825" t="inlineStr">
        <is>
          <t>SP</t>
        </is>
      </c>
      <c r="E825" t="inlineStr">
        <is>
          <t>bed_bath_table</t>
        </is>
      </c>
      <c r="F825" t="n">
        <v>1</v>
      </c>
      <c r="G825" t="n">
        <v>22.9</v>
      </c>
      <c r="H825" t="n">
        <v>11.85</v>
      </c>
      <c r="I825" t="inlineStr">
        <is>
          <t>boleto</t>
        </is>
      </c>
      <c r="J825" t="n">
        <v>12</v>
      </c>
      <c r="K825" t="inlineStr">
        <is>
          <t>On Time</t>
        </is>
      </c>
      <c r="L825" t="n">
        <v>1</v>
      </c>
      <c r="M825">
        <f>VLOOKUP(D825,State_Lookup!$A$2:$B$28,2,FALSE)</f>
        <v/>
      </c>
    </row>
    <row r="826">
      <c r="A826" t="inlineStr">
        <is>
          <t>4140fb83a84c614859497ddf5333334f</t>
        </is>
      </c>
      <c r="B826" t="inlineStr">
        <is>
          <t>2017-07-13</t>
        </is>
      </c>
      <c r="C826" t="inlineStr">
        <is>
          <t>2017-07</t>
        </is>
      </c>
      <c r="D826" t="inlineStr">
        <is>
          <t>RJ</t>
        </is>
      </c>
      <c r="E826" t="inlineStr">
        <is>
          <t>bed_bath_table</t>
        </is>
      </c>
      <c r="F826" t="n">
        <v>1</v>
      </c>
      <c r="G826" t="n">
        <v>27.4</v>
      </c>
      <c r="H826" t="n">
        <v>15.1</v>
      </c>
      <c r="I826" t="inlineStr">
        <is>
          <t>credit_card</t>
        </is>
      </c>
      <c r="J826" t="n">
        <v>14</v>
      </c>
      <c r="K826" t="inlineStr">
        <is>
          <t>On Time</t>
        </is>
      </c>
      <c r="L826" t="n">
        <v>5</v>
      </c>
      <c r="M826">
        <f>VLOOKUP(D826,State_Lookup!$A$2:$B$28,2,FALSE)</f>
        <v/>
      </c>
    </row>
    <row r="827">
      <c r="A827" t="inlineStr">
        <is>
          <t>a867d77ca2a1f66f8ef67750c711d074</t>
        </is>
      </c>
      <c r="B827" t="inlineStr">
        <is>
          <t>2017-07-13</t>
        </is>
      </c>
      <c r="C827" t="inlineStr">
        <is>
          <t>2017-07</t>
        </is>
      </c>
      <c r="D827" t="inlineStr">
        <is>
          <t>SP</t>
        </is>
      </c>
      <c r="E827" t="inlineStr">
        <is>
          <t>stationery</t>
        </is>
      </c>
      <c r="F827" t="n">
        <v>1</v>
      </c>
      <c r="G827" t="n">
        <v>48.9</v>
      </c>
      <c r="H827" t="n">
        <v>13.37</v>
      </c>
      <c r="I827" t="inlineStr">
        <is>
          <t>credit_card</t>
        </is>
      </c>
      <c r="J827" t="n">
        <v>6</v>
      </c>
      <c r="K827" t="inlineStr">
        <is>
          <t>On Time</t>
        </is>
      </c>
      <c r="L827" t="n">
        <v>5</v>
      </c>
      <c r="M827">
        <f>VLOOKUP(D827,State_Lookup!$A$2:$B$28,2,FALSE)</f>
        <v/>
      </c>
    </row>
    <row r="828">
      <c r="A828" t="inlineStr">
        <is>
          <t>9f59586295a7d2e6c788a21e6cf5d8a9</t>
        </is>
      </c>
      <c r="B828" t="inlineStr">
        <is>
          <t>2017-07-13</t>
        </is>
      </c>
      <c r="C828" t="inlineStr">
        <is>
          <t>2017-07</t>
        </is>
      </c>
      <c r="D828" t="inlineStr">
        <is>
          <t>GO</t>
        </is>
      </c>
      <c r="E828" t="inlineStr">
        <is>
          <t>watches_gifts</t>
        </is>
      </c>
      <c r="F828" t="n">
        <v>1</v>
      </c>
      <c r="G828" t="n">
        <v>49</v>
      </c>
      <c r="H828" t="n">
        <v>14.1</v>
      </c>
      <c r="I828" t="inlineStr">
        <is>
          <t>voucher</t>
        </is>
      </c>
      <c r="J828" t="n">
        <v>7</v>
      </c>
      <c r="K828" t="inlineStr">
        <is>
          <t>On Time</t>
        </is>
      </c>
      <c r="L828" t="n">
        <v>5</v>
      </c>
      <c r="M828">
        <f>VLOOKUP(D828,State_Lookup!$A$2:$B$28,2,FALSE)</f>
        <v/>
      </c>
    </row>
    <row r="829">
      <c r="A829" t="inlineStr">
        <is>
          <t>b4860a5b1e68976794cbe548c4ecf0a7</t>
        </is>
      </c>
      <c r="B829" t="inlineStr">
        <is>
          <t>2017-07-13</t>
        </is>
      </c>
      <c r="C829" t="inlineStr">
        <is>
          <t>2017-07</t>
        </is>
      </c>
      <c r="D829" t="inlineStr">
        <is>
          <t>SP</t>
        </is>
      </c>
      <c r="E829" t="inlineStr">
        <is>
          <t>computers_accessories</t>
        </is>
      </c>
      <c r="F829" t="n">
        <v>1</v>
      </c>
      <c r="G829" t="n">
        <v>149</v>
      </c>
      <c r="H829" t="n">
        <v>16.48</v>
      </c>
      <c r="I829" t="inlineStr">
        <is>
          <t>boleto</t>
        </is>
      </c>
      <c r="J829" t="n">
        <v>8</v>
      </c>
      <c r="K829" t="inlineStr">
        <is>
          <t>On Time</t>
        </is>
      </c>
      <c r="L829" t="n">
        <v>4</v>
      </c>
      <c r="M829">
        <f>VLOOKUP(D829,State_Lookup!$A$2:$B$28,2,FALSE)</f>
        <v/>
      </c>
    </row>
    <row r="830">
      <c r="A830" t="inlineStr">
        <is>
          <t>67ff6057a78f38214118680c4a286f2c</t>
        </is>
      </c>
      <c r="B830" t="inlineStr">
        <is>
          <t>2017-07-14</t>
        </is>
      </c>
      <c r="C830" t="inlineStr">
        <is>
          <t>2017-07</t>
        </is>
      </c>
      <c r="D830" t="inlineStr">
        <is>
          <t>SP</t>
        </is>
      </c>
      <c r="E830" t="inlineStr">
        <is>
          <t>luggage_accessories</t>
        </is>
      </c>
      <c r="F830" t="n">
        <v>1</v>
      </c>
      <c r="G830" t="n">
        <v>54.9</v>
      </c>
      <c r="H830" t="n">
        <v>13.4</v>
      </c>
      <c r="I830" t="inlineStr">
        <is>
          <t>boleto</t>
        </is>
      </c>
      <c r="J830" t="n">
        <v>18</v>
      </c>
      <c r="K830" t="inlineStr">
        <is>
          <t>On Time</t>
        </is>
      </c>
      <c r="L830" t="n">
        <v>5</v>
      </c>
      <c r="M830">
        <f>VLOOKUP(D830,State_Lookup!$A$2:$B$28,2,FALSE)</f>
        <v/>
      </c>
    </row>
    <row r="831">
      <c r="A831" t="inlineStr">
        <is>
          <t>261f7ff907490323f35d83f257331429</t>
        </is>
      </c>
      <c r="B831" t="inlineStr">
        <is>
          <t>2017-07-14</t>
        </is>
      </c>
      <c r="C831" t="inlineStr">
        <is>
          <t>2017-07</t>
        </is>
      </c>
      <c r="D831" t="inlineStr">
        <is>
          <t>RJ</t>
        </is>
      </c>
      <c r="E831" t="inlineStr">
        <is>
          <t>bed_bath_table</t>
        </is>
      </c>
      <c r="F831" t="n">
        <v>1</v>
      </c>
      <c r="G831" t="n">
        <v>142</v>
      </c>
      <c r="H831" t="n">
        <v>15.74</v>
      </c>
      <c r="I831" t="inlineStr">
        <is>
          <t>credit_card</t>
        </is>
      </c>
      <c r="J831" t="n">
        <v>12</v>
      </c>
      <c r="K831" t="inlineStr">
        <is>
          <t>On Time</t>
        </is>
      </c>
      <c r="L831" t="n">
        <v>5</v>
      </c>
      <c r="M831">
        <f>VLOOKUP(D831,State_Lookup!$A$2:$B$28,2,FALSE)</f>
        <v/>
      </c>
    </row>
    <row r="832">
      <c r="A832" t="inlineStr">
        <is>
          <t>483911cb189b99a0f8f7278c240c2975</t>
        </is>
      </c>
      <c r="B832" t="inlineStr">
        <is>
          <t>2017-07-14</t>
        </is>
      </c>
      <c r="C832" t="inlineStr">
        <is>
          <t>2017-07</t>
        </is>
      </c>
      <c r="D832" t="inlineStr">
        <is>
          <t>MG</t>
        </is>
      </c>
      <c r="E832" t="inlineStr">
        <is>
          <t>bed_bath_table</t>
        </is>
      </c>
      <c r="F832" t="n">
        <v>1</v>
      </c>
      <c r="G832" t="n">
        <v>29.99</v>
      </c>
      <c r="H832" t="n">
        <v>15.1</v>
      </c>
      <c r="I832" t="inlineStr">
        <is>
          <t>credit_card</t>
        </is>
      </c>
      <c r="J832" t="n">
        <v>16</v>
      </c>
      <c r="K832" t="inlineStr">
        <is>
          <t>On Time</t>
        </is>
      </c>
      <c r="L832" t="n">
        <v>5</v>
      </c>
      <c r="M832">
        <f>VLOOKUP(D832,State_Lookup!$A$2:$B$28,2,FALSE)</f>
        <v/>
      </c>
    </row>
    <row r="833">
      <c r="A833" t="inlineStr">
        <is>
          <t>d4f742f7a223add48641c06ac0b96a25</t>
        </is>
      </c>
      <c r="B833" t="inlineStr">
        <is>
          <t>2017-07-14</t>
        </is>
      </c>
      <c r="C833" t="inlineStr">
        <is>
          <t>2017-07</t>
        </is>
      </c>
      <c r="D833" t="inlineStr">
        <is>
          <t>SP</t>
        </is>
      </c>
      <c r="E833" t="inlineStr">
        <is>
          <t>home_confort</t>
        </is>
      </c>
      <c r="F833" t="n">
        <v>1</v>
      </c>
      <c r="G833" t="n">
        <v>229</v>
      </c>
      <c r="H833" t="n">
        <v>17.23</v>
      </c>
      <c r="I833" t="inlineStr">
        <is>
          <t>boleto</t>
        </is>
      </c>
      <c r="J833" t="n">
        <v>9</v>
      </c>
      <c r="K833" t="inlineStr">
        <is>
          <t>On Time</t>
        </is>
      </c>
      <c r="L833" t="n">
        <v>1</v>
      </c>
      <c r="M833">
        <f>VLOOKUP(D833,State_Lookup!$A$2:$B$28,2,FALSE)</f>
        <v/>
      </c>
    </row>
    <row r="834">
      <c r="A834" t="inlineStr">
        <is>
          <t>35a3fda780d64bcef27e2922fe37b24d</t>
        </is>
      </c>
      <c r="B834" t="inlineStr">
        <is>
          <t>2017-07-15</t>
        </is>
      </c>
      <c r="C834" t="inlineStr">
        <is>
          <t>2017-07</t>
        </is>
      </c>
      <c r="D834" t="inlineStr">
        <is>
          <t>BA</t>
        </is>
      </c>
      <c r="E834" t="inlineStr">
        <is>
          <t>watches_gifts</t>
        </is>
      </c>
      <c r="F834" t="n">
        <v>1</v>
      </c>
      <c r="G834" t="n">
        <v>49</v>
      </c>
      <c r="H834" t="n">
        <v>16.79</v>
      </c>
      <c r="I834" t="inlineStr">
        <is>
          <t>credit_card</t>
        </is>
      </c>
      <c r="J834" t="n">
        <v>16</v>
      </c>
      <c r="K834" t="inlineStr">
        <is>
          <t>On Time</t>
        </is>
      </c>
      <c r="L834" t="n">
        <v>5</v>
      </c>
      <c r="M834">
        <f>VLOOKUP(D834,State_Lookup!$A$2:$B$28,2,FALSE)</f>
        <v/>
      </c>
    </row>
    <row r="835">
      <c r="A835" t="inlineStr">
        <is>
          <t>7cc511af09f6c0b54385d08aaca28680</t>
        </is>
      </c>
      <c r="B835" t="inlineStr">
        <is>
          <t>2017-07-15</t>
        </is>
      </c>
      <c r="C835" t="inlineStr">
        <is>
          <t>2017-07</t>
        </is>
      </c>
      <c r="D835" t="inlineStr">
        <is>
          <t>SP</t>
        </is>
      </c>
      <c r="E835" t="inlineStr">
        <is>
          <t>health_beauty</t>
        </is>
      </c>
      <c r="F835" t="n">
        <v>1</v>
      </c>
      <c r="G835" t="n">
        <v>31.99</v>
      </c>
      <c r="H835" t="n">
        <v>11.85</v>
      </c>
      <c r="I835" t="inlineStr">
        <is>
          <t>voucher</t>
        </is>
      </c>
      <c r="J835" t="n">
        <v>10</v>
      </c>
      <c r="K835" t="inlineStr">
        <is>
          <t>On Time</t>
        </is>
      </c>
      <c r="L835" t="n">
        <v>5</v>
      </c>
      <c r="M835">
        <f>VLOOKUP(D835,State_Lookup!$A$2:$B$28,2,FALSE)</f>
        <v/>
      </c>
    </row>
    <row r="836">
      <c r="A836" t="inlineStr">
        <is>
          <t>ab6ccded40dba2056dfa826368b5adf3</t>
        </is>
      </c>
      <c r="B836" t="inlineStr">
        <is>
          <t>2017-07-15</t>
        </is>
      </c>
      <c r="C836" t="inlineStr">
        <is>
          <t>2017-07</t>
        </is>
      </c>
      <c r="D836" t="inlineStr">
        <is>
          <t>SP</t>
        </is>
      </c>
      <c r="E836" t="inlineStr">
        <is>
          <t>bed_bath_table</t>
        </is>
      </c>
      <c r="F836" t="n">
        <v>1</v>
      </c>
      <c r="G836" t="n">
        <v>22.9</v>
      </c>
      <c r="H836" t="n">
        <v>11.85</v>
      </c>
      <c r="I836" t="inlineStr">
        <is>
          <t>boleto</t>
        </is>
      </c>
      <c r="J836" t="n">
        <v>12</v>
      </c>
      <c r="K836" t="inlineStr">
        <is>
          <t>On Time</t>
        </is>
      </c>
      <c r="L836" t="n">
        <v>4</v>
      </c>
      <c r="M836">
        <f>VLOOKUP(D836,State_Lookup!$A$2:$B$28,2,FALSE)</f>
        <v/>
      </c>
    </row>
    <row r="837">
      <c r="A837" t="inlineStr">
        <is>
          <t>87a7993a41d542a5b33757b3a453efb0</t>
        </is>
      </c>
      <c r="B837" t="inlineStr">
        <is>
          <t>2017-07-15</t>
        </is>
      </c>
      <c r="C837" t="inlineStr">
        <is>
          <t>2017-07</t>
        </is>
      </c>
      <c r="D837" t="inlineStr">
        <is>
          <t>RS</t>
        </is>
      </c>
      <c r="E837" t="inlineStr">
        <is>
          <t>perfumery</t>
        </is>
      </c>
      <c r="F837" t="n">
        <v>1</v>
      </c>
      <c r="G837" t="n">
        <v>56.99</v>
      </c>
      <c r="H837" t="n">
        <v>15.15</v>
      </c>
      <c r="I837" t="inlineStr">
        <is>
          <t>boleto</t>
        </is>
      </c>
      <c r="J837" t="n">
        <v>13</v>
      </c>
      <c r="K837" t="inlineStr">
        <is>
          <t>On Time</t>
        </is>
      </c>
      <c r="L837" t="n">
        <v>5</v>
      </c>
      <c r="M837">
        <f>VLOOKUP(D837,State_Lookup!$A$2:$B$28,2,FALSE)</f>
        <v/>
      </c>
    </row>
    <row r="838">
      <c r="A838" t="inlineStr">
        <is>
          <t>19b9083421d73aac95bbafa1972dbc45</t>
        </is>
      </c>
      <c r="B838" t="inlineStr">
        <is>
          <t>2017-07-15</t>
        </is>
      </c>
      <c r="C838" t="inlineStr">
        <is>
          <t>2017-07</t>
        </is>
      </c>
      <c r="D838" t="inlineStr">
        <is>
          <t>SP</t>
        </is>
      </c>
      <c r="E838" t="inlineStr">
        <is>
          <t>housewares</t>
        </is>
      </c>
      <c r="F838" t="n">
        <v>1</v>
      </c>
      <c r="G838" t="n">
        <v>26</v>
      </c>
      <c r="H838" t="n">
        <v>8.27</v>
      </c>
      <c r="I838" t="inlineStr">
        <is>
          <t>credit_card</t>
        </is>
      </c>
      <c r="J838" t="n">
        <v>2</v>
      </c>
      <c r="K838" t="inlineStr">
        <is>
          <t>On Time</t>
        </is>
      </c>
      <c r="L838" t="n">
        <v>4</v>
      </c>
      <c r="M838">
        <f>VLOOKUP(D838,State_Lookup!$A$2:$B$28,2,FALSE)</f>
        <v/>
      </c>
    </row>
    <row r="839">
      <c r="A839" t="inlineStr">
        <is>
          <t>ee4d37f7666f4649a942fad1192bb2f4</t>
        </is>
      </c>
      <c r="B839" t="inlineStr">
        <is>
          <t>2017-07-16</t>
        </is>
      </c>
      <c r="C839" t="inlineStr">
        <is>
          <t>2017-07</t>
        </is>
      </c>
      <c r="D839" t="inlineStr">
        <is>
          <t>DF</t>
        </is>
      </c>
      <c r="E839" t="inlineStr">
        <is>
          <t>watches_gifts</t>
        </is>
      </c>
      <c r="F839" t="n">
        <v>1</v>
      </c>
      <c r="G839" t="n">
        <v>248</v>
      </c>
      <c r="H839" t="n">
        <v>19.02</v>
      </c>
      <c r="I839" t="inlineStr">
        <is>
          <t>credit_card</t>
        </is>
      </c>
      <c r="J839" t="n">
        <v>8</v>
      </c>
      <c r="K839" t="inlineStr">
        <is>
          <t>On Time</t>
        </is>
      </c>
      <c r="L839" t="n">
        <v>5</v>
      </c>
      <c r="M839">
        <f>VLOOKUP(D839,State_Lookup!$A$2:$B$28,2,FALSE)</f>
        <v/>
      </c>
    </row>
    <row r="840">
      <c r="A840" t="inlineStr">
        <is>
          <t>1d24b01e4ad4214409a4cfea16ab3000</t>
        </is>
      </c>
      <c r="B840" t="inlineStr">
        <is>
          <t>2017-07-16</t>
        </is>
      </c>
      <c r="C840" t="inlineStr">
        <is>
          <t>2017-07</t>
        </is>
      </c>
      <c r="D840" t="inlineStr">
        <is>
          <t>SP</t>
        </is>
      </c>
      <c r="E840" t="inlineStr">
        <is>
          <t>bed_bath_table</t>
        </is>
      </c>
      <c r="F840" t="n">
        <v>1</v>
      </c>
      <c r="G840" t="n">
        <v>70.73999999999999</v>
      </c>
      <c r="H840" t="n">
        <v>12.84</v>
      </c>
      <c r="I840" t="inlineStr">
        <is>
          <t>credit_card</t>
        </is>
      </c>
      <c r="J840" t="n">
        <v>8</v>
      </c>
      <c r="K840" t="inlineStr">
        <is>
          <t>On Time</t>
        </is>
      </c>
      <c r="L840" t="n">
        <v>2</v>
      </c>
      <c r="M840">
        <f>VLOOKUP(D840,State_Lookup!$A$2:$B$28,2,FALSE)</f>
        <v/>
      </c>
    </row>
    <row r="841">
      <c r="A841" t="inlineStr">
        <is>
          <t>06a6627d9cc91a04e9d146bf65fee0a2</t>
        </is>
      </c>
      <c r="B841" t="inlineStr">
        <is>
          <t>2017-07-16</t>
        </is>
      </c>
      <c r="C841" t="inlineStr">
        <is>
          <t>2017-07</t>
        </is>
      </c>
      <c r="D841" t="inlineStr">
        <is>
          <t>SP</t>
        </is>
      </c>
      <c r="E841" t="inlineStr">
        <is>
          <t>bed_bath_table</t>
        </is>
      </c>
      <c r="F841" t="n">
        <v>1</v>
      </c>
      <c r="G841" t="n">
        <v>99.90000000000001</v>
      </c>
      <c r="H841" t="n">
        <v>13.72</v>
      </c>
      <c r="I841" t="inlineStr">
        <is>
          <t>credit_card</t>
        </is>
      </c>
      <c r="J841" t="n">
        <v>5</v>
      </c>
      <c r="K841" t="inlineStr">
        <is>
          <t>On Time</t>
        </is>
      </c>
      <c r="L841" t="n">
        <v>4</v>
      </c>
      <c r="M841">
        <f>VLOOKUP(D841,State_Lookup!$A$2:$B$28,2,FALSE)</f>
        <v/>
      </c>
    </row>
    <row r="842">
      <c r="A842" t="inlineStr">
        <is>
          <t>ec75a563a9c1e88a534f34f1280b0c8b</t>
        </is>
      </c>
      <c r="B842" t="inlineStr">
        <is>
          <t>2017-07-16</t>
        </is>
      </c>
      <c r="C842" t="inlineStr">
        <is>
          <t>2017-07</t>
        </is>
      </c>
      <c r="D842" t="inlineStr">
        <is>
          <t>SP</t>
        </is>
      </c>
      <c r="E842" t="inlineStr">
        <is>
          <t>furniture_decor</t>
        </is>
      </c>
      <c r="F842" t="n">
        <v>1</v>
      </c>
      <c r="G842" t="n">
        <v>45.9</v>
      </c>
      <c r="H842" t="n">
        <v>12.69</v>
      </c>
      <c r="I842" t="inlineStr">
        <is>
          <t>boleto</t>
        </is>
      </c>
      <c r="J842" t="n">
        <v>8</v>
      </c>
      <c r="K842" t="inlineStr">
        <is>
          <t>On Time</t>
        </is>
      </c>
      <c r="L842" t="n">
        <v>5</v>
      </c>
      <c r="M842">
        <f>VLOOKUP(D842,State_Lookup!$A$2:$B$28,2,FALSE)</f>
        <v/>
      </c>
    </row>
    <row r="843">
      <c r="A843" t="inlineStr">
        <is>
          <t>2721cdbb603d7ab34553d2e44a6f9ae0</t>
        </is>
      </c>
      <c r="B843" t="inlineStr">
        <is>
          <t>2017-07-16</t>
        </is>
      </c>
      <c r="C843" t="inlineStr">
        <is>
          <t>2017-07</t>
        </is>
      </c>
      <c r="D843" t="inlineStr">
        <is>
          <t>MG</t>
        </is>
      </c>
      <c r="E843" t="inlineStr">
        <is>
          <t>computers_accessories</t>
        </is>
      </c>
      <c r="F843" t="n">
        <v>1</v>
      </c>
      <c r="G843" t="n">
        <v>89</v>
      </c>
      <c r="H843" t="n">
        <v>15.37</v>
      </c>
      <c r="I843" t="inlineStr">
        <is>
          <t>boleto</t>
        </is>
      </c>
      <c r="J843" t="n">
        <v>8</v>
      </c>
      <c r="K843" t="inlineStr">
        <is>
          <t>On Time</t>
        </is>
      </c>
      <c r="L843" t="n">
        <v>2</v>
      </c>
      <c r="M843">
        <f>VLOOKUP(D843,State_Lookup!$A$2:$B$28,2,FALSE)</f>
        <v/>
      </c>
    </row>
    <row r="844">
      <c r="A844" t="inlineStr">
        <is>
          <t>b40cc33d658c4e802526de2bf8a56d43</t>
        </is>
      </c>
      <c r="B844" t="inlineStr">
        <is>
          <t>2017-07-17</t>
        </is>
      </c>
      <c r="C844" t="inlineStr">
        <is>
          <t>2017-07</t>
        </is>
      </c>
      <c r="D844" t="inlineStr">
        <is>
          <t>RJ</t>
        </is>
      </c>
      <c r="E844" t="inlineStr">
        <is>
          <t>housewares</t>
        </is>
      </c>
      <c r="F844" t="n">
        <v>1</v>
      </c>
      <c r="G844" t="n">
        <v>23.9</v>
      </c>
      <c r="H844" t="n">
        <v>15.11</v>
      </c>
      <c r="I844" t="inlineStr">
        <is>
          <t>boleto</t>
        </is>
      </c>
      <c r="J844" t="n">
        <v>11</v>
      </c>
      <c r="K844" t="inlineStr">
        <is>
          <t>On Time</t>
        </is>
      </c>
      <c r="L844" t="n">
        <v>2</v>
      </c>
      <c r="M844">
        <f>VLOOKUP(D844,State_Lookup!$A$2:$B$28,2,FALSE)</f>
        <v/>
      </c>
    </row>
    <row r="845">
      <c r="A845" t="inlineStr">
        <is>
          <t>79c6130ca63ec6a1dfbf2b33fa9a87c6</t>
        </is>
      </c>
      <c r="B845" t="inlineStr">
        <is>
          <t>2017-07-17</t>
        </is>
      </c>
      <c r="C845" t="inlineStr">
        <is>
          <t>2017-07</t>
        </is>
      </c>
      <c r="D845" t="inlineStr">
        <is>
          <t>SC</t>
        </is>
      </c>
      <c r="E845" t="inlineStr">
        <is>
          <t>health_beauty</t>
        </is>
      </c>
      <c r="F845" t="n">
        <v>1</v>
      </c>
      <c r="G845" t="n">
        <v>49.99</v>
      </c>
      <c r="H845" t="n">
        <v>15.1</v>
      </c>
      <c r="I845" t="inlineStr">
        <is>
          <t>credit_card</t>
        </is>
      </c>
      <c r="J845" t="n">
        <v>8</v>
      </c>
      <c r="K845" t="inlineStr">
        <is>
          <t>On Time</t>
        </is>
      </c>
      <c r="L845" t="n">
        <v>5</v>
      </c>
      <c r="M845">
        <f>VLOOKUP(D845,State_Lookup!$A$2:$B$28,2,FALSE)</f>
        <v/>
      </c>
    </row>
    <row r="846">
      <c r="A846" t="inlineStr">
        <is>
          <t>969845b1c24ed7c5f3d07b64667967f8</t>
        </is>
      </c>
      <c r="B846" t="inlineStr">
        <is>
          <t>2017-07-17</t>
        </is>
      </c>
      <c r="C846" t="inlineStr">
        <is>
          <t>2017-07</t>
        </is>
      </c>
      <c r="D846" t="inlineStr">
        <is>
          <t>SP</t>
        </is>
      </c>
      <c r="E846" t="inlineStr">
        <is>
          <t>bed_bath_table</t>
        </is>
      </c>
      <c r="F846" t="n">
        <v>1</v>
      </c>
      <c r="G846" t="n">
        <v>105.9</v>
      </c>
      <c r="H846" t="n">
        <v>13.76</v>
      </c>
      <c r="I846" t="inlineStr">
        <is>
          <t>credit_card</t>
        </is>
      </c>
      <c r="J846" t="n">
        <v>7</v>
      </c>
      <c r="K846" t="inlineStr">
        <is>
          <t>On Time</t>
        </is>
      </c>
      <c r="L846" t="n">
        <v>4</v>
      </c>
      <c r="M846">
        <f>VLOOKUP(D846,State_Lookup!$A$2:$B$28,2,FALSE)</f>
        <v/>
      </c>
    </row>
    <row r="847">
      <c r="A847" t="inlineStr">
        <is>
          <t>dfc5a5525471e9341af3ad103adbef79</t>
        </is>
      </c>
      <c r="B847" t="inlineStr">
        <is>
          <t>2017-07-17</t>
        </is>
      </c>
      <c r="C847" t="inlineStr">
        <is>
          <t>2017-07</t>
        </is>
      </c>
      <c r="D847" t="inlineStr">
        <is>
          <t>SC</t>
        </is>
      </c>
      <c r="E847" t="inlineStr">
        <is>
          <t>sports_leisure</t>
        </is>
      </c>
      <c r="F847" t="n">
        <v>1</v>
      </c>
      <c r="G847" t="n">
        <v>128.9</v>
      </c>
      <c r="H847" t="n">
        <v>20.14</v>
      </c>
      <c r="I847" t="inlineStr">
        <is>
          <t>boleto</t>
        </is>
      </c>
      <c r="J847" t="n">
        <v>15</v>
      </c>
      <c r="K847" t="inlineStr">
        <is>
          <t>On Time</t>
        </is>
      </c>
      <c r="L847" t="n">
        <v>4</v>
      </c>
      <c r="M847">
        <f>VLOOKUP(D847,State_Lookup!$A$2:$B$28,2,FALSE)</f>
        <v/>
      </c>
    </row>
    <row r="848">
      <c r="A848" t="inlineStr">
        <is>
          <t>2d5b43766328f55157cae1e85e1dd475</t>
        </is>
      </c>
      <c r="B848" t="inlineStr">
        <is>
          <t>2017-07-17</t>
        </is>
      </c>
      <c r="C848" t="inlineStr">
        <is>
          <t>2017-07</t>
        </is>
      </c>
      <c r="D848" t="inlineStr">
        <is>
          <t>MG</t>
        </is>
      </c>
      <c r="E848" t="inlineStr">
        <is>
          <t>telephony</t>
        </is>
      </c>
      <c r="F848" t="n">
        <v>1</v>
      </c>
      <c r="G848" t="n">
        <v>45</v>
      </c>
      <c r="H848" t="n">
        <v>11.85</v>
      </c>
      <c r="I848" t="inlineStr">
        <is>
          <t>credit_card</t>
        </is>
      </c>
      <c r="J848" t="n">
        <v>10</v>
      </c>
      <c r="K848" t="inlineStr">
        <is>
          <t>On Time</t>
        </is>
      </c>
      <c r="L848" t="n">
        <v>4</v>
      </c>
      <c r="M848">
        <f>VLOOKUP(D848,State_Lookup!$A$2:$B$28,2,FALSE)</f>
        <v/>
      </c>
    </row>
    <row r="849">
      <c r="A849" t="inlineStr">
        <is>
          <t>090df55d4945ec96f88731875465407d</t>
        </is>
      </c>
      <c r="B849" t="inlineStr">
        <is>
          <t>2017-07-17</t>
        </is>
      </c>
      <c r="C849" t="inlineStr">
        <is>
          <t>2017-07</t>
        </is>
      </c>
      <c r="D849" t="inlineStr">
        <is>
          <t>SP</t>
        </is>
      </c>
      <c r="E849" t="inlineStr">
        <is>
          <t>garden_tools</t>
        </is>
      </c>
      <c r="F849" t="n">
        <v>1</v>
      </c>
      <c r="G849" t="n">
        <v>59.9</v>
      </c>
      <c r="H849" t="n">
        <v>13.44</v>
      </c>
      <c r="I849" t="inlineStr">
        <is>
          <t>credit_card</t>
        </is>
      </c>
      <c r="J849" t="n">
        <v>8</v>
      </c>
      <c r="K849" t="inlineStr">
        <is>
          <t>On Time</t>
        </is>
      </c>
      <c r="L849" t="n">
        <v>4</v>
      </c>
      <c r="M849">
        <f>VLOOKUP(D849,State_Lookup!$A$2:$B$28,2,FALSE)</f>
        <v/>
      </c>
    </row>
    <row r="850">
      <c r="A850" t="inlineStr">
        <is>
          <t>3eb78d52f39f1e6f40814845897b7453</t>
        </is>
      </c>
      <c r="B850" t="inlineStr">
        <is>
          <t>2017-07-17</t>
        </is>
      </c>
      <c r="C850" t="inlineStr">
        <is>
          <t>2017-07</t>
        </is>
      </c>
      <c r="D850" t="inlineStr">
        <is>
          <t>RJ</t>
        </is>
      </c>
      <c r="E850" t="inlineStr">
        <is>
          <t>unknown</t>
        </is>
      </c>
      <c r="F850" t="n">
        <v>1</v>
      </c>
      <c r="G850" t="n">
        <v>34.9</v>
      </c>
      <c r="H850" t="n">
        <v>14.1</v>
      </c>
      <c r="I850" t="inlineStr">
        <is>
          <t>credit_card</t>
        </is>
      </c>
      <c r="J850" t="n">
        <v>8</v>
      </c>
      <c r="K850" t="inlineStr">
        <is>
          <t>On Time</t>
        </is>
      </c>
      <c r="L850" t="n">
        <v>5</v>
      </c>
      <c r="M850">
        <f>VLOOKUP(D850,State_Lookup!$A$2:$B$28,2,FALSE)</f>
        <v/>
      </c>
    </row>
    <row r="851">
      <c r="A851" t="inlineStr">
        <is>
          <t>b124d85cd6e55467812fa1bab3dce946</t>
        </is>
      </c>
      <c r="B851" t="inlineStr">
        <is>
          <t>2017-07-17</t>
        </is>
      </c>
      <c r="C851" t="inlineStr">
        <is>
          <t>2017-07</t>
        </is>
      </c>
      <c r="D851" t="inlineStr">
        <is>
          <t>SP</t>
        </is>
      </c>
      <c r="E851" t="inlineStr">
        <is>
          <t>perfumery</t>
        </is>
      </c>
      <c r="F851" t="n">
        <v>1</v>
      </c>
      <c r="G851" t="n">
        <v>56.99</v>
      </c>
      <c r="H851" t="n">
        <v>7.78</v>
      </c>
      <c r="I851" t="inlineStr">
        <is>
          <t>credit_card</t>
        </is>
      </c>
      <c r="J851" t="n">
        <v>3</v>
      </c>
      <c r="K851" t="inlineStr">
        <is>
          <t>On Time</t>
        </is>
      </c>
      <c r="L851" t="n">
        <v>5</v>
      </c>
      <c r="M851">
        <f>VLOOKUP(D851,State_Lookup!$A$2:$B$28,2,FALSE)</f>
        <v/>
      </c>
    </row>
    <row r="852">
      <c r="A852" t="inlineStr">
        <is>
          <t>d2545da4dd93f38a15c5babeef77209e</t>
        </is>
      </c>
      <c r="B852" t="inlineStr">
        <is>
          <t>2017-07-18</t>
        </is>
      </c>
      <c r="C852" t="inlineStr">
        <is>
          <t>2017-07</t>
        </is>
      </c>
      <c r="D852" t="inlineStr">
        <is>
          <t>AL</t>
        </is>
      </c>
      <c r="E852" t="inlineStr">
        <is>
          <t>toys</t>
        </is>
      </c>
      <c r="F852" t="n">
        <v>1</v>
      </c>
      <c r="G852" t="n">
        <v>113.9</v>
      </c>
      <c r="H852" t="n">
        <v>38.35</v>
      </c>
      <c r="I852" t="inlineStr">
        <is>
          <t>credit_card</t>
        </is>
      </c>
      <c r="J852" t="n">
        <v>22</v>
      </c>
      <c r="K852" t="inlineStr">
        <is>
          <t>On Time</t>
        </is>
      </c>
      <c r="L852" t="n">
        <v>5</v>
      </c>
      <c r="M852">
        <f>VLOOKUP(D852,State_Lookup!$A$2:$B$28,2,FALSE)</f>
        <v/>
      </c>
    </row>
    <row r="853">
      <c r="A853" t="inlineStr">
        <is>
          <t>9dc7932b1c116c2d56c1a2c52442d0cb</t>
        </is>
      </c>
      <c r="B853" t="inlineStr">
        <is>
          <t>2017-07-18</t>
        </is>
      </c>
      <c r="C853" t="inlineStr">
        <is>
          <t>2017-07</t>
        </is>
      </c>
      <c r="D853" t="inlineStr">
        <is>
          <t>DF</t>
        </is>
      </c>
      <c r="E853" t="inlineStr">
        <is>
          <t>garden_tools</t>
        </is>
      </c>
      <c r="F853" t="n">
        <v>1</v>
      </c>
      <c r="G853" t="n">
        <v>552.5</v>
      </c>
      <c r="H853" t="n">
        <v>21.12</v>
      </c>
      <c r="I853" t="inlineStr">
        <is>
          <t>credit_card</t>
        </is>
      </c>
      <c r="J853" t="n">
        <v>13</v>
      </c>
      <c r="K853" t="inlineStr">
        <is>
          <t>On Time</t>
        </is>
      </c>
      <c r="L853" t="n">
        <v>5</v>
      </c>
      <c r="M853">
        <f>VLOOKUP(D853,State_Lookup!$A$2:$B$28,2,FALSE)</f>
        <v/>
      </c>
    </row>
    <row r="854">
      <c r="A854" t="inlineStr">
        <is>
          <t>cae1cef56202db2581379f836268bfda</t>
        </is>
      </c>
      <c r="B854" t="inlineStr">
        <is>
          <t>2017-07-18</t>
        </is>
      </c>
      <c r="C854" t="inlineStr">
        <is>
          <t>2017-07</t>
        </is>
      </c>
      <c r="D854" t="inlineStr">
        <is>
          <t>SP</t>
        </is>
      </c>
      <c r="E854" t="inlineStr">
        <is>
          <t>small_appliances</t>
        </is>
      </c>
      <c r="F854" t="n">
        <v>1</v>
      </c>
      <c r="G854" t="n">
        <v>16.99</v>
      </c>
      <c r="H854" t="n">
        <v>15.1</v>
      </c>
      <c r="I854" t="inlineStr">
        <is>
          <t>boleto</t>
        </is>
      </c>
      <c r="J854" t="n">
        <v>14</v>
      </c>
      <c r="K854" t="inlineStr">
        <is>
          <t>On Time</t>
        </is>
      </c>
      <c r="L854" t="n">
        <v>5</v>
      </c>
      <c r="M854">
        <f>VLOOKUP(D854,State_Lookup!$A$2:$B$28,2,FALSE)</f>
        <v/>
      </c>
    </row>
    <row r="855">
      <c r="A855" t="inlineStr">
        <is>
          <t>76d4ae1832cf14e630c878e83e011442</t>
        </is>
      </c>
      <c r="B855" t="inlineStr">
        <is>
          <t>2017-07-18</t>
        </is>
      </c>
      <c r="C855" t="inlineStr">
        <is>
          <t>2017-07</t>
        </is>
      </c>
      <c r="D855" t="inlineStr">
        <is>
          <t>SP</t>
        </is>
      </c>
      <c r="E855" t="inlineStr">
        <is>
          <t>furniture_decor</t>
        </is>
      </c>
      <c r="F855" t="n">
        <v>1</v>
      </c>
      <c r="G855" t="n">
        <v>44.55</v>
      </c>
      <c r="H855" t="n">
        <v>12.69</v>
      </c>
      <c r="I855" t="inlineStr">
        <is>
          <t>credit_card</t>
        </is>
      </c>
      <c r="J855" t="n">
        <v>10</v>
      </c>
      <c r="K855" t="inlineStr">
        <is>
          <t>On Time</t>
        </is>
      </c>
      <c r="L855" t="n">
        <v>5</v>
      </c>
      <c r="M855">
        <f>VLOOKUP(D855,State_Lookup!$A$2:$B$28,2,FALSE)</f>
        <v/>
      </c>
    </row>
    <row r="856">
      <c r="A856" t="inlineStr">
        <is>
          <t>66dd11eed8eb0d72f0acf755122c4a13</t>
        </is>
      </c>
      <c r="B856" t="inlineStr">
        <is>
          <t>2017-07-18</t>
        </is>
      </c>
      <c r="C856" t="inlineStr">
        <is>
          <t>2017-07</t>
        </is>
      </c>
      <c r="D856" t="inlineStr">
        <is>
          <t>PI</t>
        </is>
      </c>
      <c r="E856" t="inlineStr">
        <is>
          <t>toys</t>
        </is>
      </c>
      <c r="F856" t="n">
        <v>1</v>
      </c>
      <c r="G856" t="n">
        <v>77.8</v>
      </c>
      <c r="H856" t="n">
        <v>38.09</v>
      </c>
      <c r="I856" t="inlineStr">
        <is>
          <t>credit_card</t>
        </is>
      </c>
      <c r="J856" t="n">
        <v>10</v>
      </c>
      <c r="K856" t="inlineStr">
        <is>
          <t>On Time</t>
        </is>
      </c>
      <c r="L856" t="n">
        <v>5</v>
      </c>
      <c r="M856">
        <f>VLOOKUP(D856,State_Lookup!$A$2:$B$28,2,FALSE)</f>
        <v/>
      </c>
    </row>
    <row r="857">
      <c r="A857" t="inlineStr">
        <is>
          <t>c63112181863ee049837cf2a0ecbfab7</t>
        </is>
      </c>
      <c r="B857" t="inlineStr">
        <is>
          <t>2017-07-19</t>
        </is>
      </c>
      <c r="C857" t="inlineStr">
        <is>
          <t>2017-07</t>
        </is>
      </c>
      <c r="D857" t="inlineStr">
        <is>
          <t>SP</t>
        </is>
      </c>
      <c r="E857" t="inlineStr">
        <is>
          <t>bed_bath_table</t>
        </is>
      </c>
      <c r="F857" t="n">
        <v>1</v>
      </c>
      <c r="G857" t="n">
        <v>205</v>
      </c>
      <c r="H857" t="n">
        <v>15.04</v>
      </c>
      <c r="I857" t="inlineStr">
        <is>
          <t>credit_card</t>
        </is>
      </c>
      <c r="J857" t="n">
        <v>8</v>
      </c>
      <c r="K857" t="inlineStr">
        <is>
          <t>On Time</t>
        </is>
      </c>
      <c r="L857" t="n">
        <v>3</v>
      </c>
      <c r="M857">
        <f>VLOOKUP(D857,State_Lookup!$A$2:$B$28,2,FALSE)</f>
        <v/>
      </c>
    </row>
    <row r="858">
      <c r="A858" t="inlineStr">
        <is>
          <t>d6f69373bd8e19dddb4c20e6d01ea72e</t>
        </is>
      </c>
      <c r="B858" t="inlineStr">
        <is>
          <t>2017-07-19</t>
        </is>
      </c>
      <c r="C858" t="inlineStr">
        <is>
          <t>2017-07</t>
        </is>
      </c>
      <c r="D858" t="inlineStr">
        <is>
          <t>MG</t>
        </is>
      </c>
      <c r="E858" t="inlineStr">
        <is>
          <t>housewares</t>
        </is>
      </c>
      <c r="F858" t="n">
        <v>1</v>
      </c>
      <c r="G858" t="n">
        <v>52.9</v>
      </c>
      <c r="H858" t="n">
        <v>15.12</v>
      </c>
      <c r="I858" t="inlineStr">
        <is>
          <t>credit_card</t>
        </is>
      </c>
      <c r="J858" t="n">
        <v>18</v>
      </c>
      <c r="K858" t="inlineStr">
        <is>
          <t>On Time</t>
        </is>
      </c>
      <c r="L858" t="n">
        <v>5</v>
      </c>
      <c r="M858">
        <f>VLOOKUP(D858,State_Lookup!$A$2:$B$28,2,FALSE)</f>
        <v/>
      </c>
    </row>
    <row r="859">
      <c r="A859" t="inlineStr">
        <is>
          <t>69a2a91fc2f5cf8fd09cf5e9ed2b56ff</t>
        </is>
      </c>
      <c r="B859" t="inlineStr">
        <is>
          <t>2017-07-19</t>
        </is>
      </c>
      <c r="C859" t="inlineStr">
        <is>
          <t>2017-07</t>
        </is>
      </c>
      <c r="D859" t="inlineStr">
        <is>
          <t>SP</t>
        </is>
      </c>
      <c r="E859" t="inlineStr">
        <is>
          <t>garden_tools</t>
        </is>
      </c>
      <c r="F859" t="n">
        <v>1</v>
      </c>
      <c r="G859" t="n">
        <v>65.7</v>
      </c>
      <c r="H859" t="n">
        <v>7.78</v>
      </c>
      <c r="I859" t="inlineStr">
        <is>
          <t>credit_card</t>
        </is>
      </c>
      <c r="J859" t="n">
        <v>1</v>
      </c>
      <c r="K859" t="inlineStr">
        <is>
          <t>On Time</t>
        </is>
      </c>
      <c r="L859" t="n">
        <v>5</v>
      </c>
      <c r="M859">
        <f>VLOOKUP(D859,State_Lookup!$A$2:$B$28,2,FALSE)</f>
        <v/>
      </c>
    </row>
    <row r="860">
      <c r="A860" t="inlineStr">
        <is>
          <t>f8207caf0d0b8d07ebb64c397a72793a</t>
        </is>
      </c>
      <c r="B860" t="inlineStr">
        <is>
          <t>2017-07-19</t>
        </is>
      </c>
      <c r="C860" t="inlineStr">
        <is>
          <t>2017-07</t>
        </is>
      </c>
      <c r="D860" t="inlineStr">
        <is>
          <t>SP</t>
        </is>
      </c>
      <c r="E860" t="inlineStr">
        <is>
          <t>health_beauty</t>
        </is>
      </c>
      <c r="F860" t="n">
        <v>1</v>
      </c>
      <c r="G860" t="n">
        <v>203.6</v>
      </c>
      <c r="H860" t="n">
        <v>12.63</v>
      </c>
      <c r="I860" t="inlineStr">
        <is>
          <t>boleto</t>
        </is>
      </c>
      <c r="J860" t="n">
        <v>3</v>
      </c>
      <c r="K860" t="inlineStr">
        <is>
          <t>On Time</t>
        </is>
      </c>
      <c r="L860" t="n">
        <v>5</v>
      </c>
      <c r="M860">
        <f>VLOOKUP(D860,State_Lookup!$A$2:$B$28,2,FALSE)</f>
        <v/>
      </c>
    </row>
    <row r="861">
      <c r="A861" t="inlineStr">
        <is>
          <t>ee76c8b8bd42ca7913d033a9dea1383f</t>
        </is>
      </c>
      <c r="B861" t="inlineStr">
        <is>
          <t>2017-07-20</t>
        </is>
      </c>
      <c r="C861" t="inlineStr">
        <is>
          <t>2017-07</t>
        </is>
      </c>
      <c r="D861" t="inlineStr">
        <is>
          <t>GO</t>
        </is>
      </c>
      <c r="E861" t="inlineStr">
        <is>
          <t>bed_bath_table</t>
        </is>
      </c>
      <c r="F861" t="n">
        <v>1</v>
      </c>
      <c r="G861" t="n">
        <v>205</v>
      </c>
      <c r="H861" t="n">
        <v>26.27</v>
      </c>
      <c r="I861" t="inlineStr">
        <is>
          <t>credit_card</t>
        </is>
      </c>
      <c r="J861" t="n">
        <v>14</v>
      </c>
      <c r="K861" t="inlineStr">
        <is>
          <t>On Time</t>
        </is>
      </c>
      <c r="L861" t="n">
        <v>3</v>
      </c>
      <c r="M861">
        <f>VLOOKUP(D861,State_Lookup!$A$2:$B$28,2,FALSE)</f>
        <v/>
      </c>
    </row>
    <row r="862">
      <c r="A862" t="inlineStr">
        <is>
          <t>7d4101163410b1380268da3933e691f1</t>
        </is>
      </c>
      <c r="B862" t="inlineStr">
        <is>
          <t>2017-07-20</t>
        </is>
      </c>
      <c r="C862" t="inlineStr">
        <is>
          <t>2017-07</t>
        </is>
      </c>
      <c r="D862" t="inlineStr">
        <is>
          <t>BA</t>
        </is>
      </c>
      <c r="E862" t="inlineStr">
        <is>
          <t>bed_bath_table</t>
        </is>
      </c>
      <c r="F862" t="n">
        <v>2</v>
      </c>
      <c r="G862" t="n">
        <v>179.8</v>
      </c>
      <c r="H862" t="n">
        <v>34.14</v>
      </c>
      <c r="I862" t="inlineStr">
        <is>
          <t>credit_card</t>
        </is>
      </c>
      <c r="J862" t="n">
        <v>5</v>
      </c>
      <c r="K862" t="inlineStr">
        <is>
          <t>On Time</t>
        </is>
      </c>
      <c r="L862" t="n">
        <v>2</v>
      </c>
      <c r="M862">
        <f>VLOOKUP(D862,State_Lookup!$A$2:$B$28,2,FALSE)</f>
        <v/>
      </c>
    </row>
    <row r="863">
      <c r="A863" t="inlineStr">
        <is>
          <t>78532828d00531b29b635848828001f9</t>
        </is>
      </c>
      <c r="B863" t="inlineStr">
        <is>
          <t>2017-07-20</t>
        </is>
      </c>
      <c r="C863" t="inlineStr">
        <is>
          <t>2017-07</t>
        </is>
      </c>
      <c r="D863" t="inlineStr">
        <is>
          <t>MG</t>
        </is>
      </c>
      <c r="E863" t="inlineStr">
        <is>
          <t>auto</t>
        </is>
      </c>
      <c r="F863" t="n">
        <v>1</v>
      </c>
      <c r="G863" t="n">
        <v>49.9</v>
      </c>
      <c r="H863" t="n">
        <v>26.89</v>
      </c>
      <c r="I863" t="inlineStr">
        <is>
          <t>boleto</t>
        </is>
      </c>
      <c r="J863" t="n">
        <v>6</v>
      </c>
      <c r="K863" t="inlineStr">
        <is>
          <t>On Time</t>
        </is>
      </c>
      <c r="L863" t="n">
        <v>5</v>
      </c>
      <c r="M863">
        <f>VLOOKUP(D863,State_Lookup!$A$2:$B$28,2,FALSE)</f>
        <v/>
      </c>
    </row>
    <row r="864">
      <c r="A864" t="inlineStr">
        <is>
          <t>0a8b7ed1fb705a8af99575dc742cd328</t>
        </is>
      </c>
      <c r="B864" t="inlineStr">
        <is>
          <t>2017-07-20</t>
        </is>
      </c>
      <c r="C864" t="inlineStr">
        <is>
          <t>2017-07</t>
        </is>
      </c>
      <c r="D864" t="inlineStr">
        <is>
          <t>SP</t>
        </is>
      </c>
      <c r="E864" t="inlineStr">
        <is>
          <t>auto</t>
        </is>
      </c>
      <c r="F864" t="n">
        <v>1</v>
      </c>
      <c r="G864" t="n">
        <v>52.9</v>
      </c>
      <c r="H864" t="n">
        <v>13.39</v>
      </c>
      <c r="I864" t="inlineStr">
        <is>
          <t>credit_card</t>
        </is>
      </c>
      <c r="J864" t="n">
        <v>8</v>
      </c>
      <c r="K864" t="inlineStr">
        <is>
          <t>On Time</t>
        </is>
      </c>
      <c r="L864" t="n">
        <v>5</v>
      </c>
      <c r="M864">
        <f>VLOOKUP(D864,State_Lookup!$A$2:$B$28,2,FALSE)</f>
        <v/>
      </c>
    </row>
    <row r="865">
      <c r="A865" t="inlineStr">
        <is>
          <t>1427ef2af9580d8d943b1f0ed1f8e050</t>
        </is>
      </c>
      <c r="B865" t="inlineStr">
        <is>
          <t>2017-07-20</t>
        </is>
      </c>
      <c r="C865" t="inlineStr">
        <is>
          <t>2017-07</t>
        </is>
      </c>
      <c r="D865" t="inlineStr">
        <is>
          <t>MG</t>
        </is>
      </c>
      <c r="E865" t="inlineStr">
        <is>
          <t>luggage_accessories</t>
        </is>
      </c>
      <c r="F865" t="n">
        <v>1</v>
      </c>
      <c r="G865" t="n">
        <v>78.90000000000001</v>
      </c>
      <c r="H865" t="n">
        <v>13.61</v>
      </c>
      <c r="I865" t="inlineStr">
        <is>
          <t>credit_card</t>
        </is>
      </c>
      <c r="J865" t="n">
        <v>6</v>
      </c>
      <c r="K865" t="inlineStr">
        <is>
          <t>On Time</t>
        </is>
      </c>
      <c r="L865" t="n">
        <v>5</v>
      </c>
      <c r="M865">
        <f>VLOOKUP(D865,State_Lookup!$A$2:$B$28,2,FALSE)</f>
        <v/>
      </c>
    </row>
    <row r="866">
      <c r="A866" t="inlineStr">
        <is>
          <t>99f48f57d8e3a6f6bcc13902ee0067c7</t>
        </is>
      </c>
      <c r="B866" t="inlineStr">
        <is>
          <t>2017-07-20</t>
        </is>
      </c>
      <c r="C866" t="inlineStr">
        <is>
          <t>2017-07</t>
        </is>
      </c>
      <c r="D866" t="inlineStr">
        <is>
          <t>RS</t>
        </is>
      </c>
      <c r="E866" t="inlineStr">
        <is>
          <t>home_appliances</t>
        </is>
      </c>
      <c r="F866" t="n">
        <v>1</v>
      </c>
      <c r="G866" t="n">
        <v>59.9</v>
      </c>
      <c r="H866" t="n">
        <v>16.18</v>
      </c>
      <c r="I866" t="inlineStr">
        <is>
          <t>credit_card</t>
        </is>
      </c>
      <c r="J866" t="n">
        <v>11</v>
      </c>
      <c r="K866" t="inlineStr">
        <is>
          <t>On Time</t>
        </is>
      </c>
      <c r="L866" t="n">
        <v>5</v>
      </c>
      <c r="M866">
        <f>VLOOKUP(D866,State_Lookup!$A$2:$B$28,2,FALSE)</f>
        <v/>
      </c>
    </row>
    <row r="867">
      <c r="A867" t="inlineStr">
        <is>
          <t>e5bc812e034a9041261c8637e4dc4497</t>
        </is>
      </c>
      <c r="B867" t="inlineStr">
        <is>
          <t>2017-07-20</t>
        </is>
      </c>
      <c r="C867" t="inlineStr">
        <is>
          <t>2017-07</t>
        </is>
      </c>
      <c r="D867" t="inlineStr">
        <is>
          <t>SP</t>
        </is>
      </c>
      <c r="E867" t="inlineStr">
        <is>
          <t>housewares</t>
        </is>
      </c>
      <c r="F867" t="n">
        <v>6</v>
      </c>
      <c r="G867" t="n">
        <v>35.40000000000001</v>
      </c>
      <c r="H867" t="n">
        <v>56.04</v>
      </c>
      <c r="I867" t="inlineStr">
        <is>
          <t>credit_card</t>
        </is>
      </c>
      <c r="J867" t="n">
        <v>8</v>
      </c>
      <c r="K867" t="inlineStr">
        <is>
          <t>On Time</t>
        </is>
      </c>
      <c r="L867" t="n">
        <v>5</v>
      </c>
      <c r="M867">
        <f>VLOOKUP(D867,State_Lookup!$A$2:$B$28,2,FALSE)</f>
        <v/>
      </c>
    </row>
    <row r="868">
      <c r="A868" t="inlineStr">
        <is>
          <t>1eeff18e275e2d98a4701b328d2214c0</t>
        </is>
      </c>
      <c r="B868" t="inlineStr">
        <is>
          <t>2017-07-20</t>
        </is>
      </c>
      <c r="C868" t="inlineStr">
        <is>
          <t>2017-07</t>
        </is>
      </c>
      <c r="D868" t="inlineStr">
        <is>
          <t>RJ</t>
        </is>
      </c>
      <c r="E868" t="inlineStr">
        <is>
          <t>baby</t>
        </is>
      </c>
      <c r="F868" t="n">
        <v>1</v>
      </c>
      <c r="G868" t="n">
        <v>79.90000000000001</v>
      </c>
      <c r="H868" t="n">
        <v>17</v>
      </c>
      <c r="I868" t="inlineStr">
        <is>
          <t>credit_card</t>
        </is>
      </c>
      <c r="J868" t="n">
        <v>7</v>
      </c>
      <c r="K868" t="inlineStr">
        <is>
          <t>On Time</t>
        </is>
      </c>
      <c r="L868" t="n">
        <v>5</v>
      </c>
      <c r="M868">
        <f>VLOOKUP(D868,State_Lookup!$A$2:$B$28,2,FALSE)</f>
        <v/>
      </c>
    </row>
    <row r="869">
      <c r="A869" t="inlineStr">
        <is>
          <t>59a0b1e1b934789d033dfb98797d9d34</t>
        </is>
      </c>
      <c r="B869" t="inlineStr">
        <is>
          <t>2017-07-20</t>
        </is>
      </c>
      <c r="C869" t="inlineStr">
        <is>
          <t>2017-07</t>
        </is>
      </c>
      <c r="D869" t="inlineStr">
        <is>
          <t>PB</t>
        </is>
      </c>
      <c r="E869" t="inlineStr">
        <is>
          <t>luggage_accessories</t>
        </is>
      </c>
      <c r="F869" t="n">
        <v>1</v>
      </c>
      <c r="G869" t="n">
        <v>121.9</v>
      </c>
      <c r="H869" t="n">
        <v>38.4</v>
      </c>
      <c r="I869" t="inlineStr">
        <is>
          <t>boleto</t>
        </is>
      </c>
      <c r="J869" t="n">
        <v>12</v>
      </c>
      <c r="K869" t="inlineStr">
        <is>
          <t>On Time</t>
        </is>
      </c>
      <c r="L869" t="n">
        <v>4</v>
      </c>
      <c r="M869">
        <f>VLOOKUP(D869,State_Lookup!$A$2:$B$28,2,FALSE)</f>
        <v/>
      </c>
    </row>
    <row r="870">
      <c r="A870" t="inlineStr">
        <is>
          <t>788dadfe475fc16d5e7562f1a5fa8e82</t>
        </is>
      </c>
      <c r="B870" t="inlineStr">
        <is>
          <t>2017-07-20</t>
        </is>
      </c>
      <c r="C870" t="inlineStr">
        <is>
          <t>2017-07</t>
        </is>
      </c>
      <c r="D870" t="inlineStr">
        <is>
          <t>SP</t>
        </is>
      </c>
      <c r="E870" t="inlineStr">
        <is>
          <t>baby</t>
        </is>
      </c>
      <c r="F870" t="n">
        <v>1</v>
      </c>
      <c r="G870" t="n">
        <v>119.9</v>
      </c>
      <c r="H870" t="n">
        <v>13.18</v>
      </c>
      <c r="I870" t="inlineStr">
        <is>
          <t>credit_card</t>
        </is>
      </c>
      <c r="J870" t="n">
        <v>7</v>
      </c>
      <c r="K870" t="inlineStr">
        <is>
          <t>On Time</t>
        </is>
      </c>
      <c r="L870" t="n">
        <v>5</v>
      </c>
      <c r="M870">
        <f>VLOOKUP(D870,State_Lookup!$A$2:$B$28,2,FALSE)</f>
        <v/>
      </c>
    </row>
    <row r="871">
      <c r="A871" t="inlineStr">
        <is>
          <t>90168dcfab7b04546b03342f246250e0</t>
        </is>
      </c>
      <c r="B871" t="inlineStr">
        <is>
          <t>2017-07-21</t>
        </is>
      </c>
      <c r="C871" t="inlineStr">
        <is>
          <t>2017-07</t>
        </is>
      </c>
      <c r="D871" t="inlineStr">
        <is>
          <t>SP</t>
        </is>
      </c>
      <c r="E871" t="inlineStr">
        <is>
          <t>watches_gifts</t>
        </is>
      </c>
      <c r="F871" t="n">
        <v>1</v>
      </c>
      <c r="G871" t="n">
        <v>29</v>
      </c>
      <c r="H871" t="n">
        <v>7.78</v>
      </c>
      <c r="I871" t="inlineStr">
        <is>
          <t>credit_card</t>
        </is>
      </c>
      <c r="J871" t="n">
        <v>4</v>
      </c>
      <c r="K871" t="inlineStr">
        <is>
          <t>On Time</t>
        </is>
      </c>
      <c r="L871" t="n">
        <v>1</v>
      </c>
      <c r="M871">
        <f>VLOOKUP(D871,State_Lookup!$A$2:$B$28,2,FALSE)</f>
        <v/>
      </c>
    </row>
    <row r="872">
      <c r="A872" t="inlineStr">
        <is>
          <t>ca228c2c6dc307c077c98d26bb8de09d</t>
        </is>
      </c>
      <c r="B872" t="inlineStr">
        <is>
          <t>2017-07-21</t>
        </is>
      </c>
      <c r="C872" t="inlineStr">
        <is>
          <t>2017-07</t>
        </is>
      </c>
      <c r="D872" t="inlineStr">
        <is>
          <t>RJ</t>
        </is>
      </c>
      <c r="E872" t="inlineStr">
        <is>
          <t>perfumery</t>
        </is>
      </c>
      <c r="F872" t="n">
        <v>1</v>
      </c>
      <c r="G872" t="n">
        <v>56.99</v>
      </c>
      <c r="H872" t="n">
        <v>14.15</v>
      </c>
      <c r="I872" t="inlineStr">
        <is>
          <t>credit_card</t>
        </is>
      </c>
      <c r="J872" t="n">
        <v>10</v>
      </c>
      <c r="K872" t="inlineStr">
        <is>
          <t>On Time</t>
        </is>
      </c>
      <c r="L872" t="n">
        <v>5</v>
      </c>
      <c r="M872">
        <f>VLOOKUP(D872,State_Lookup!$A$2:$B$28,2,FALSE)</f>
        <v/>
      </c>
    </row>
    <row r="873">
      <c r="A873" t="inlineStr">
        <is>
          <t>bf237ea364c3113c48cb2815b7bbe2c9</t>
        </is>
      </c>
      <c r="B873" t="inlineStr">
        <is>
          <t>2017-07-21</t>
        </is>
      </c>
      <c r="C873" t="inlineStr">
        <is>
          <t>2017-07</t>
        </is>
      </c>
      <c r="D873" t="inlineStr">
        <is>
          <t>SP</t>
        </is>
      </c>
      <c r="E873" t="inlineStr">
        <is>
          <t>kitchen_dining_laundry_garden_furniture</t>
        </is>
      </c>
      <c r="F873" t="n">
        <v>1</v>
      </c>
      <c r="G873" t="n">
        <v>72</v>
      </c>
      <c r="H873" t="n">
        <v>13.52</v>
      </c>
      <c r="I873" t="inlineStr">
        <is>
          <t>credit_card</t>
        </is>
      </c>
      <c r="J873" t="n">
        <v>11</v>
      </c>
      <c r="K873" t="inlineStr">
        <is>
          <t>On Time</t>
        </is>
      </c>
      <c r="L873" t="n">
        <v>5</v>
      </c>
      <c r="M873">
        <f>VLOOKUP(D873,State_Lookup!$A$2:$B$28,2,FALSE)</f>
        <v/>
      </c>
    </row>
    <row r="874">
      <c r="A874" t="inlineStr">
        <is>
          <t>64f342fec608b8d7ec942b807e01652d</t>
        </is>
      </c>
      <c r="B874" t="inlineStr">
        <is>
          <t>2017-07-21</t>
        </is>
      </c>
      <c r="C874" t="inlineStr">
        <is>
          <t>2017-07</t>
        </is>
      </c>
      <c r="D874" t="inlineStr">
        <is>
          <t>SP</t>
        </is>
      </c>
      <c r="E874" t="inlineStr">
        <is>
          <t>garden_tools</t>
        </is>
      </c>
      <c r="F874" t="n">
        <v>2</v>
      </c>
      <c r="G874" t="n">
        <v>119.8</v>
      </c>
      <c r="H874" t="n">
        <v>24.96</v>
      </c>
      <c r="I874" t="inlineStr">
        <is>
          <t>credit_card</t>
        </is>
      </c>
      <c r="J874" t="n">
        <v>7</v>
      </c>
      <c r="K874" t="inlineStr">
        <is>
          <t>On Time</t>
        </is>
      </c>
      <c r="L874" t="n">
        <v>5</v>
      </c>
      <c r="M874">
        <f>VLOOKUP(D874,State_Lookup!$A$2:$B$28,2,FALSE)</f>
        <v/>
      </c>
    </row>
    <row r="875">
      <c r="A875" t="inlineStr">
        <is>
          <t>12b69999b64f73f3cdfa23512584c8d5</t>
        </is>
      </c>
      <c r="B875" t="inlineStr">
        <is>
          <t>2017-07-22</t>
        </is>
      </c>
      <c r="C875" t="inlineStr">
        <is>
          <t>2017-07</t>
        </is>
      </c>
      <c r="D875" t="inlineStr">
        <is>
          <t>RO</t>
        </is>
      </c>
      <c r="E875" t="inlineStr">
        <is>
          <t>electronics</t>
        </is>
      </c>
      <c r="F875" t="n">
        <v>1</v>
      </c>
      <c r="G875" t="n">
        <v>16.9</v>
      </c>
      <c r="H875" t="n">
        <v>42.38</v>
      </c>
      <c r="I875" t="inlineStr">
        <is>
          <t>credit_card</t>
        </is>
      </c>
      <c r="J875" t="n">
        <v>17</v>
      </c>
      <c r="K875" t="inlineStr">
        <is>
          <t>On Time</t>
        </is>
      </c>
      <c r="L875" t="n">
        <v>4</v>
      </c>
      <c r="M875">
        <f>VLOOKUP(D875,State_Lookup!$A$2:$B$28,2,FALSE)</f>
        <v/>
      </c>
    </row>
    <row r="876">
      <c r="A876" t="inlineStr">
        <is>
          <t>332c91ab63b630c1ecd7d5b100ce43bd</t>
        </is>
      </c>
      <c r="B876" t="inlineStr">
        <is>
          <t>2017-07-22</t>
        </is>
      </c>
      <c r="C876" t="inlineStr">
        <is>
          <t>2017-07</t>
        </is>
      </c>
      <c r="D876" t="inlineStr">
        <is>
          <t>CE</t>
        </is>
      </c>
      <c r="E876" t="inlineStr">
        <is>
          <t>bed_bath_table</t>
        </is>
      </c>
      <c r="F876" t="n">
        <v>1</v>
      </c>
      <c r="G876" t="n">
        <v>205</v>
      </c>
      <c r="H876" t="n">
        <v>38.57</v>
      </c>
      <c r="I876" t="inlineStr">
        <is>
          <t>boleto</t>
        </is>
      </c>
      <c r="J876" t="n">
        <v>19</v>
      </c>
      <c r="K876" t="inlineStr">
        <is>
          <t>On Time</t>
        </is>
      </c>
      <c r="L876" t="n">
        <v>4</v>
      </c>
      <c r="M876">
        <f>VLOOKUP(D876,State_Lookup!$A$2:$B$28,2,FALSE)</f>
        <v/>
      </c>
    </row>
    <row r="877">
      <c r="A877" t="inlineStr">
        <is>
          <t>793c2f0661686b1d7e18efec8c4b43be</t>
        </is>
      </c>
      <c r="B877" t="inlineStr">
        <is>
          <t>2017-07-22</t>
        </is>
      </c>
      <c r="C877" t="inlineStr">
        <is>
          <t>2017-07</t>
        </is>
      </c>
      <c r="D877" t="inlineStr">
        <is>
          <t>PR</t>
        </is>
      </c>
      <c r="E877" t="inlineStr">
        <is>
          <t>luggage_accessories</t>
        </is>
      </c>
      <c r="F877" t="n">
        <v>1</v>
      </c>
      <c r="G877" t="n">
        <v>84.90000000000001</v>
      </c>
      <c r="H877" t="n">
        <v>19.83</v>
      </c>
      <c r="I877" t="inlineStr">
        <is>
          <t>credit_card</t>
        </is>
      </c>
      <c r="J877" t="n">
        <v>10</v>
      </c>
      <c r="K877" t="inlineStr">
        <is>
          <t>On Time</t>
        </is>
      </c>
      <c r="L877" t="n">
        <v>5</v>
      </c>
      <c r="M877">
        <f>VLOOKUP(D877,State_Lookup!$A$2:$B$28,2,FALSE)</f>
        <v/>
      </c>
    </row>
    <row r="878">
      <c r="A878" t="inlineStr">
        <is>
          <t>b172a003a35f407e54bc6d8ba4c5b1fa</t>
        </is>
      </c>
      <c r="B878" t="inlineStr">
        <is>
          <t>2017-07-22</t>
        </is>
      </c>
      <c r="C878" t="inlineStr">
        <is>
          <t>2017-07</t>
        </is>
      </c>
      <c r="D878" t="inlineStr">
        <is>
          <t>CE</t>
        </is>
      </c>
      <c r="E878" t="inlineStr">
        <is>
          <t>telephony</t>
        </is>
      </c>
      <c r="F878" t="n">
        <v>1</v>
      </c>
      <c r="G878" t="n">
        <v>39.99</v>
      </c>
      <c r="H878" t="n">
        <v>17.63</v>
      </c>
      <c r="I878" t="inlineStr">
        <is>
          <t>credit_card</t>
        </is>
      </c>
      <c r="J878" t="n">
        <v>20</v>
      </c>
      <c r="K878" t="inlineStr">
        <is>
          <t>On Time</t>
        </is>
      </c>
      <c r="L878" t="n">
        <v>5</v>
      </c>
      <c r="M878">
        <f>VLOOKUP(D878,State_Lookup!$A$2:$B$28,2,FALSE)</f>
        <v/>
      </c>
    </row>
    <row r="879">
      <c r="A879" t="inlineStr">
        <is>
          <t>2dea508202fbd39c677502defdef2d21</t>
        </is>
      </c>
      <c r="B879" t="inlineStr">
        <is>
          <t>2017-07-22</t>
        </is>
      </c>
      <c r="C879" t="inlineStr">
        <is>
          <t>2017-07</t>
        </is>
      </c>
      <c r="D879" t="inlineStr">
        <is>
          <t>SP</t>
        </is>
      </c>
      <c r="E879" t="inlineStr">
        <is>
          <t>cool_stuff</t>
        </is>
      </c>
      <c r="F879" t="n">
        <v>1</v>
      </c>
      <c r="G879" t="n">
        <v>499.9</v>
      </c>
      <c r="H879" t="n">
        <v>14.7</v>
      </c>
      <c r="I879" t="inlineStr">
        <is>
          <t>credit_card</t>
        </is>
      </c>
      <c r="J879" t="n">
        <v>3</v>
      </c>
      <c r="K879" t="inlineStr">
        <is>
          <t>On Time</t>
        </is>
      </c>
      <c r="L879" t="n">
        <v>5</v>
      </c>
      <c r="M879">
        <f>VLOOKUP(D879,State_Lookup!$A$2:$B$28,2,FALSE)</f>
        <v/>
      </c>
    </row>
    <row r="880">
      <c r="A880" t="inlineStr">
        <is>
          <t>77cee551ec0bfd054f82bd2495d2fcd6</t>
        </is>
      </c>
      <c r="B880" t="inlineStr">
        <is>
          <t>2017-07-22</t>
        </is>
      </c>
      <c r="C880" t="inlineStr">
        <is>
          <t>2017-07</t>
        </is>
      </c>
      <c r="D880" t="inlineStr">
        <is>
          <t>RJ</t>
        </is>
      </c>
      <c r="E880" t="inlineStr">
        <is>
          <t>bed_bath_table</t>
        </is>
      </c>
      <c r="F880" t="n">
        <v>2</v>
      </c>
      <c r="G880" t="n">
        <v>197.98</v>
      </c>
      <c r="H880" t="n">
        <v>42.36</v>
      </c>
      <c r="I880" t="inlineStr">
        <is>
          <t>boleto</t>
        </is>
      </c>
      <c r="J880" t="n">
        <v>13</v>
      </c>
      <c r="K880" t="inlineStr">
        <is>
          <t>On Time</t>
        </is>
      </c>
      <c r="L880" t="n">
        <v>5</v>
      </c>
      <c r="M880">
        <f>VLOOKUP(D880,State_Lookup!$A$2:$B$28,2,FALSE)</f>
        <v/>
      </c>
    </row>
    <row r="881">
      <c r="A881" t="inlineStr">
        <is>
          <t>9c77966338b7a4afae520a5723c937a3</t>
        </is>
      </c>
      <c r="B881" t="inlineStr">
        <is>
          <t>2017-07-22</t>
        </is>
      </c>
      <c r="C881" t="inlineStr">
        <is>
          <t>2017-07</t>
        </is>
      </c>
      <c r="D881" t="inlineStr">
        <is>
          <t>RJ</t>
        </is>
      </c>
      <c r="E881" t="inlineStr">
        <is>
          <t>bed_bath_table</t>
        </is>
      </c>
      <c r="F881" t="n">
        <v>1</v>
      </c>
      <c r="G881" t="n">
        <v>59.9</v>
      </c>
      <c r="H881" t="n">
        <v>16.18</v>
      </c>
      <c r="I881" t="inlineStr">
        <is>
          <t>voucher</t>
        </is>
      </c>
      <c r="J881" t="n">
        <v>22</v>
      </c>
      <c r="K881" t="inlineStr">
        <is>
          <t>On Time</t>
        </is>
      </c>
      <c r="L881" t="n">
        <v>3</v>
      </c>
      <c r="M881">
        <f>VLOOKUP(D881,State_Lookup!$A$2:$B$28,2,FALSE)</f>
        <v/>
      </c>
    </row>
    <row r="882">
      <c r="A882" t="inlineStr">
        <is>
          <t>8e1e84cffb2c5174a4d5d9026c0a5013</t>
        </is>
      </c>
      <c r="B882" t="inlineStr">
        <is>
          <t>2017-07-23</t>
        </is>
      </c>
      <c r="C882" t="inlineStr">
        <is>
          <t>2017-07</t>
        </is>
      </c>
      <c r="D882" t="inlineStr">
        <is>
          <t>SP</t>
        </is>
      </c>
      <c r="E882" t="inlineStr">
        <is>
          <t>bed_bath_table</t>
        </is>
      </c>
      <c r="F882" t="n">
        <v>1</v>
      </c>
      <c r="G882" t="n">
        <v>34.9</v>
      </c>
      <c r="H882" t="n">
        <v>16.6</v>
      </c>
      <c r="I882" t="inlineStr">
        <is>
          <t>credit_card</t>
        </is>
      </c>
      <c r="J882" t="n">
        <v>10</v>
      </c>
      <c r="K882" t="inlineStr">
        <is>
          <t>On Time</t>
        </is>
      </c>
      <c r="L882" t="n">
        <v>5</v>
      </c>
      <c r="M882">
        <f>VLOOKUP(D882,State_Lookup!$A$2:$B$28,2,FALSE)</f>
        <v/>
      </c>
    </row>
    <row r="883">
      <c r="A883" t="inlineStr">
        <is>
          <t>317e9689b222bc8a5b08dfcb0c91b515</t>
        </is>
      </c>
      <c r="B883" t="inlineStr">
        <is>
          <t>2017-07-23</t>
        </is>
      </c>
      <c r="C883" t="inlineStr">
        <is>
          <t>2017-07</t>
        </is>
      </c>
      <c r="D883" t="inlineStr">
        <is>
          <t>RS</t>
        </is>
      </c>
      <c r="E883" t="inlineStr">
        <is>
          <t>unknown</t>
        </is>
      </c>
      <c r="F883" t="n">
        <v>1</v>
      </c>
      <c r="G883" t="n">
        <v>29.9</v>
      </c>
      <c r="H883" t="n">
        <v>15.1</v>
      </c>
      <c r="I883" t="inlineStr">
        <is>
          <t>boleto</t>
        </is>
      </c>
      <c r="J883" t="n">
        <v>18</v>
      </c>
      <c r="K883" t="inlineStr">
        <is>
          <t>On Time</t>
        </is>
      </c>
      <c r="L883" t="n">
        <v>4</v>
      </c>
      <c r="M883">
        <f>VLOOKUP(D883,State_Lookup!$A$2:$B$28,2,FALSE)</f>
        <v/>
      </c>
    </row>
    <row r="884">
      <c r="A884" t="inlineStr">
        <is>
          <t>d9bd19ff1f9e434a5d633944430a97ec</t>
        </is>
      </c>
      <c r="B884" t="inlineStr">
        <is>
          <t>2017-07-23</t>
        </is>
      </c>
      <c r="C884" t="inlineStr">
        <is>
          <t>2017-07</t>
        </is>
      </c>
      <c r="D884" t="inlineStr">
        <is>
          <t>SP</t>
        </is>
      </c>
      <c r="E884" t="inlineStr">
        <is>
          <t>furniture_decor</t>
        </is>
      </c>
      <c r="F884" t="n">
        <v>1</v>
      </c>
      <c r="G884" t="n">
        <v>169</v>
      </c>
      <c r="H884" t="n">
        <v>14.79</v>
      </c>
      <c r="I884" t="inlineStr">
        <is>
          <t>credit_card</t>
        </is>
      </c>
      <c r="J884" t="n">
        <v>2</v>
      </c>
      <c r="K884" t="inlineStr">
        <is>
          <t>On Time</t>
        </is>
      </c>
      <c r="L884" t="n">
        <v>1</v>
      </c>
      <c r="M884">
        <f>VLOOKUP(D884,State_Lookup!$A$2:$B$28,2,FALSE)</f>
        <v/>
      </c>
    </row>
    <row r="885">
      <c r="A885" t="inlineStr">
        <is>
          <t>710e2c5ff9a94d1abd06aee65f2ab524</t>
        </is>
      </c>
      <c r="B885" t="inlineStr">
        <is>
          <t>2017-07-23</t>
        </is>
      </c>
      <c r="C885" t="inlineStr">
        <is>
          <t>2017-07</t>
        </is>
      </c>
      <c r="D885" t="inlineStr">
        <is>
          <t>SP</t>
        </is>
      </c>
      <c r="E885" t="inlineStr">
        <is>
          <t>sports_leisure</t>
        </is>
      </c>
      <c r="F885" t="n">
        <v>1</v>
      </c>
      <c r="G885" t="n">
        <v>169.9</v>
      </c>
      <c r="H885" t="n">
        <v>17.44</v>
      </c>
      <c r="I885" t="inlineStr">
        <is>
          <t>credit_card</t>
        </is>
      </c>
      <c r="J885" t="n">
        <v>8</v>
      </c>
      <c r="K885" t="inlineStr">
        <is>
          <t>On Time</t>
        </is>
      </c>
      <c r="L885" t="n">
        <v>4</v>
      </c>
      <c r="M885">
        <f>VLOOKUP(D885,State_Lookup!$A$2:$B$28,2,FALSE)</f>
        <v/>
      </c>
    </row>
    <row r="886">
      <c r="A886" t="inlineStr">
        <is>
          <t>b3ba9e96f5d04c8c20e37e9ffd2e79a8</t>
        </is>
      </c>
      <c r="B886" t="inlineStr">
        <is>
          <t>2017-07-24</t>
        </is>
      </c>
      <c r="C886" t="inlineStr">
        <is>
          <t>2017-07</t>
        </is>
      </c>
      <c r="D886" t="inlineStr">
        <is>
          <t>SP</t>
        </is>
      </c>
      <c r="E886" t="inlineStr">
        <is>
          <t>housewares</t>
        </is>
      </c>
      <c r="F886" t="n">
        <v>1</v>
      </c>
      <c r="G886" t="n">
        <v>85</v>
      </c>
      <c r="H886" t="n">
        <v>11.8</v>
      </c>
      <c r="I886" t="inlineStr">
        <is>
          <t>credit_card</t>
        </is>
      </c>
      <c r="J886" t="n">
        <v>1</v>
      </c>
      <c r="K886" t="inlineStr">
        <is>
          <t>On Time</t>
        </is>
      </c>
      <c r="L886" t="n">
        <v>5</v>
      </c>
      <c r="M886">
        <f>VLOOKUP(D886,State_Lookup!$A$2:$B$28,2,FALSE)</f>
        <v/>
      </c>
    </row>
    <row r="887">
      <c r="A887" t="inlineStr">
        <is>
          <t>0205c3dd6f4d8e348ee72fffd114fec4</t>
        </is>
      </c>
      <c r="B887" t="inlineStr">
        <is>
          <t>2017-07-24</t>
        </is>
      </c>
      <c r="C887" t="inlineStr">
        <is>
          <t>2017-07</t>
        </is>
      </c>
      <c r="D887" t="inlineStr">
        <is>
          <t>CE</t>
        </is>
      </c>
      <c r="E887" t="inlineStr">
        <is>
          <t>perfumery</t>
        </is>
      </c>
      <c r="F887" t="n">
        <v>1</v>
      </c>
      <c r="G887" t="n">
        <v>56.99</v>
      </c>
      <c r="H887" t="n">
        <v>17.68</v>
      </c>
      <c r="I887" t="inlineStr">
        <is>
          <t>credit_card</t>
        </is>
      </c>
      <c r="J887" t="n">
        <v>16</v>
      </c>
      <c r="K887" t="inlineStr">
        <is>
          <t>On Time</t>
        </is>
      </c>
      <c r="L887" t="n">
        <v>4</v>
      </c>
      <c r="M887">
        <f>VLOOKUP(D887,State_Lookup!$A$2:$B$28,2,FALSE)</f>
        <v/>
      </c>
    </row>
    <row r="888">
      <c r="A888" t="inlineStr">
        <is>
          <t>52b72b336dbd155b3d75bb3fcc799ac3</t>
        </is>
      </c>
      <c r="B888" t="inlineStr">
        <is>
          <t>2017-07-24</t>
        </is>
      </c>
      <c r="C888" t="inlineStr">
        <is>
          <t>2017-07</t>
        </is>
      </c>
      <c r="D888" t="inlineStr">
        <is>
          <t>SP</t>
        </is>
      </c>
      <c r="E888" t="inlineStr">
        <is>
          <t>fashion_bags_accessories</t>
        </is>
      </c>
      <c r="F888" t="n">
        <v>1</v>
      </c>
      <c r="G888" t="n">
        <v>49</v>
      </c>
      <c r="H888" t="n">
        <v>7.78</v>
      </c>
      <c r="I888" t="inlineStr">
        <is>
          <t>credit_card</t>
        </is>
      </c>
      <c r="J888" t="n">
        <v>1</v>
      </c>
      <c r="K888" t="inlineStr">
        <is>
          <t>On Time</t>
        </is>
      </c>
      <c r="L888" t="n">
        <v>5</v>
      </c>
      <c r="M888">
        <f>VLOOKUP(D888,State_Lookup!$A$2:$B$28,2,FALSE)</f>
        <v/>
      </c>
    </row>
    <row r="889">
      <c r="A889" t="inlineStr">
        <is>
          <t>e2f058d7261e0cfb0eea8f8d556269ef</t>
        </is>
      </c>
      <c r="B889" t="inlineStr">
        <is>
          <t>2017-07-24</t>
        </is>
      </c>
      <c r="C889" t="inlineStr">
        <is>
          <t>2017-07</t>
        </is>
      </c>
      <c r="D889" t="inlineStr">
        <is>
          <t>SP</t>
        </is>
      </c>
      <c r="E889" t="inlineStr">
        <is>
          <t>luggage_accessories</t>
        </is>
      </c>
      <c r="F889" t="n">
        <v>1</v>
      </c>
      <c r="G889" t="n">
        <v>54.9</v>
      </c>
      <c r="H889" t="n">
        <v>14.13</v>
      </c>
      <c r="I889" t="inlineStr">
        <is>
          <t>credit_card</t>
        </is>
      </c>
      <c r="J889" t="n">
        <v>8</v>
      </c>
      <c r="K889" t="inlineStr">
        <is>
          <t>On Time</t>
        </is>
      </c>
      <c r="L889" t="n">
        <v>5</v>
      </c>
      <c r="M889">
        <f>VLOOKUP(D889,State_Lookup!$A$2:$B$28,2,FALSE)</f>
        <v/>
      </c>
    </row>
    <row r="890">
      <c r="A890" t="inlineStr">
        <is>
          <t>6704cecb75359214b2a2c7ddb894b89e</t>
        </is>
      </c>
      <c r="B890" t="inlineStr">
        <is>
          <t>2017-07-24</t>
        </is>
      </c>
      <c r="C890" t="inlineStr">
        <is>
          <t>2017-07</t>
        </is>
      </c>
      <c r="D890" t="inlineStr">
        <is>
          <t>SP</t>
        </is>
      </c>
      <c r="E890" t="inlineStr">
        <is>
          <t>health_beauty</t>
        </is>
      </c>
      <c r="F890" t="n">
        <v>1</v>
      </c>
      <c r="G890" t="n">
        <v>79</v>
      </c>
      <c r="H890" t="n">
        <v>19.79</v>
      </c>
      <c r="I890" t="inlineStr">
        <is>
          <t>credit_card</t>
        </is>
      </c>
      <c r="J890" t="n">
        <v>7</v>
      </c>
      <c r="K890" t="inlineStr">
        <is>
          <t>On Time</t>
        </is>
      </c>
      <c r="L890" t="n">
        <v>5</v>
      </c>
      <c r="M890">
        <f>VLOOKUP(D890,State_Lookup!$A$2:$B$28,2,FALSE)</f>
        <v/>
      </c>
    </row>
    <row r="891">
      <c r="A891" t="inlineStr">
        <is>
          <t>1e098529b9705a78dba4c6b24ee2ef35</t>
        </is>
      </c>
      <c r="B891" t="inlineStr">
        <is>
          <t>2017-07-24</t>
        </is>
      </c>
      <c r="C891" t="inlineStr">
        <is>
          <t>2017-07</t>
        </is>
      </c>
      <c r="D891" t="inlineStr">
        <is>
          <t>SP</t>
        </is>
      </c>
      <c r="E891" t="inlineStr">
        <is>
          <t>fashion_bags_accessories</t>
        </is>
      </c>
      <c r="F891" t="n">
        <v>1</v>
      </c>
      <c r="G891" t="n">
        <v>69</v>
      </c>
      <c r="H891" t="n">
        <v>7.78</v>
      </c>
      <c r="I891" t="inlineStr">
        <is>
          <t>credit_card</t>
        </is>
      </c>
      <c r="J891" t="n">
        <v>2</v>
      </c>
      <c r="K891" t="inlineStr">
        <is>
          <t>On Time</t>
        </is>
      </c>
      <c r="L891" t="n">
        <v>5</v>
      </c>
      <c r="M891">
        <f>VLOOKUP(D891,State_Lookup!$A$2:$B$28,2,FALSE)</f>
        <v/>
      </c>
    </row>
    <row r="892">
      <c r="A892" t="inlineStr">
        <is>
          <t>2c8ae71873abf8c37c3dbf4322dc9a24</t>
        </is>
      </c>
      <c r="B892" t="inlineStr">
        <is>
          <t>2017-07-24</t>
        </is>
      </c>
      <c r="C892" t="inlineStr">
        <is>
          <t>2017-07</t>
        </is>
      </c>
      <c r="D892" t="inlineStr">
        <is>
          <t>CE</t>
        </is>
      </c>
      <c r="E892" t="inlineStr">
        <is>
          <t>health_beauty</t>
        </is>
      </c>
      <c r="F892" t="n">
        <v>1</v>
      </c>
      <c r="G892" t="n">
        <v>98</v>
      </c>
      <c r="H892" t="n">
        <v>27.23</v>
      </c>
      <c r="I892" t="inlineStr">
        <is>
          <t>credit_card</t>
        </is>
      </c>
      <c r="J892" t="n">
        <v>16</v>
      </c>
      <c r="K892" t="inlineStr">
        <is>
          <t>On Time</t>
        </is>
      </c>
      <c r="L892" t="n">
        <v>5</v>
      </c>
      <c r="M892">
        <f>VLOOKUP(D892,State_Lookup!$A$2:$B$28,2,FALSE)</f>
        <v/>
      </c>
    </row>
    <row r="893">
      <c r="A893" t="inlineStr">
        <is>
          <t>f9697e263e9eec082f1ced4fa81d2faa</t>
        </is>
      </c>
      <c r="B893" t="inlineStr">
        <is>
          <t>2017-07-24</t>
        </is>
      </c>
      <c r="C893" t="inlineStr">
        <is>
          <t>2017-07</t>
        </is>
      </c>
      <c r="D893" t="inlineStr">
        <is>
          <t>MS</t>
        </is>
      </c>
      <c r="E893" t="inlineStr">
        <is>
          <t>bed_bath_table</t>
        </is>
      </c>
      <c r="F893" t="n">
        <v>2</v>
      </c>
      <c r="G893" t="n">
        <v>236</v>
      </c>
      <c r="H893" t="n">
        <v>33.17</v>
      </c>
      <c r="I893" t="inlineStr">
        <is>
          <t>boleto</t>
        </is>
      </c>
      <c r="J893" t="n">
        <v>7</v>
      </c>
      <c r="K893" t="inlineStr">
        <is>
          <t>On Time</t>
        </is>
      </c>
      <c r="L893" t="n">
        <v>2</v>
      </c>
      <c r="M893">
        <f>VLOOKUP(D893,State_Lookup!$A$2:$B$28,2,FALSE)</f>
        <v/>
      </c>
    </row>
    <row r="894">
      <c r="A894" t="inlineStr">
        <is>
          <t>3e10da3f366b635d6a1e0d380b32da95</t>
        </is>
      </c>
      <c r="B894" t="inlineStr">
        <is>
          <t>2017-07-25</t>
        </is>
      </c>
      <c r="C894" t="inlineStr">
        <is>
          <t>2017-07</t>
        </is>
      </c>
      <c r="D894" t="inlineStr">
        <is>
          <t>PI</t>
        </is>
      </c>
      <c r="E894" t="inlineStr">
        <is>
          <t>furniture_decor</t>
        </is>
      </c>
      <c r="F894" t="n">
        <v>1</v>
      </c>
      <c r="G894" t="n">
        <v>59.9</v>
      </c>
      <c r="H894" t="n">
        <v>44.27</v>
      </c>
      <c r="I894" t="inlineStr">
        <is>
          <t>credit_card</t>
        </is>
      </c>
      <c r="J894" t="n">
        <v>13</v>
      </c>
      <c r="K894" t="inlineStr">
        <is>
          <t>On Time</t>
        </is>
      </c>
      <c r="L894" t="n">
        <v>5</v>
      </c>
      <c r="M894">
        <f>VLOOKUP(D894,State_Lookup!$A$2:$B$28,2,FALSE)</f>
        <v/>
      </c>
    </row>
    <row r="895">
      <c r="A895" t="inlineStr">
        <is>
          <t>e7c984c7684388a750178a7187b29cc4</t>
        </is>
      </c>
      <c r="B895" t="inlineStr">
        <is>
          <t>2017-07-25</t>
        </is>
      </c>
      <c r="C895" t="inlineStr">
        <is>
          <t>2017-07</t>
        </is>
      </c>
      <c r="D895" t="inlineStr">
        <is>
          <t>SP</t>
        </is>
      </c>
      <c r="E895" t="inlineStr">
        <is>
          <t>housewares</t>
        </is>
      </c>
      <c r="F895" t="n">
        <v>1</v>
      </c>
      <c r="G895" t="n">
        <v>79.08</v>
      </c>
      <c r="H895" t="n">
        <v>17.8</v>
      </c>
      <c r="I895" t="inlineStr">
        <is>
          <t>credit_card</t>
        </is>
      </c>
      <c r="J895" t="n">
        <v>6</v>
      </c>
      <c r="K895" t="inlineStr">
        <is>
          <t>On Time</t>
        </is>
      </c>
      <c r="L895" t="n">
        <v>4</v>
      </c>
      <c r="M895">
        <f>VLOOKUP(D895,State_Lookup!$A$2:$B$28,2,FALSE)</f>
        <v/>
      </c>
    </row>
    <row r="896">
      <c r="A896" t="inlineStr">
        <is>
          <t>d228a9c137a2d23357ac9c661da7285e</t>
        </is>
      </c>
      <c r="B896" t="inlineStr">
        <is>
          <t>2017-07-25</t>
        </is>
      </c>
      <c r="C896" t="inlineStr">
        <is>
          <t>2017-07</t>
        </is>
      </c>
      <c r="D896" t="inlineStr">
        <is>
          <t>SP</t>
        </is>
      </c>
      <c r="E896" t="inlineStr">
        <is>
          <t>telephony</t>
        </is>
      </c>
      <c r="F896" t="n">
        <v>1</v>
      </c>
      <c r="G896" t="n">
        <v>75</v>
      </c>
      <c r="H896" t="n">
        <v>9.27</v>
      </c>
      <c r="I896" t="inlineStr">
        <is>
          <t>credit_card</t>
        </is>
      </c>
      <c r="J896" t="n">
        <v>6</v>
      </c>
      <c r="K896" t="inlineStr">
        <is>
          <t>On Time</t>
        </is>
      </c>
      <c r="L896" t="n">
        <v>4</v>
      </c>
      <c r="M896">
        <f>VLOOKUP(D896,State_Lookup!$A$2:$B$28,2,FALSE)</f>
        <v/>
      </c>
    </row>
    <row r="897">
      <c r="A897" t="inlineStr">
        <is>
          <t>49a898ddad77a56cfcf158749854222f</t>
        </is>
      </c>
      <c r="B897" t="inlineStr">
        <is>
          <t>2017-07-25</t>
        </is>
      </c>
      <c r="C897" t="inlineStr">
        <is>
          <t>2017-07</t>
        </is>
      </c>
      <c r="D897" t="inlineStr">
        <is>
          <t>MG</t>
        </is>
      </c>
      <c r="E897" t="inlineStr">
        <is>
          <t>cool_stuff</t>
        </is>
      </c>
      <c r="F897" t="n">
        <v>1</v>
      </c>
      <c r="G897" t="n">
        <v>499.9</v>
      </c>
      <c r="H897" t="n">
        <v>20.75</v>
      </c>
      <c r="I897" t="inlineStr">
        <is>
          <t>credit_card</t>
        </is>
      </c>
      <c r="J897" t="n">
        <v>7</v>
      </c>
      <c r="K897" t="inlineStr">
        <is>
          <t>On Time</t>
        </is>
      </c>
      <c r="L897" t="n">
        <v>4</v>
      </c>
      <c r="M897">
        <f>VLOOKUP(D897,State_Lookup!$A$2:$B$28,2,FALSE)</f>
        <v/>
      </c>
    </row>
    <row r="898">
      <c r="A898" t="inlineStr">
        <is>
          <t>f081180e44957b00bf43b18a823e8819</t>
        </is>
      </c>
      <c r="B898" t="inlineStr">
        <is>
          <t>2017-07-25</t>
        </is>
      </c>
      <c r="C898" t="inlineStr">
        <is>
          <t>2017-07</t>
        </is>
      </c>
      <c r="D898" t="inlineStr">
        <is>
          <t>SP</t>
        </is>
      </c>
      <c r="E898" t="inlineStr">
        <is>
          <t>sports_leisure</t>
        </is>
      </c>
      <c r="F898" t="n">
        <v>1</v>
      </c>
      <c r="G898" t="n">
        <v>58.9</v>
      </c>
      <c r="H898" t="n">
        <v>11.73</v>
      </c>
      <c r="I898" t="inlineStr">
        <is>
          <t>boleto</t>
        </is>
      </c>
      <c r="J898" t="n">
        <v>3</v>
      </c>
      <c r="K898" t="inlineStr">
        <is>
          <t>On Time</t>
        </is>
      </c>
      <c r="L898" t="n">
        <v>3</v>
      </c>
      <c r="M898">
        <f>VLOOKUP(D898,State_Lookup!$A$2:$B$28,2,FALSE)</f>
        <v/>
      </c>
    </row>
    <row r="899">
      <c r="A899" t="inlineStr">
        <is>
          <t>ef70e4d6b81be0fc423f1b77e4481e44</t>
        </is>
      </c>
      <c r="B899" t="inlineStr">
        <is>
          <t>2017-07-25</t>
        </is>
      </c>
      <c r="C899" t="inlineStr">
        <is>
          <t>2017-07</t>
        </is>
      </c>
      <c r="D899" t="inlineStr">
        <is>
          <t>SP</t>
        </is>
      </c>
      <c r="E899" t="inlineStr">
        <is>
          <t>food</t>
        </is>
      </c>
      <c r="F899" t="n">
        <v>1</v>
      </c>
      <c r="G899" t="n">
        <v>19.47</v>
      </c>
      <c r="H899" t="n">
        <v>9.27</v>
      </c>
      <c r="I899" t="inlineStr">
        <is>
          <t>credit_card</t>
        </is>
      </c>
      <c r="J899" t="n">
        <v>3</v>
      </c>
      <c r="K899" t="inlineStr">
        <is>
          <t>On Time</t>
        </is>
      </c>
      <c r="L899" t="n">
        <v>5</v>
      </c>
      <c r="M899">
        <f>VLOOKUP(D899,State_Lookup!$A$2:$B$28,2,FALSE)</f>
        <v/>
      </c>
    </row>
    <row r="900">
      <c r="A900" t="inlineStr">
        <is>
          <t>f09f3f77745d7ca1975a8c080123a68a</t>
        </is>
      </c>
      <c r="B900" t="inlineStr">
        <is>
          <t>2017-07-25</t>
        </is>
      </c>
      <c r="C900" t="inlineStr">
        <is>
          <t>2017-07</t>
        </is>
      </c>
      <c r="D900" t="inlineStr">
        <is>
          <t>SP</t>
        </is>
      </c>
      <c r="E900" t="inlineStr">
        <is>
          <t>toys</t>
        </is>
      </c>
      <c r="F900" t="n">
        <v>1</v>
      </c>
      <c r="G900" t="n">
        <v>124.99</v>
      </c>
      <c r="H900" t="n">
        <v>15.69</v>
      </c>
      <c r="I900" t="inlineStr">
        <is>
          <t>credit_card</t>
        </is>
      </c>
      <c r="J900" t="n">
        <v>7</v>
      </c>
      <c r="K900" t="inlineStr">
        <is>
          <t>On Time</t>
        </is>
      </c>
      <c r="L900" t="n">
        <v>5</v>
      </c>
      <c r="M900">
        <f>VLOOKUP(D900,State_Lookup!$A$2:$B$28,2,FALSE)</f>
        <v/>
      </c>
    </row>
    <row r="901">
      <c r="A901" t="inlineStr">
        <is>
          <t>019b8e16e30c8b9ad9bf87e039a27765</t>
        </is>
      </c>
      <c r="B901" t="inlineStr">
        <is>
          <t>2017-07-25</t>
        </is>
      </c>
      <c r="C901" t="inlineStr">
        <is>
          <t>2017-07</t>
        </is>
      </c>
      <c r="D901" t="inlineStr">
        <is>
          <t>SP</t>
        </is>
      </c>
      <c r="E901" t="inlineStr">
        <is>
          <t>sports_leisure</t>
        </is>
      </c>
      <c r="F901" t="n">
        <v>1</v>
      </c>
      <c r="G901" t="n">
        <v>99.98999999999999</v>
      </c>
      <c r="H901" t="n">
        <v>13.72</v>
      </c>
      <c r="I901" t="inlineStr">
        <is>
          <t>credit_card</t>
        </is>
      </c>
      <c r="J901" t="n">
        <v>9</v>
      </c>
      <c r="K901" t="inlineStr">
        <is>
          <t>On Time</t>
        </is>
      </c>
      <c r="L901" t="n">
        <v>3</v>
      </c>
      <c r="M901">
        <f>VLOOKUP(D901,State_Lookup!$A$2:$B$28,2,FALSE)</f>
        <v/>
      </c>
    </row>
    <row r="902">
      <c r="A902" t="inlineStr">
        <is>
          <t>f28f39649e3b855c1e269fde05f2629f</t>
        </is>
      </c>
      <c r="B902" t="inlineStr">
        <is>
          <t>2017-07-26</t>
        </is>
      </c>
      <c r="C902" t="inlineStr">
        <is>
          <t>2017-07</t>
        </is>
      </c>
      <c r="D902" t="inlineStr">
        <is>
          <t>SP</t>
        </is>
      </c>
      <c r="E902" t="inlineStr">
        <is>
          <t>health_beauty</t>
        </is>
      </c>
      <c r="F902" t="n">
        <v>1</v>
      </c>
      <c r="G902" t="n">
        <v>89.98999999999999</v>
      </c>
      <c r="H902" t="n">
        <v>7.88</v>
      </c>
      <c r="I902" t="inlineStr">
        <is>
          <t>credit_card</t>
        </is>
      </c>
      <c r="J902" t="n">
        <v>6</v>
      </c>
      <c r="K902" t="inlineStr">
        <is>
          <t>On Time</t>
        </is>
      </c>
      <c r="L902" t="n">
        <v>4</v>
      </c>
      <c r="M902">
        <f>VLOOKUP(D902,State_Lookup!$A$2:$B$28,2,FALSE)</f>
        <v/>
      </c>
    </row>
    <row r="903">
      <c r="A903" t="inlineStr">
        <is>
          <t>9b7130a90e8f2c23cba417fd1e9be425</t>
        </is>
      </c>
      <c r="B903" t="inlineStr">
        <is>
          <t>2017-07-26</t>
        </is>
      </c>
      <c r="C903" t="inlineStr">
        <is>
          <t>2017-07</t>
        </is>
      </c>
      <c r="D903" t="inlineStr">
        <is>
          <t>SP</t>
        </is>
      </c>
      <c r="E903" t="inlineStr">
        <is>
          <t>housewares</t>
        </is>
      </c>
      <c r="F903" t="n">
        <v>1</v>
      </c>
      <c r="G903" t="n">
        <v>56.9</v>
      </c>
      <c r="H903" t="n">
        <v>9.27</v>
      </c>
      <c r="I903" t="inlineStr">
        <is>
          <t>credit_card</t>
        </is>
      </c>
      <c r="J903" t="n">
        <v>2</v>
      </c>
      <c r="K903" t="inlineStr">
        <is>
          <t>On Time</t>
        </is>
      </c>
      <c r="L903" t="n">
        <v>5</v>
      </c>
      <c r="M903">
        <f>VLOOKUP(D903,State_Lookup!$A$2:$B$28,2,FALSE)</f>
        <v/>
      </c>
    </row>
    <row r="904">
      <c r="A904" t="inlineStr">
        <is>
          <t>c02a5571a92c4122218c6471c440567a</t>
        </is>
      </c>
      <c r="B904" t="inlineStr">
        <is>
          <t>2017-07-26</t>
        </is>
      </c>
      <c r="C904" t="inlineStr">
        <is>
          <t>2017-07</t>
        </is>
      </c>
      <c r="D904" t="inlineStr">
        <is>
          <t>SP</t>
        </is>
      </c>
      <c r="E904" t="inlineStr">
        <is>
          <t>housewares</t>
        </is>
      </c>
      <c r="F904" t="n">
        <v>1</v>
      </c>
      <c r="G904" t="n">
        <v>84.90000000000001</v>
      </c>
      <c r="H904" t="n">
        <v>17.84</v>
      </c>
      <c r="I904" t="inlineStr">
        <is>
          <t>credit_card</t>
        </is>
      </c>
      <c r="J904" t="n">
        <v>8</v>
      </c>
      <c r="K904" t="inlineStr">
        <is>
          <t>On Time</t>
        </is>
      </c>
      <c r="L904" t="n">
        <v>5</v>
      </c>
      <c r="M904">
        <f>VLOOKUP(D904,State_Lookup!$A$2:$B$28,2,FALSE)</f>
        <v/>
      </c>
    </row>
    <row r="905">
      <c r="A905" t="inlineStr">
        <is>
          <t>2d59688444fe2c77837f198bb74f4485</t>
        </is>
      </c>
      <c r="B905" t="inlineStr">
        <is>
          <t>2017-07-26</t>
        </is>
      </c>
      <c r="C905" t="inlineStr">
        <is>
          <t>2017-07</t>
        </is>
      </c>
      <c r="D905" t="inlineStr">
        <is>
          <t>RS</t>
        </is>
      </c>
      <c r="E905" t="inlineStr">
        <is>
          <t>stationery</t>
        </is>
      </c>
      <c r="F905" t="n">
        <v>1</v>
      </c>
      <c r="G905" t="n">
        <v>69.90000000000001</v>
      </c>
      <c r="H905" t="n">
        <v>17.74</v>
      </c>
      <c r="I905" t="inlineStr">
        <is>
          <t>credit_card</t>
        </is>
      </c>
      <c r="J905" t="n">
        <v>8</v>
      </c>
      <c r="K905" t="inlineStr">
        <is>
          <t>On Time</t>
        </is>
      </c>
      <c r="L905" t="n">
        <v>5</v>
      </c>
      <c r="M905">
        <f>VLOOKUP(D905,State_Lookup!$A$2:$B$28,2,FALSE)</f>
        <v/>
      </c>
    </row>
    <row r="906">
      <c r="A906" t="inlineStr">
        <is>
          <t>871f526d138c30fdbcecbcf72a3588b5</t>
        </is>
      </c>
      <c r="B906" t="inlineStr">
        <is>
          <t>2017-07-26</t>
        </is>
      </c>
      <c r="C906" t="inlineStr">
        <is>
          <t>2017-07</t>
        </is>
      </c>
      <c r="D906" t="inlineStr">
        <is>
          <t>SC</t>
        </is>
      </c>
      <c r="E906" t="inlineStr">
        <is>
          <t>computers_accessories</t>
        </is>
      </c>
      <c r="F906" t="n">
        <v>1</v>
      </c>
      <c r="G906" t="n">
        <v>69</v>
      </c>
      <c r="H906" t="n">
        <v>16.92</v>
      </c>
      <c r="I906" t="inlineStr">
        <is>
          <t>credit_card</t>
        </is>
      </c>
      <c r="J906" t="n">
        <v>10</v>
      </c>
      <c r="K906" t="inlineStr">
        <is>
          <t>On Time</t>
        </is>
      </c>
      <c r="L906" t="n">
        <v>5</v>
      </c>
      <c r="M906">
        <f>VLOOKUP(D906,State_Lookup!$A$2:$B$28,2,FALSE)</f>
        <v/>
      </c>
    </row>
    <row r="907">
      <c r="A907" t="inlineStr">
        <is>
          <t>cf418da45661447c99c40a5786bca1a8</t>
        </is>
      </c>
      <c r="B907" t="inlineStr">
        <is>
          <t>2017-07-27</t>
        </is>
      </c>
      <c r="C907" t="inlineStr">
        <is>
          <t>2017-07</t>
        </is>
      </c>
      <c r="D907" t="inlineStr">
        <is>
          <t>SP</t>
        </is>
      </c>
      <c r="E907" t="inlineStr">
        <is>
          <t>health_beauty</t>
        </is>
      </c>
      <c r="F907" t="n">
        <v>1</v>
      </c>
      <c r="G907" t="n">
        <v>129.78</v>
      </c>
      <c r="H907" t="n">
        <v>9.720000000000001</v>
      </c>
      <c r="I907" t="inlineStr">
        <is>
          <t>credit_card</t>
        </is>
      </c>
      <c r="J907" t="n">
        <v>5</v>
      </c>
      <c r="K907" t="inlineStr">
        <is>
          <t>On Time</t>
        </is>
      </c>
      <c r="L907" t="n">
        <v>4</v>
      </c>
      <c r="M907">
        <f>VLOOKUP(D907,State_Lookup!$A$2:$B$28,2,FALSE)</f>
        <v/>
      </c>
    </row>
    <row r="908">
      <c r="A908" t="inlineStr">
        <is>
          <t>18a4fa1a7c0e324a18cc81cdf6bc577a</t>
        </is>
      </c>
      <c r="B908" t="inlineStr">
        <is>
          <t>2017-07-27</t>
        </is>
      </c>
      <c r="C908" t="inlineStr">
        <is>
          <t>2017-07</t>
        </is>
      </c>
      <c r="D908" t="inlineStr">
        <is>
          <t>SP</t>
        </is>
      </c>
      <c r="E908" t="inlineStr">
        <is>
          <t>computers_accessories</t>
        </is>
      </c>
      <c r="F908" t="n">
        <v>1</v>
      </c>
      <c r="G908" t="n">
        <v>69</v>
      </c>
      <c r="H908" t="n">
        <v>12.82</v>
      </c>
      <c r="I908" t="inlineStr">
        <is>
          <t>boleto</t>
        </is>
      </c>
      <c r="J908" t="n">
        <v>5</v>
      </c>
      <c r="K908" t="inlineStr">
        <is>
          <t>On Time</t>
        </is>
      </c>
      <c r="L908" t="n">
        <v>5</v>
      </c>
      <c r="M908">
        <f>VLOOKUP(D908,State_Lookup!$A$2:$B$28,2,FALSE)</f>
        <v/>
      </c>
    </row>
    <row r="909">
      <c r="A909" t="inlineStr">
        <is>
          <t>ba8d16a572292d042403094d3c0fc354</t>
        </is>
      </c>
      <c r="B909" t="inlineStr">
        <is>
          <t>2017-07-27</t>
        </is>
      </c>
      <c r="C909" t="inlineStr">
        <is>
          <t>2017-07</t>
        </is>
      </c>
      <c r="D909" t="inlineStr">
        <is>
          <t>MT</t>
        </is>
      </c>
      <c r="E909" t="inlineStr">
        <is>
          <t>telephony</t>
        </is>
      </c>
      <c r="F909" t="n">
        <v>1</v>
      </c>
      <c r="G909" t="n">
        <v>26.99</v>
      </c>
      <c r="H909" t="n">
        <v>16.79</v>
      </c>
      <c r="I909" t="inlineStr">
        <is>
          <t>credit_card</t>
        </is>
      </c>
      <c r="J909" t="n">
        <v>14</v>
      </c>
      <c r="K909" t="inlineStr">
        <is>
          <t>On Time</t>
        </is>
      </c>
      <c r="L909" t="n">
        <v>4</v>
      </c>
      <c r="M909">
        <f>VLOOKUP(D909,State_Lookup!$A$2:$B$28,2,FALSE)</f>
        <v/>
      </c>
    </row>
    <row r="910">
      <c r="A910" t="inlineStr">
        <is>
          <t>1e55ec3322465b5b6dc07d7f5ef45f99</t>
        </is>
      </c>
      <c r="B910" t="inlineStr">
        <is>
          <t>2017-07-27</t>
        </is>
      </c>
      <c r="C910" t="inlineStr">
        <is>
          <t>2017-07</t>
        </is>
      </c>
      <c r="D910" t="inlineStr">
        <is>
          <t>PE</t>
        </is>
      </c>
      <c r="E910" t="inlineStr">
        <is>
          <t>bed_bath_table</t>
        </is>
      </c>
      <c r="F910" t="n">
        <v>1</v>
      </c>
      <c r="G910" t="n">
        <v>57.31</v>
      </c>
      <c r="H910" t="n">
        <v>26.94</v>
      </c>
      <c r="I910" t="inlineStr">
        <is>
          <t>credit_card</t>
        </is>
      </c>
      <c r="J910" t="n">
        <v>40</v>
      </c>
      <c r="K910" t="inlineStr">
        <is>
          <t>Late</t>
        </is>
      </c>
      <c r="L910" t="n">
        <v>1</v>
      </c>
      <c r="M910">
        <f>VLOOKUP(D910,State_Lookup!$A$2:$B$28,2,FALSE)</f>
        <v/>
      </c>
    </row>
    <row r="911">
      <c r="A911" t="inlineStr">
        <is>
          <t>7bc2a035233bdec3f84bef1cc364a2bb</t>
        </is>
      </c>
      <c r="B911" t="inlineStr">
        <is>
          <t>2017-07-27</t>
        </is>
      </c>
      <c r="C911" t="inlineStr">
        <is>
          <t>2017-07</t>
        </is>
      </c>
      <c r="D911" t="inlineStr">
        <is>
          <t>PR</t>
        </is>
      </c>
      <c r="E911" t="inlineStr">
        <is>
          <t>auto</t>
        </is>
      </c>
      <c r="F911" t="n">
        <v>1</v>
      </c>
      <c r="G911" t="n">
        <v>29.9</v>
      </c>
      <c r="H911" t="n">
        <v>15.1</v>
      </c>
      <c r="I911" t="inlineStr">
        <is>
          <t>voucher</t>
        </is>
      </c>
      <c r="J911" t="n">
        <v>15</v>
      </c>
      <c r="K911" t="inlineStr">
        <is>
          <t>On Time</t>
        </is>
      </c>
      <c r="L911" t="n">
        <v>5</v>
      </c>
      <c r="M911">
        <f>VLOOKUP(D911,State_Lookup!$A$2:$B$28,2,FALSE)</f>
        <v/>
      </c>
    </row>
    <row r="912">
      <c r="A912" t="inlineStr">
        <is>
          <t>d41cca426db55a5cffe764e4ebfc5527</t>
        </is>
      </c>
      <c r="B912" t="inlineStr">
        <is>
          <t>2017-07-27</t>
        </is>
      </c>
      <c r="C912" t="inlineStr">
        <is>
          <t>2017-07</t>
        </is>
      </c>
      <c r="D912" t="inlineStr">
        <is>
          <t>MG</t>
        </is>
      </c>
      <c r="E912" t="inlineStr">
        <is>
          <t>fashion_bags_accessories</t>
        </is>
      </c>
      <c r="F912" t="n">
        <v>1</v>
      </c>
      <c r="G912" t="n">
        <v>49.9</v>
      </c>
      <c r="H912" t="n">
        <v>15.1</v>
      </c>
      <c r="I912" t="inlineStr">
        <is>
          <t>boleto</t>
        </is>
      </c>
      <c r="J912" t="n">
        <v>11</v>
      </c>
      <c r="K912" t="inlineStr">
        <is>
          <t>On Time</t>
        </is>
      </c>
      <c r="L912" t="n">
        <v>5</v>
      </c>
      <c r="M912">
        <f>VLOOKUP(D912,State_Lookup!$A$2:$B$28,2,FALSE)</f>
        <v/>
      </c>
    </row>
    <row r="913">
      <c r="A913" t="inlineStr">
        <is>
          <t>0ce15b4615f37580142c31f7da6147e3</t>
        </is>
      </c>
      <c r="B913" t="inlineStr">
        <is>
          <t>2017-07-27</t>
        </is>
      </c>
      <c r="C913" t="inlineStr">
        <is>
          <t>2017-07</t>
        </is>
      </c>
      <c r="D913" t="inlineStr">
        <is>
          <t>SP</t>
        </is>
      </c>
      <c r="E913" t="inlineStr">
        <is>
          <t>housewares</t>
        </is>
      </c>
      <c r="F913" t="n">
        <v>1</v>
      </c>
      <c r="G913" t="n">
        <v>25.9</v>
      </c>
      <c r="H913" t="n">
        <v>15.1</v>
      </c>
      <c r="I913" t="inlineStr">
        <is>
          <t>boleto</t>
        </is>
      </c>
      <c r="J913" t="n">
        <v>7</v>
      </c>
      <c r="K913" t="inlineStr">
        <is>
          <t>On Time</t>
        </is>
      </c>
      <c r="L913" t="n">
        <v>5</v>
      </c>
      <c r="M913">
        <f>VLOOKUP(D913,State_Lookup!$A$2:$B$28,2,FALSE)</f>
        <v/>
      </c>
    </row>
    <row r="914">
      <c r="A914" t="inlineStr">
        <is>
          <t>2c36e21ba9c9ffb56e431113b7af7073</t>
        </is>
      </c>
      <c r="B914" t="inlineStr">
        <is>
          <t>2017-07-28</t>
        </is>
      </c>
      <c r="C914" t="inlineStr">
        <is>
          <t>2017-07</t>
        </is>
      </c>
      <c r="D914" t="inlineStr">
        <is>
          <t>ES</t>
        </is>
      </c>
      <c r="E914" t="inlineStr">
        <is>
          <t>auto</t>
        </is>
      </c>
      <c r="F914" t="n">
        <v>1</v>
      </c>
      <c r="G914" t="n">
        <v>28.75</v>
      </c>
      <c r="H914" t="n">
        <v>14.1</v>
      </c>
      <c r="I914" t="inlineStr">
        <is>
          <t>credit_card</t>
        </is>
      </c>
      <c r="J914" t="n">
        <v>10</v>
      </c>
      <c r="K914" t="inlineStr">
        <is>
          <t>On Time</t>
        </is>
      </c>
      <c r="L914" t="n">
        <v>2</v>
      </c>
      <c r="M914">
        <f>VLOOKUP(D914,State_Lookup!$A$2:$B$28,2,FALSE)</f>
        <v/>
      </c>
    </row>
    <row r="915">
      <c r="A915" t="inlineStr">
        <is>
          <t>3303092810c37e9ab22a711ae3afb197</t>
        </is>
      </c>
      <c r="B915" t="inlineStr">
        <is>
          <t>2017-07-28</t>
        </is>
      </c>
      <c r="C915" t="inlineStr">
        <is>
          <t>2017-07</t>
        </is>
      </c>
      <c r="D915" t="inlineStr">
        <is>
          <t>RJ</t>
        </is>
      </c>
      <c r="E915" t="inlineStr">
        <is>
          <t>kitchen_dining_laundry_garden_furniture</t>
        </is>
      </c>
      <c r="F915" t="n">
        <v>1</v>
      </c>
      <c r="G915" t="n">
        <v>469</v>
      </c>
      <c r="H915" t="n">
        <v>90.26000000000001</v>
      </c>
      <c r="I915" t="inlineStr">
        <is>
          <t>credit_card</t>
        </is>
      </c>
      <c r="J915" t="n">
        <v>18</v>
      </c>
      <c r="K915" t="inlineStr">
        <is>
          <t>On Time</t>
        </is>
      </c>
      <c r="L915" t="n">
        <v>3</v>
      </c>
      <c r="M915">
        <f>VLOOKUP(D915,State_Lookup!$A$2:$B$28,2,FALSE)</f>
        <v/>
      </c>
    </row>
    <row r="916">
      <c r="A916" t="inlineStr">
        <is>
          <t>31e2d0fd6a89e7bd4d343d5de73a68ea</t>
        </is>
      </c>
      <c r="B916" t="inlineStr">
        <is>
          <t>2017-07-28</t>
        </is>
      </c>
      <c r="C916" t="inlineStr">
        <is>
          <t>2017-07</t>
        </is>
      </c>
      <c r="D916" t="inlineStr">
        <is>
          <t>MA</t>
        </is>
      </c>
      <c r="E916" t="inlineStr">
        <is>
          <t>baby</t>
        </is>
      </c>
      <c r="F916" t="n">
        <v>1</v>
      </c>
      <c r="G916" t="n">
        <v>388</v>
      </c>
      <c r="H916" t="n">
        <v>32.13</v>
      </c>
      <c r="I916" t="inlineStr">
        <is>
          <t>credit_card</t>
        </is>
      </c>
      <c r="J916" t="n">
        <v>22</v>
      </c>
      <c r="K916" t="inlineStr">
        <is>
          <t>On Time</t>
        </is>
      </c>
      <c r="L916" t="n">
        <v>1</v>
      </c>
      <c r="M916">
        <f>VLOOKUP(D916,State_Lookup!$A$2:$B$28,2,FALSE)</f>
        <v/>
      </c>
    </row>
    <row r="917">
      <c r="A917" t="inlineStr">
        <is>
          <t>a1e3ae78b2bf6dedf2c6a37f96e17900</t>
        </is>
      </c>
      <c r="B917" t="inlineStr">
        <is>
          <t>2017-07-28</t>
        </is>
      </c>
      <c r="C917" t="inlineStr">
        <is>
          <t>2017-07</t>
        </is>
      </c>
      <c r="D917" t="inlineStr">
        <is>
          <t>SP</t>
        </is>
      </c>
      <c r="E917" t="inlineStr">
        <is>
          <t>furniture_decor</t>
        </is>
      </c>
      <c r="F917" t="n">
        <v>3</v>
      </c>
      <c r="G917" t="n">
        <v>554.7</v>
      </c>
      <c r="H917" t="n">
        <v>106.38</v>
      </c>
      <c r="I917" t="inlineStr">
        <is>
          <t>boleto</t>
        </is>
      </c>
      <c r="J917" t="n">
        <v>6</v>
      </c>
      <c r="K917" t="inlineStr">
        <is>
          <t>On Time</t>
        </is>
      </c>
      <c r="L917" t="n">
        <v>5</v>
      </c>
      <c r="M917">
        <f>VLOOKUP(D917,State_Lookup!$A$2:$B$28,2,FALSE)</f>
        <v/>
      </c>
    </row>
    <row r="918">
      <c r="A918" t="inlineStr">
        <is>
          <t>742a36775534b588ed2a62ba4c2d9cd7</t>
        </is>
      </c>
      <c r="B918" t="inlineStr">
        <is>
          <t>2017-07-28</t>
        </is>
      </c>
      <c r="C918" t="inlineStr">
        <is>
          <t>2017-07</t>
        </is>
      </c>
      <c r="D918" t="inlineStr">
        <is>
          <t>SP</t>
        </is>
      </c>
      <c r="E918" t="inlineStr">
        <is>
          <t>cds_dvds_musicals</t>
        </is>
      </c>
      <c r="F918" t="n">
        <v>1</v>
      </c>
      <c r="G918" t="n">
        <v>45</v>
      </c>
      <c r="H918" t="n">
        <v>9.94</v>
      </c>
      <c r="I918" t="inlineStr">
        <is>
          <t>boleto</t>
        </is>
      </c>
      <c r="J918" t="n">
        <v>15</v>
      </c>
      <c r="K918" t="inlineStr">
        <is>
          <t>On Time</t>
        </is>
      </c>
      <c r="L918" t="n">
        <v>4</v>
      </c>
      <c r="M918">
        <f>VLOOKUP(D918,State_Lookup!$A$2:$B$28,2,FALSE)</f>
        <v/>
      </c>
    </row>
    <row r="919">
      <c r="A919" t="inlineStr">
        <is>
          <t>d036b12f69efa48855cbfa30a2db23c6</t>
        </is>
      </c>
      <c r="B919" t="inlineStr">
        <is>
          <t>2017-07-28</t>
        </is>
      </c>
      <c r="C919" t="inlineStr">
        <is>
          <t>2017-07</t>
        </is>
      </c>
      <c r="D919" t="inlineStr">
        <is>
          <t>SP</t>
        </is>
      </c>
      <c r="E919" t="inlineStr">
        <is>
          <t>cool_stuff</t>
        </is>
      </c>
      <c r="F919" t="n">
        <v>1</v>
      </c>
      <c r="G919" t="n">
        <v>229.99</v>
      </c>
      <c r="H919" t="n">
        <v>14.16</v>
      </c>
      <c r="I919" t="inlineStr">
        <is>
          <t>credit_card</t>
        </is>
      </c>
      <c r="J919" t="n">
        <v>1</v>
      </c>
      <c r="K919" t="inlineStr">
        <is>
          <t>On Time</t>
        </is>
      </c>
      <c r="L919" t="n">
        <v>5</v>
      </c>
      <c r="M919">
        <f>VLOOKUP(D919,State_Lookup!$A$2:$B$28,2,FALSE)</f>
        <v/>
      </c>
    </row>
    <row r="920">
      <c r="A920" t="inlineStr">
        <is>
          <t>fac313dbb6add2eb12c5dc3cb6e6e807</t>
        </is>
      </c>
      <c r="B920" t="inlineStr">
        <is>
          <t>2017-07-28</t>
        </is>
      </c>
      <c r="C920" t="inlineStr">
        <is>
          <t>2017-07</t>
        </is>
      </c>
      <c r="D920" t="inlineStr">
        <is>
          <t>MG</t>
        </is>
      </c>
      <c r="E920" t="inlineStr">
        <is>
          <t>stationery</t>
        </is>
      </c>
      <c r="F920" t="n">
        <v>1</v>
      </c>
      <c r="G920" t="n">
        <v>29.9</v>
      </c>
      <c r="H920" t="n">
        <v>17.6</v>
      </c>
      <c r="I920" t="inlineStr">
        <is>
          <t>credit_card</t>
        </is>
      </c>
      <c r="J920" t="n">
        <v>5</v>
      </c>
      <c r="K920" t="inlineStr">
        <is>
          <t>On Time</t>
        </is>
      </c>
      <c r="L920" t="n">
        <v>5</v>
      </c>
      <c r="M920">
        <f>VLOOKUP(D920,State_Lookup!$A$2:$B$28,2,FALSE)</f>
        <v/>
      </c>
    </row>
    <row r="921">
      <c r="A921" t="inlineStr">
        <is>
          <t>7ddd225286ba5817d36116c8d2300407</t>
        </is>
      </c>
      <c r="B921" t="inlineStr">
        <is>
          <t>2017-07-28</t>
        </is>
      </c>
      <c r="C921" t="inlineStr">
        <is>
          <t>2017-07</t>
        </is>
      </c>
      <c r="D921" t="inlineStr">
        <is>
          <t>MG</t>
        </is>
      </c>
      <c r="E921" t="inlineStr">
        <is>
          <t>furniture_decor</t>
        </is>
      </c>
      <c r="F921" t="n">
        <v>1</v>
      </c>
      <c r="G921" t="n">
        <v>75</v>
      </c>
      <c r="H921" t="n">
        <v>20.02</v>
      </c>
      <c r="I921" t="inlineStr">
        <is>
          <t>credit_card</t>
        </is>
      </c>
      <c r="J921" t="n">
        <v>10</v>
      </c>
      <c r="K921" t="inlineStr">
        <is>
          <t>On Time</t>
        </is>
      </c>
      <c r="L921" t="n">
        <v>4</v>
      </c>
      <c r="M921">
        <f>VLOOKUP(D921,State_Lookup!$A$2:$B$28,2,FALSE)</f>
        <v/>
      </c>
    </row>
    <row r="922">
      <c r="A922" t="inlineStr">
        <is>
          <t>5d0603425fc99ce2d2f5b3eec417a09c</t>
        </is>
      </c>
      <c r="B922" t="inlineStr">
        <is>
          <t>2017-07-28</t>
        </is>
      </c>
      <c r="C922" t="inlineStr">
        <is>
          <t>2017-07</t>
        </is>
      </c>
      <c r="D922" t="inlineStr">
        <is>
          <t>SC</t>
        </is>
      </c>
      <c r="E922" t="inlineStr">
        <is>
          <t>sports_leisure</t>
        </is>
      </c>
      <c r="F922" t="n">
        <v>1</v>
      </c>
      <c r="G922" t="n">
        <v>65.90000000000001</v>
      </c>
      <c r="H922" t="n">
        <v>15.22</v>
      </c>
      <c r="I922" t="inlineStr">
        <is>
          <t>credit_card</t>
        </is>
      </c>
      <c r="J922" t="n">
        <v>19</v>
      </c>
      <c r="K922" t="inlineStr">
        <is>
          <t>On Time</t>
        </is>
      </c>
      <c r="L922" t="n">
        <v>5</v>
      </c>
      <c r="M922">
        <f>VLOOKUP(D922,State_Lookup!$A$2:$B$28,2,FALSE)</f>
        <v/>
      </c>
    </row>
    <row r="923">
      <c r="A923" t="inlineStr">
        <is>
          <t>8e0ea21ee6cfe4bbb2269955fb3967cc</t>
        </is>
      </c>
      <c r="B923" t="inlineStr">
        <is>
          <t>2017-07-28</t>
        </is>
      </c>
      <c r="C923" t="inlineStr">
        <is>
          <t>2017-07</t>
        </is>
      </c>
      <c r="D923" t="inlineStr">
        <is>
          <t>PR</t>
        </is>
      </c>
      <c r="E923" t="inlineStr">
        <is>
          <t>auto</t>
        </is>
      </c>
      <c r="F923" t="n">
        <v>2</v>
      </c>
      <c r="G923" t="n">
        <v>290</v>
      </c>
      <c r="H923" t="n">
        <v>90.94</v>
      </c>
      <c r="I923" t="inlineStr">
        <is>
          <t>credit_card</t>
        </is>
      </c>
      <c r="J923" t="n">
        <v>10</v>
      </c>
      <c r="K923" t="inlineStr">
        <is>
          <t>On Time</t>
        </is>
      </c>
      <c r="L923" t="n">
        <v>2</v>
      </c>
      <c r="M923">
        <f>VLOOKUP(D923,State_Lookup!$A$2:$B$28,2,FALSE)</f>
        <v/>
      </c>
    </row>
    <row r="924">
      <c r="A924" t="inlineStr">
        <is>
          <t>a1b9f97c297857f45e57da6387381de5</t>
        </is>
      </c>
      <c r="B924" t="inlineStr">
        <is>
          <t>2017-07-29</t>
        </is>
      </c>
      <c r="C924" t="inlineStr">
        <is>
          <t>2017-07</t>
        </is>
      </c>
      <c r="D924" t="inlineStr">
        <is>
          <t>PR</t>
        </is>
      </c>
      <c r="E924" t="inlineStr">
        <is>
          <t>fashion_bags_accessories</t>
        </is>
      </c>
      <c r="F924" t="n">
        <v>1</v>
      </c>
      <c r="G924" t="n">
        <v>49.9</v>
      </c>
      <c r="H924" t="n">
        <v>15.1</v>
      </c>
      <c r="I924" t="inlineStr">
        <is>
          <t>credit_card</t>
        </is>
      </c>
      <c r="J924" t="n">
        <v>11</v>
      </c>
      <c r="K924" t="inlineStr">
        <is>
          <t>On Time</t>
        </is>
      </c>
      <c r="L924" t="n">
        <v>5</v>
      </c>
      <c r="M924">
        <f>VLOOKUP(D924,State_Lookup!$A$2:$B$28,2,FALSE)</f>
        <v/>
      </c>
    </row>
    <row r="925">
      <c r="A925" t="inlineStr">
        <is>
          <t>24afc354365baea8f460c85b4d78b9e4</t>
        </is>
      </c>
      <c r="B925" t="inlineStr">
        <is>
          <t>2017-07-29</t>
        </is>
      </c>
      <c r="C925" t="inlineStr">
        <is>
          <t>2017-07</t>
        </is>
      </c>
      <c r="D925" t="inlineStr">
        <is>
          <t>MG</t>
        </is>
      </c>
      <c r="E925" t="inlineStr">
        <is>
          <t>fashion_underwear_beach</t>
        </is>
      </c>
      <c r="F925" t="n">
        <v>1</v>
      </c>
      <c r="G925" t="n">
        <v>155</v>
      </c>
      <c r="H925" t="n">
        <v>15.84</v>
      </c>
      <c r="I925" t="inlineStr">
        <is>
          <t>credit_card</t>
        </is>
      </c>
      <c r="J925" t="n">
        <v>9</v>
      </c>
      <c r="K925" t="inlineStr">
        <is>
          <t>On Time</t>
        </is>
      </c>
      <c r="L925" t="n">
        <v>4</v>
      </c>
      <c r="M925">
        <f>VLOOKUP(D925,State_Lookup!$A$2:$B$28,2,FALSE)</f>
        <v/>
      </c>
    </row>
    <row r="926">
      <c r="A926" t="inlineStr">
        <is>
          <t>152066afaaba08a8a38cb198f0b9b38a</t>
        </is>
      </c>
      <c r="B926" t="inlineStr">
        <is>
          <t>2017-07-29</t>
        </is>
      </c>
      <c r="C926" t="inlineStr">
        <is>
          <t>2017-07</t>
        </is>
      </c>
      <c r="D926" t="inlineStr">
        <is>
          <t>RJ</t>
        </is>
      </c>
      <c r="E926" t="inlineStr">
        <is>
          <t>toys</t>
        </is>
      </c>
      <c r="F926" t="n">
        <v>1</v>
      </c>
      <c r="G926" t="n">
        <v>37.9</v>
      </c>
      <c r="H926" t="n">
        <v>12.48</v>
      </c>
      <c r="I926" t="inlineStr">
        <is>
          <t>boleto</t>
        </is>
      </c>
      <c r="J926" t="n">
        <v>9</v>
      </c>
      <c r="K926" t="inlineStr">
        <is>
          <t>On Time</t>
        </is>
      </c>
      <c r="L926" t="n">
        <v>5</v>
      </c>
      <c r="M926">
        <f>VLOOKUP(D926,State_Lookup!$A$2:$B$28,2,FALSE)</f>
        <v/>
      </c>
    </row>
    <row r="927">
      <c r="A927" t="inlineStr">
        <is>
          <t>38b40f7c313e9e6b08f38e7bce6d93fd</t>
        </is>
      </c>
      <c r="B927" t="inlineStr">
        <is>
          <t>2017-07-29</t>
        </is>
      </c>
      <c r="C927" t="inlineStr">
        <is>
          <t>2017-07</t>
        </is>
      </c>
      <c r="D927" t="inlineStr">
        <is>
          <t>MA</t>
        </is>
      </c>
      <c r="E927" t="inlineStr">
        <is>
          <t>fashion_bags_accessories</t>
        </is>
      </c>
      <c r="F927" t="n">
        <v>1</v>
      </c>
      <c r="G927" t="n">
        <v>49.9</v>
      </c>
      <c r="H927" t="n">
        <v>34.15</v>
      </c>
      <c r="I927" t="inlineStr">
        <is>
          <t>credit_card</t>
        </is>
      </c>
      <c r="J927" t="n">
        <v>17</v>
      </c>
      <c r="K927" t="inlineStr">
        <is>
          <t>On Time</t>
        </is>
      </c>
      <c r="L927" t="n">
        <v>5</v>
      </c>
      <c r="M927">
        <f>VLOOKUP(D927,State_Lookup!$A$2:$B$28,2,FALSE)</f>
        <v/>
      </c>
    </row>
    <row r="928">
      <c r="A928" t="inlineStr">
        <is>
          <t>58ce513a55c740a3a81e8c8b75e2582a</t>
        </is>
      </c>
      <c r="B928" t="inlineStr">
        <is>
          <t>2017-07-29</t>
        </is>
      </c>
      <c r="C928" t="inlineStr">
        <is>
          <t>2017-07</t>
        </is>
      </c>
      <c r="D928" t="inlineStr">
        <is>
          <t>SP</t>
        </is>
      </c>
      <c r="E928" t="inlineStr">
        <is>
          <t>perfumery</t>
        </is>
      </c>
      <c r="F928" t="n">
        <v>1</v>
      </c>
      <c r="G928" t="n">
        <v>56.99</v>
      </c>
      <c r="H928" t="n">
        <v>8.720000000000001</v>
      </c>
      <c r="I928" t="inlineStr">
        <is>
          <t>credit_card</t>
        </is>
      </c>
      <c r="J928" t="inlineStr"/>
      <c r="K928" t="inlineStr">
        <is>
          <t>Not Delivered</t>
        </is>
      </c>
      <c r="L928" t="n">
        <v>1</v>
      </c>
      <c r="M928">
        <f>VLOOKUP(D928,State_Lookup!$A$2:$B$28,2,FALSE)</f>
        <v/>
      </c>
    </row>
    <row r="929">
      <c r="A929" t="inlineStr">
        <is>
          <t>a5be0f3a1b2874d7a949d0234acd688f</t>
        </is>
      </c>
      <c r="B929" t="inlineStr">
        <is>
          <t>2017-07-29</t>
        </is>
      </c>
      <c r="C929" t="inlineStr">
        <is>
          <t>2017-07</t>
        </is>
      </c>
      <c r="D929" t="inlineStr">
        <is>
          <t>SP</t>
        </is>
      </c>
      <c r="E929" t="inlineStr">
        <is>
          <t>furniture_decor</t>
        </is>
      </c>
      <c r="F929" t="n">
        <v>1</v>
      </c>
      <c r="G929" t="n">
        <v>249.9</v>
      </c>
      <c r="H929" t="n">
        <v>62.49</v>
      </c>
      <c r="I929" t="inlineStr">
        <is>
          <t>credit_card</t>
        </is>
      </c>
      <c r="J929" t="n">
        <v>16</v>
      </c>
      <c r="K929" t="inlineStr">
        <is>
          <t>On Time</t>
        </is>
      </c>
      <c r="L929" t="n">
        <v>1</v>
      </c>
      <c r="M929">
        <f>VLOOKUP(D929,State_Lookup!$A$2:$B$28,2,FALSE)</f>
        <v/>
      </c>
    </row>
    <row r="930">
      <c r="A930" t="inlineStr">
        <is>
          <t>1ecad0e8ea57760ebd5ea7863ec48b06</t>
        </is>
      </c>
      <c r="B930" t="inlineStr">
        <is>
          <t>2017-07-29</t>
        </is>
      </c>
      <c r="C930" t="inlineStr">
        <is>
          <t>2017-07</t>
        </is>
      </c>
      <c r="D930" t="inlineStr">
        <is>
          <t>SP</t>
        </is>
      </c>
      <c r="E930" t="inlineStr">
        <is>
          <t>cool_stuff</t>
        </is>
      </c>
      <c r="F930" t="n">
        <v>2</v>
      </c>
      <c r="G930" t="n">
        <v>459.98</v>
      </c>
      <c r="H930" t="n">
        <v>34.48</v>
      </c>
      <c r="I930" t="inlineStr">
        <is>
          <t>credit_card</t>
        </is>
      </c>
      <c r="J930" t="n">
        <v>6</v>
      </c>
      <c r="K930" t="inlineStr">
        <is>
          <t>On Time</t>
        </is>
      </c>
      <c r="L930" t="n">
        <v>1</v>
      </c>
      <c r="M930">
        <f>VLOOKUP(D930,State_Lookup!$A$2:$B$28,2,FALSE)</f>
        <v/>
      </c>
    </row>
    <row r="931">
      <c r="A931" t="inlineStr">
        <is>
          <t>3282d3194ddf7794d2ac89795ed74cd1</t>
        </is>
      </c>
      <c r="B931" t="inlineStr">
        <is>
          <t>2017-07-29</t>
        </is>
      </c>
      <c r="C931" t="inlineStr">
        <is>
          <t>2017-07</t>
        </is>
      </c>
      <c r="D931" t="inlineStr">
        <is>
          <t>AM</t>
        </is>
      </c>
      <c r="E931" t="inlineStr">
        <is>
          <t>telephony</t>
        </is>
      </c>
      <c r="F931" t="n">
        <v>1</v>
      </c>
      <c r="G931" t="n">
        <v>189.9</v>
      </c>
      <c r="H931" t="n">
        <v>22.13</v>
      </c>
      <c r="I931" t="inlineStr">
        <is>
          <t>credit_card</t>
        </is>
      </c>
      <c r="J931" t="n">
        <v>8</v>
      </c>
      <c r="K931" t="inlineStr">
        <is>
          <t>On Time</t>
        </is>
      </c>
      <c r="L931" t="n">
        <v>5</v>
      </c>
      <c r="M931">
        <f>VLOOKUP(D931,State_Lookup!$A$2:$B$28,2,FALSE)</f>
        <v/>
      </c>
    </row>
    <row r="932">
      <c r="A932" t="inlineStr">
        <is>
          <t>12aef789cfc998f5f44ddf27c24e354d</t>
        </is>
      </c>
      <c r="B932" t="inlineStr">
        <is>
          <t>2017-07-29</t>
        </is>
      </c>
      <c r="C932" t="inlineStr">
        <is>
          <t>2017-07</t>
        </is>
      </c>
      <c r="D932" t="inlineStr">
        <is>
          <t>MA</t>
        </is>
      </c>
      <c r="E932" t="inlineStr">
        <is>
          <t>cool_stuff</t>
        </is>
      </c>
      <c r="F932" t="n">
        <v>1</v>
      </c>
      <c r="G932" t="n">
        <v>99.98999999999999</v>
      </c>
      <c r="H932" t="n">
        <v>38.25</v>
      </c>
      <c r="I932" t="inlineStr">
        <is>
          <t>credit_card</t>
        </is>
      </c>
      <c r="J932" t="n">
        <v>13</v>
      </c>
      <c r="K932" t="inlineStr">
        <is>
          <t>On Time</t>
        </is>
      </c>
      <c r="L932" t="n">
        <v>1</v>
      </c>
      <c r="M932">
        <f>VLOOKUP(D932,State_Lookup!$A$2:$B$28,2,FALSE)</f>
        <v/>
      </c>
    </row>
    <row r="933">
      <c r="A933" t="inlineStr">
        <is>
          <t>a9fa8567c21a5f8e4450af02a87f26cb</t>
        </is>
      </c>
      <c r="B933" t="inlineStr">
        <is>
          <t>2017-07-29</t>
        </is>
      </c>
      <c r="C933" t="inlineStr">
        <is>
          <t>2017-07</t>
        </is>
      </c>
      <c r="D933" t="inlineStr">
        <is>
          <t>SC</t>
        </is>
      </c>
      <c r="E933" t="inlineStr">
        <is>
          <t>sports_leisure</t>
        </is>
      </c>
      <c r="F933" t="n">
        <v>1</v>
      </c>
      <c r="G933" t="n">
        <v>112</v>
      </c>
      <c r="H933" t="n">
        <v>16.54</v>
      </c>
      <c r="I933" t="inlineStr">
        <is>
          <t>credit_card</t>
        </is>
      </c>
      <c r="J933" t="n">
        <v>18</v>
      </c>
      <c r="K933" t="inlineStr">
        <is>
          <t>On Time</t>
        </is>
      </c>
      <c r="L933" t="n">
        <v>5</v>
      </c>
      <c r="M933">
        <f>VLOOKUP(D933,State_Lookup!$A$2:$B$28,2,FALSE)</f>
        <v/>
      </c>
    </row>
    <row r="934">
      <c r="A934" t="inlineStr">
        <is>
          <t>b029a781059e5676835a903e614e845d</t>
        </is>
      </c>
      <c r="B934" t="inlineStr">
        <is>
          <t>2017-07-29</t>
        </is>
      </c>
      <c r="C934" t="inlineStr">
        <is>
          <t>2017-07</t>
        </is>
      </c>
      <c r="D934" t="inlineStr">
        <is>
          <t>MG</t>
        </is>
      </c>
      <c r="E934" t="inlineStr">
        <is>
          <t>small_appliances</t>
        </is>
      </c>
      <c r="F934" t="n">
        <v>1</v>
      </c>
      <c r="G934" t="n">
        <v>103.99</v>
      </c>
      <c r="H934" t="n">
        <v>21.22</v>
      </c>
      <c r="I934" t="inlineStr">
        <is>
          <t>credit_card</t>
        </is>
      </c>
      <c r="J934" t="n">
        <v>9</v>
      </c>
      <c r="K934" t="inlineStr">
        <is>
          <t>On Time</t>
        </is>
      </c>
      <c r="L934" t="n">
        <v>5</v>
      </c>
      <c r="M934">
        <f>VLOOKUP(D934,State_Lookup!$A$2:$B$28,2,FALSE)</f>
        <v/>
      </c>
    </row>
    <row r="935">
      <c r="A935" t="inlineStr">
        <is>
          <t>bb0053cdec4b5850b4682e029eb3347f</t>
        </is>
      </c>
      <c r="B935" t="inlineStr">
        <is>
          <t>2017-07-30</t>
        </is>
      </c>
      <c r="C935" t="inlineStr">
        <is>
          <t>2017-07</t>
        </is>
      </c>
      <c r="D935" t="inlineStr">
        <is>
          <t>SP</t>
        </is>
      </c>
      <c r="E935" t="inlineStr">
        <is>
          <t>furniture_decor</t>
        </is>
      </c>
      <c r="F935" t="n">
        <v>3</v>
      </c>
      <c r="G935" t="n">
        <v>206.05</v>
      </c>
      <c r="H935" t="n">
        <v>39.81</v>
      </c>
      <c r="I935" t="inlineStr">
        <is>
          <t>credit_card</t>
        </is>
      </c>
      <c r="J935" t="n">
        <v>8</v>
      </c>
      <c r="K935" t="inlineStr">
        <is>
          <t>On Time</t>
        </is>
      </c>
      <c r="L935" t="n">
        <v>1</v>
      </c>
      <c r="M935">
        <f>VLOOKUP(D935,State_Lookup!$A$2:$B$28,2,FALSE)</f>
        <v/>
      </c>
    </row>
    <row r="936">
      <c r="A936" t="inlineStr">
        <is>
          <t>d0843f8d9dcf8320e48984dd4a52d652</t>
        </is>
      </c>
      <c r="B936" t="inlineStr">
        <is>
          <t>2017-07-30</t>
        </is>
      </c>
      <c r="C936" t="inlineStr">
        <is>
          <t>2017-07</t>
        </is>
      </c>
      <c r="D936" t="inlineStr">
        <is>
          <t>SP</t>
        </is>
      </c>
      <c r="E936" t="inlineStr">
        <is>
          <t>bed_bath_table</t>
        </is>
      </c>
      <c r="F936" t="n">
        <v>1</v>
      </c>
      <c r="G936" t="n">
        <v>54.9</v>
      </c>
      <c r="H936" t="n">
        <v>13.08</v>
      </c>
      <c r="I936" t="inlineStr">
        <is>
          <t>credit_card</t>
        </is>
      </c>
      <c r="J936" t="n">
        <v>1</v>
      </c>
      <c r="K936" t="inlineStr">
        <is>
          <t>On Time</t>
        </is>
      </c>
      <c r="L936" t="n">
        <v>5</v>
      </c>
      <c r="M936">
        <f>VLOOKUP(D936,State_Lookup!$A$2:$B$28,2,FALSE)</f>
        <v/>
      </c>
    </row>
    <row r="937">
      <c r="A937" t="inlineStr">
        <is>
          <t>f1d6d7277ac0980ac1b522e9502d87c9</t>
        </is>
      </c>
      <c r="B937" t="inlineStr">
        <is>
          <t>2017-07-30</t>
        </is>
      </c>
      <c r="C937" t="inlineStr">
        <is>
          <t>2017-07</t>
        </is>
      </c>
      <c r="D937" t="inlineStr">
        <is>
          <t>PR</t>
        </is>
      </c>
      <c r="E937" t="inlineStr">
        <is>
          <t>bed_bath_table</t>
        </is>
      </c>
      <c r="F937" t="n">
        <v>1</v>
      </c>
      <c r="G937" t="n">
        <v>59.9</v>
      </c>
      <c r="H937" t="n">
        <v>15.17</v>
      </c>
      <c r="I937" t="inlineStr">
        <is>
          <t>credit_card</t>
        </is>
      </c>
      <c r="J937" t="n">
        <v>11</v>
      </c>
      <c r="K937" t="inlineStr">
        <is>
          <t>On Time</t>
        </is>
      </c>
      <c r="L937" t="n">
        <v>5</v>
      </c>
      <c r="M937">
        <f>VLOOKUP(D937,State_Lookup!$A$2:$B$28,2,FALSE)</f>
        <v/>
      </c>
    </row>
    <row r="938">
      <c r="A938" t="inlineStr">
        <is>
          <t>cf5e18822d6c886902d93a7a709a8950</t>
        </is>
      </c>
      <c r="B938" t="inlineStr">
        <is>
          <t>2017-07-31</t>
        </is>
      </c>
      <c r="C938" t="inlineStr">
        <is>
          <t>2017-07</t>
        </is>
      </c>
      <c r="D938" t="inlineStr">
        <is>
          <t>MG</t>
        </is>
      </c>
      <c r="E938" t="inlineStr">
        <is>
          <t>computers_accessories</t>
        </is>
      </c>
      <c r="F938" t="n">
        <v>1</v>
      </c>
      <c r="G938" t="n">
        <v>7.99</v>
      </c>
      <c r="H938" t="n">
        <v>16.11</v>
      </c>
      <c r="I938" t="inlineStr">
        <is>
          <t>credit_card</t>
        </is>
      </c>
      <c r="J938" t="n">
        <v>8</v>
      </c>
      <c r="K938" t="inlineStr">
        <is>
          <t>On Time</t>
        </is>
      </c>
      <c r="L938" t="n">
        <v>5</v>
      </c>
      <c r="M938">
        <f>VLOOKUP(D938,State_Lookup!$A$2:$B$28,2,FALSE)</f>
        <v/>
      </c>
    </row>
    <row r="939">
      <c r="A939" t="inlineStr">
        <is>
          <t>ee95946f63d71c44f715e74b27adb2cd</t>
        </is>
      </c>
      <c r="B939" t="inlineStr">
        <is>
          <t>2017-07-31</t>
        </is>
      </c>
      <c r="C939" t="inlineStr">
        <is>
          <t>2017-07</t>
        </is>
      </c>
      <c r="D939" t="inlineStr">
        <is>
          <t>SC</t>
        </is>
      </c>
      <c r="E939" t="inlineStr">
        <is>
          <t>watches_gifts</t>
        </is>
      </c>
      <c r="F939" t="n">
        <v>1</v>
      </c>
      <c r="G939" t="n">
        <v>129</v>
      </c>
      <c r="H939" t="n">
        <v>15.65</v>
      </c>
      <c r="I939" t="inlineStr">
        <is>
          <t>credit_card</t>
        </is>
      </c>
      <c r="J939" t="n">
        <v>9</v>
      </c>
      <c r="K939" t="inlineStr">
        <is>
          <t>On Time</t>
        </is>
      </c>
      <c r="L939" t="n">
        <v>1</v>
      </c>
      <c r="M939">
        <f>VLOOKUP(D939,State_Lookup!$A$2:$B$28,2,FALSE)</f>
        <v/>
      </c>
    </row>
    <row r="940">
      <c r="A940" t="inlineStr">
        <is>
          <t>b5e50b7fddcc5f12ecb97b4d5f455f61</t>
        </is>
      </c>
      <c r="B940" t="inlineStr">
        <is>
          <t>2017-07-31</t>
        </is>
      </c>
      <c r="C940" t="inlineStr">
        <is>
          <t>2017-07</t>
        </is>
      </c>
      <c r="D940" t="inlineStr">
        <is>
          <t>MG</t>
        </is>
      </c>
      <c r="E940" t="inlineStr">
        <is>
          <t>sports_leisure</t>
        </is>
      </c>
      <c r="F940" t="n">
        <v>1</v>
      </c>
      <c r="G940" t="n">
        <v>181</v>
      </c>
      <c r="H940" t="n">
        <v>21.76</v>
      </c>
      <c r="I940" t="inlineStr">
        <is>
          <t>credit_card</t>
        </is>
      </c>
      <c r="J940" t="n">
        <v>10</v>
      </c>
      <c r="K940" t="inlineStr">
        <is>
          <t>On Time</t>
        </is>
      </c>
      <c r="L940" t="n">
        <v>5</v>
      </c>
      <c r="M940">
        <f>VLOOKUP(D940,State_Lookup!$A$2:$B$28,2,FALSE)</f>
        <v/>
      </c>
    </row>
    <row r="941">
      <c r="A941" t="inlineStr">
        <is>
          <t>0360de67db844d693e3060a8b79eac4b</t>
        </is>
      </c>
      <c r="B941" t="inlineStr">
        <is>
          <t>2017-07-31</t>
        </is>
      </c>
      <c r="C941" t="inlineStr">
        <is>
          <t>2017-07</t>
        </is>
      </c>
      <c r="D941" t="inlineStr">
        <is>
          <t>RJ</t>
        </is>
      </c>
      <c r="E941" t="inlineStr">
        <is>
          <t>computers_accessories</t>
        </is>
      </c>
      <c r="F941" t="n">
        <v>1</v>
      </c>
      <c r="G941" t="n">
        <v>49.9</v>
      </c>
      <c r="H941" t="n">
        <v>15.1</v>
      </c>
      <c r="I941" t="inlineStr">
        <is>
          <t>credit_card</t>
        </is>
      </c>
      <c r="J941" t="n">
        <v>14</v>
      </c>
      <c r="K941" t="inlineStr">
        <is>
          <t>On Time</t>
        </is>
      </c>
      <c r="L941" t="n">
        <v>5</v>
      </c>
      <c r="M941">
        <f>VLOOKUP(D941,State_Lookup!$A$2:$B$28,2,FALSE)</f>
        <v/>
      </c>
    </row>
    <row r="942">
      <c r="A942" t="inlineStr">
        <is>
          <t>20073b5a4f4e82bae239dda7b336ca5e</t>
        </is>
      </c>
      <c r="B942" t="inlineStr">
        <is>
          <t>2017-08-01</t>
        </is>
      </c>
      <c r="C942" t="inlineStr">
        <is>
          <t>2017-08</t>
        </is>
      </c>
      <c r="D942" t="inlineStr">
        <is>
          <t>MG</t>
        </is>
      </c>
      <c r="E942" t="inlineStr">
        <is>
          <t>health_beauty</t>
        </is>
      </c>
      <c r="F942" t="n">
        <v>1</v>
      </c>
      <c r="G942" t="n">
        <v>169</v>
      </c>
      <c r="H942" t="n">
        <v>15.93</v>
      </c>
      <c r="I942" t="inlineStr">
        <is>
          <t>credit_card</t>
        </is>
      </c>
      <c r="J942" t="n">
        <v>9</v>
      </c>
      <c r="K942" t="inlineStr">
        <is>
          <t>On Time</t>
        </is>
      </c>
      <c r="L942" t="n">
        <v>5</v>
      </c>
      <c r="M942">
        <f>VLOOKUP(D942,State_Lookup!$A$2:$B$28,2,FALSE)</f>
        <v/>
      </c>
    </row>
    <row r="943">
      <c r="A943" t="inlineStr">
        <is>
          <t>2e6d2d54826e3dc0cf96b86f6d029dbf</t>
        </is>
      </c>
      <c r="B943" t="inlineStr">
        <is>
          <t>2017-08-01</t>
        </is>
      </c>
      <c r="C943" t="inlineStr">
        <is>
          <t>2017-08</t>
        </is>
      </c>
      <c r="D943" t="inlineStr">
        <is>
          <t>SP</t>
        </is>
      </c>
      <c r="E943" t="inlineStr">
        <is>
          <t>computers_accessories</t>
        </is>
      </c>
      <c r="F943" t="n">
        <v>1</v>
      </c>
      <c r="G943" t="n">
        <v>49.99</v>
      </c>
      <c r="H943" t="n">
        <v>12.48</v>
      </c>
      <c r="I943" t="inlineStr">
        <is>
          <t>voucher</t>
        </is>
      </c>
      <c r="J943" t="n">
        <v>11</v>
      </c>
      <c r="K943" t="inlineStr">
        <is>
          <t>On Time</t>
        </is>
      </c>
      <c r="L943" t="n">
        <v>3</v>
      </c>
      <c r="M943">
        <f>VLOOKUP(D943,State_Lookup!$A$2:$B$28,2,FALSE)</f>
        <v/>
      </c>
    </row>
    <row r="944">
      <c r="A944" t="inlineStr">
        <is>
          <t>f4ab3840a4f72a98a950099cfcb83502</t>
        </is>
      </c>
      <c r="B944" t="inlineStr">
        <is>
          <t>2017-08-01</t>
        </is>
      </c>
      <c r="C944" t="inlineStr">
        <is>
          <t>2017-08</t>
        </is>
      </c>
      <c r="D944" t="inlineStr">
        <is>
          <t>RS</t>
        </is>
      </c>
      <c r="E944" t="inlineStr">
        <is>
          <t>electronics</t>
        </is>
      </c>
      <c r="F944" t="n">
        <v>1</v>
      </c>
      <c r="G944" t="n">
        <v>18.9</v>
      </c>
      <c r="H944" t="n">
        <v>15.1</v>
      </c>
      <c r="I944" t="inlineStr">
        <is>
          <t>boleto</t>
        </is>
      </c>
      <c r="J944" t="n">
        <v>20</v>
      </c>
      <c r="K944" t="inlineStr">
        <is>
          <t>On Time</t>
        </is>
      </c>
      <c r="L944" t="n">
        <v>5</v>
      </c>
      <c r="M944">
        <f>VLOOKUP(D944,State_Lookup!$A$2:$B$28,2,FALSE)</f>
        <v/>
      </c>
    </row>
    <row r="945">
      <c r="A945" t="inlineStr">
        <is>
          <t>4259e68b0021b91e05471e07a45c813c</t>
        </is>
      </c>
      <c r="B945" t="inlineStr">
        <is>
          <t>2017-08-01</t>
        </is>
      </c>
      <c r="C945" t="inlineStr">
        <is>
          <t>2017-08</t>
        </is>
      </c>
      <c r="D945" t="inlineStr">
        <is>
          <t>BA</t>
        </is>
      </c>
      <c r="E945" t="inlineStr">
        <is>
          <t>sports_leisure</t>
        </is>
      </c>
      <c r="F945" t="n">
        <v>2</v>
      </c>
      <c r="G945" t="n">
        <v>229.98</v>
      </c>
      <c r="H945" t="n">
        <v>37.29</v>
      </c>
      <c r="I945" t="inlineStr">
        <is>
          <t>credit_card</t>
        </is>
      </c>
      <c r="J945" t="n">
        <v>6</v>
      </c>
      <c r="K945" t="inlineStr">
        <is>
          <t>On Time</t>
        </is>
      </c>
      <c r="L945" t="n">
        <v>1</v>
      </c>
      <c r="M945">
        <f>VLOOKUP(D945,State_Lookup!$A$2:$B$28,2,FALSE)</f>
        <v/>
      </c>
    </row>
    <row r="946">
      <c r="A946" t="inlineStr">
        <is>
          <t>6b4186f5efd99b748d530675413ef6cb</t>
        </is>
      </c>
      <c r="B946" t="inlineStr">
        <is>
          <t>2017-08-01</t>
        </is>
      </c>
      <c r="C946" t="inlineStr">
        <is>
          <t>2017-08</t>
        </is>
      </c>
      <c r="D946" t="inlineStr">
        <is>
          <t>ES</t>
        </is>
      </c>
      <c r="E946" t="inlineStr">
        <is>
          <t>computers_accessories</t>
        </is>
      </c>
      <c r="F946" t="n">
        <v>1</v>
      </c>
      <c r="G946" t="n">
        <v>44.99</v>
      </c>
      <c r="H946" t="n">
        <v>25.63</v>
      </c>
      <c r="I946" t="inlineStr">
        <is>
          <t>boleto</t>
        </is>
      </c>
      <c r="J946" t="n">
        <v>10</v>
      </c>
      <c r="K946" t="inlineStr">
        <is>
          <t>On Time</t>
        </is>
      </c>
      <c r="L946" t="n">
        <v>3</v>
      </c>
      <c r="M946">
        <f>VLOOKUP(D946,State_Lookup!$A$2:$B$28,2,FALSE)</f>
        <v/>
      </c>
    </row>
    <row r="947">
      <c r="A947" t="inlineStr">
        <is>
          <t>afd3ddd9caf7a0969cc51740136d4a4f</t>
        </is>
      </c>
      <c r="B947" t="inlineStr">
        <is>
          <t>2017-08-01</t>
        </is>
      </c>
      <c r="C947" t="inlineStr">
        <is>
          <t>2017-08</t>
        </is>
      </c>
      <c r="D947" t="inlineStr">
        <is>
          <t>CE</t>
        </is>
      </c>
      <c r="E947" t="inlineStr">
        <is>
          <t>telephony</t>
        </is>
      </c>
      <c r="F947" t="n">
        <v>1</v>
      </c>
      <c r="G947" t="n">
        <v>35.99</v>
      </c>
      <c r="H947" t="n">
        <v>17.63</v>
      </c>
      <c r="I947" t="inlineStr">
        <is>
          <t>credit_card</t>
        </is>
      </c>
      <c r="J947" t="n">
        <v>13</v>
      </c>
      <c r="K947" t="inlineStr">
        <is>
          <t>On Time</t>
        </is>
      </c>
      <c r="L947" t="n">
        <v>3</v>
      </c>
      <c r="M947">
        <f>VLOOKUP(D947,State_Lookup!$A$2:$B$28,2,FALSE)</f>
        <v/>
      </c>
    </row>
    <row r="948">
      <c r="A948" t="inlineStr">
        <is>
          <t>58293f63cf0304768ab4811c0f4dbe17</t>
        </is>
      </c>
      <c r="B948" t="inlineStr">
        <is>
          <t>2017-08-01</t>
        </is>
      </c>
      <c r="C948" t="inlineStr">
        <is>
          <t>2017-08</t>
        </is>
      </c>
      <c r="D948" t="inlineStr">
        <is>
          <t>SP</t>
        </is>
      </c>
      <c r="E948" t="inlineStr">
        <is>
          <t>air_conditioning</t>
        </is>
      </c>
      <c r="F948" t="n">
        <v>1</v>
      </c>
      <c r="G948" t="n">
        <v>99</v>
      </c>
      <c r="H948" t="n">
        <v>14.42</v>
      </c>
      <c r="I948" t="inlineStr">
        <is>
          <t>credit_card</t>
        </is>
      </c>
      <c r="J948" t="n">
        <v>10</v>
      </c>
      <c r="K948" t="inlineStr">
        <is>
          <t>On Time</t>
        </is>
      </c>
      <c r="L948" t="inlineStr"/>
      <c r="M948">
        <f>VLOOKUP(D948,State_Lookup!$A$2:$B$28,2,FALSE)</f>
        <v/>
      </c>
    </row>
    <row r="949">
      <c r="A949" t="inlineStr">
        <is>
          <t>9f746b29d9c50effb250e5b99c2c8874</t>
        </is>
      </c>
      <c r="B949" t="inlineStr">
        <is>
          <t>2017-08-01</t>
        </is>
      </c>
      <c r="C949" t="inlineStr">
        <is>
          <t>2017-08</t>
        </is>
      </c>
      <c r="D949" t="inlineStr">
        <is>
          <t>SP</t>
        </is>
      </c>
      <c r="E949" t="inlineStr">
        <is>
          <t>housewares</t>
        </is>
      </c>
      <c r="F949" t="n">
        <v>1</v>
      </c>
      <c r="G949" t="n">
        <v>19.9</v>
      </c>
      <c r="H949" t="n">
        <v>8.720000000000001</v>
      </c>
      <c r="I949" t="inlineStr">
        <is>
          <t>boleto</t>
        </is>
      </c>
      <c r="J949" t="n">
        <v>5</v>
      </c>
      <c r="K949" t="inlineStr">
        <is>
          <t>On Time</t>
        </is>
      </c>
      <c r="L949" t="n">
        <v>4</v>
      </c>
      <c r="M949">
        <f>VLOOKUP(D949,State_Lookup!$A$2:$B$28,2,FALSE)</f>
        <v/>
      </c>
    </row>
    <row r="950">
      <c r="A950" t="inlineStr">
        <is>
          <t>15e4f54bacc1f99c567ae071a016fa9b</t>
        </is>
      </c>
      <c r="B950" t="inlineStr">
        <is>
          <t>2017-08-01</t>
        </is>
      </c>
      <c r="C950" t="inlineStr">
        <is>
          <t>2017-08</t>
        </is>
      </c>
      <c r="D950" t="inlineStr">
        <is>
          <t>CE</t>
        </is>
      </c>
      <c r="E950" t="inlineStr">
        <is>
          <t>toys</t>
        </is>
      </c>
      <c r="F950" t="n">
        <v>1</v>
      </c>
      <c r="G950" t="n">
        <v>299.99</v>
      </c>
      <c r="H950" t="n">
        <v>39.65</v>
      </c>
      <c r="I950" t="inlineStr">
        <is>
          <t>credit_card</t>
        </is>
      </c>
      <c r="J950" t="n">
        <v>13</v>
      </c>
      <c r="K950" t="inlineStr">
        <is>
          <t>On Time</t>
        </is>
      </c>
      <c r="L950" t="n">
        <v>5</v>
      </c>
      <c r="M950">
        <f>VLOOKUP(D950,State_Lookup!$A$2:$B$28,2,FALSE)</f>
        <v/>
      </c>
    </row>
    <row r="951">
      <c r="A951" t="inlineStr">
        <is>
          <t>ec1b5ec39466f6bb902936532ae76e6a</t>
        </is>
      </c>
      <c r="B951" t="inlineStr">
        <is>
          <t>2017-08-01</t>
        </is>
      </c>
      <c r="C951" t="inlineStr">
        <is>
          <t>2017-08</t>
        </is>
      </c>
      <c r="D951" t="inlineStr">
        <is>
          <t>BA</t>
        </is>
      </c>
      <c r="E951" t="inlineStr">
        <is>
          <t>fixed_telephony</t>
        </is>
      </c>
      <c r="F951" t="n">
        <v>1</v>
      </c>
      <c r="G951" t="n">
        <v>32.99</v>
      </c>
      <c r="H951" t="n">
        <v>16.79</v>
      </c>
      <c r="I951" t="inlineStr">
        <is>
          <t>credit_card</t>
        </is>
      </c>
      <c r="J951" t="n">
        <v>23</v>
      </c>
      <c r="K951" t="inlineStr">
        <is>
          <t>On Time</t>
        </is>
      </c>
      <c r="L951" t="n">
        <v>3</v>
      </c>
      <c r="M951">
        <f>VLOOKUP(D951,State_Lookup!$A$2:$B$28,2,FALSE)</f>
        <v/>
      </c>
    </row>
    <row r="952">
      <c r="A952" t="inlineStr">
        <is>
          <t>8a8b616382f617096bdf45e1b3e7e3f5</t>
        </is>
      </c>
      <c r="B952" t="inlineStr">
        <is>
          <t>2017-08-02</t>
        </is>
      </c>
      <c r="C952" t="inlineStr">
        <is>
          <t>2017-08</t>
        </is>
      </c>
      <c r="D952" t="inlineStr">
        <is>
          <t>SP</t>
        </is>
      </c>
      <c r="E952" t="inlineStr">
        <is>
          <t>computers_accessories</t>
        </is>
      </c>
      <c r="F952" t="n">
        <v>1</v>
      </c>
      <c r="G952" t="n">
        <v>708</v>
      </c>
      <c r="H952" t="n">
        <v>13.24</v>
      </c>
      <c r="I952" t="inlineStr">
        <is>
          <t>credit_card</t>
        </is>
      </c>
      <c r="J952" t="n">
        <v>12</v>
      </c>
      <c r="K952" t="inlineStr">
        <is>
          <t>On Time</t>
        </is>
      </c>
      <c r="L952" t="n">
        <v>5</v>
      </c>
      <c r="M952">
        <f>VLOOKUP(D952,State_Lookup!$A$2:$B$28,2,FALSE)</f>
        <v/>
      </c>
    </row>
    <row r="953">
      <c r="A953" t="inlineStr">
        <is>
          <t>3cd02e6bd648bb14fb1f20e140ee4e15</t>
        </is>
      </c>
      <c r="B953" t="inlineStr">
        <is>
          <t>2017-08-02</t>
        </is>
      </c>
      <c r="C953" t="inlineStr">
        <is>
          <t>2017-08</t>
        </is>
      </c>
      <c r="D953" t="inlineStr">
        <is>
          <t>GO</t>
        </is>
      </c>
      <c r="E953" t="inlineStr">
        <is>
          <t>housewares</t>
        </is>
      </c>
      <c r="F953" t="n">
        <v>1</v>
      </c>
      <c r="G953" t="n">
        <v>167.99</v>
      </c>
      <c r="H953" t="n">
        <v>36.5</v>
      </c>
      <c r="I953" t="inlineStr">
        <is>
          <t>credit_card</t>
        </is>
      </c>
      <c r="J953" t="n">
        <v>13</v>
      </c>
      <c r="K953" t="inlineStr">
        <is>
          <t>On Time</t>
        </is>
      </c>
      <c r="L953" t="n">
        <v>3</v>
      </c>
      <c r="M953">
        <f>VLOOKUP(D953,State_Lookup!$A$2:$B$28,2,FALSE)</f>
        <v/>
      </c>
    </row>
    <row r="954">
      <c r="A954" t="inlineStr">
        <is>
          <t>7ce665a17cd6cb68137dc2816937a8a5</t>
        </is>
      </c>
      <c r="B954" t="inlineStr">
        <is>
          <t>2017-08-02</t>
        </is>
      </c>
      <c r="C954" t="inlineStr">
        <is>
          <t>2017-08</t>
        </is>
      </c>
      <c r="D954" t="inlineStr">
        <is>
          <t>MG</t>
        </is>
      </c>
      <c r="E954" t="inlineStr">
        <is>
          <t>unknown</t>
        </is>
      </c>
      <c r="F954" t="n">
        <v>1</v>
      </c>
      <c r="G954" t="n">
        <v>97</v>
      </c>
      <c r="H954" t="n">
        <v>16.93</v>
      </c>
      <c r="I954" t="inlineStr">
        <is>
          <t>credit_card</t>
        </is>
      </c>
      <c r="J954" t="n">
        <v>7</v>
      </c>
      <c r="K954" t="inlineStr">
        <is>
          <t>On Time</t>
        </is>
      </c>
      <c r="L954" t="n">
        <v>5</v>
      </c>
      <c r="M954">
        <f>VLOOKUP(D954,State_Lookup!$A$2:$B$28,2,FALSE)</f>
        <v/>
      </c>
    </row>
    <row r="955">
      <c r="A955" t="inlineStr">
        <is>
          <t>99444a1ae54c5cdeb0dc5e97b57aa6e5</t>
        </is>
      </c>
      <c r="B955" t="inlineStr">
        <is>
          <t>2017-08-02</t>
        </is>
      </c>
      <c r="C955" t="inlineStr">
        <is>
          <t>2017-08</t>
        </is>
      </c>
      <c r="D955" t="inlineStr">
        <is>
          <t>SP</t>
        </is>
      </c>
      <c r="E955" t="inlineStr">
        <is>
          <t>home_confort</t>
        </is>
      </c>
      <c r="F955" t="n">
        <v>1</v>
      </c>
      <c r="G955" t="n">
        <v>6.99</v>
      </c>
      <c r="H955" t="n">
        <v>11.85</v>
      </c>
      <c r="I955" t="inlineStr">
        <is>
          <t>voucher</t>
        </is>
      </c>
      <c r="J955" t="n">
        <v>6</v>
      </c>
      <c r="K955" t="inlineStr">
        <is>
          <t>On Time</t>
        </is>
      </c>
      <c r="L955" t="n">
        <v>2</v>
      </c>
      <c r="M955">
        <f>VLOOKUP(D955,State_Lookup!$A$2:$B$28,2,FALSE)</f>
        <v/>
      </c>
    </row>
    <row r="956">
      <c r="A956" t="inlineStr">
        <is>
          <t>3b5066af438aa1723c4e22290fe8dabd</t>
        </is>
      </c>
      <c r="B956" t="inlineStr">
        <is>
          <t>2017-08-02</t>
        </is>
      </c>
      <c r="C956" t="inlineStr">
        <is>
          <t>2017-08</t>
        </is>
      </c>
      <c r="D956" t="inlineStr">
        <is>
          <t>MG</t>
        </is>
      </c>
      <c r="E956" t="inlineStr">
        <is>
          <t>furniture_decor</t>
        </is>
      </c>
      <c r="F956" t="n">
        <v>2</v>
      </c>
      <c r="G956" t="n">
        <v>99.8</v>
      </c>
      <c r="H956" t="n">
        <v>32.22</v>
      </c>
      <c r="I956" t="inlineStr">
        <is>
          <t>boleto</t>
        </is>
      </c>
      <c r="J956" t="n">
        <v>9</v>
      </c>
      <c r="K956" t="inlineStr">
        <is>
          <t>On Time</t>
        </is>
      </c>
      <c r="L956" t="n">
        <v>1</v>
      </c>
      <c r="M956">
        <f>VLOOKUP(D956,State_Lookup!$A$2:$B$28,2,FALSE)</f>
        <v/>
      </c>
    </row>
    <row r="957">
      <c r="A957" t="inlineStr">
        <is>
          <t>dde56e42843e19685d241a25e192184e</t>
        </is>
      </c>
      <c r="B957" t="inlineStr">
        <is>
          <t>2017-08-03</t>
        </is>
      </c>
      <c r="C957" t="inlineStr">
        <is>
          <t>2017-08</t>
        </is>
      </c>
      <c r="D957" t="inlineStr">
        <is>
          <t>CE</t>
        </is>
      </c>
      <c r="E957" t="inlineStr">
        <is>
          <t>consoles_games</t>
        </is>
      </c>
      <c r="F957" t="n">
        <v>1</v>
      </c>
      <c r="G957" t="n">
        <v>102</v>
      </c>
      <c r="H957" t="n">
        <v>34.51</v>
      </c>
      <c r="I957" t="inlineStr">
        <is>
          <t>credit_card</t>
        </is>
      </c>
      <c r="J957" t="n">
        <v>25</v>
      </c>
      <c r="K957" t="inlineStr">
        <is>
          <t>On Time</t>
        </is>
      </c>
      <c r="L957" t="n">
        <v>5</v>
      </c>
      <c r="M957">
        <f>VLOOKUP(D957,State_Lookup!$A$2:$B$28,2,FALSE)</f>
        <v/>
      </c>
    </row>
    <row r="958">
      <c r="A958" t="inlineStr">
        <is>
          <t>32eb9533178668935fffbc324671e9d2</t>
        </is>
      </c>
      <c r="B958" t="inlineStr">
        <is>
          <t>2017-08-03</t>
        </is>
      </c>
      <c r="C958" t="inlineStr">
        <is>
          <t>2017-08</t>
        </is>
      </c>
      <c r="D958" t="inlineStr">
        <is>
          <t>BA</t>
        </is>
      </c>
      <c r="E958" t="inlineStr">
        <is>
          <t>cool_stuff</t>
        </is>
      </c>
      <c r="F958" t="n">
        <v>1</v>
      </c>
      <c r="G958" t="n">
        <v>87.98999999999999</v>
      </c>
      <c r="H958" t="n">
        <v>19.86</v>
      </c>
      <c r="I958" t="inlineStr">
        <is>
          <t>credit_card</t>
        </is>
      </c>
      <c r="J958" t="n">
        <v>20</v>
      </c>
      <c r="K958" t="inlineStr">
        <is>
          <t>On Time</t>
        </is>
      </c>
      <c r="L958" t="n">
        <v>5</v>
      </c>
      <c r="M958">
        <f>VLOOKUP(D958,State_Lookup!$A$2:$B$28,2,FALSE)</f>
        <v/>
      </c>
    </row>
    <row r="959">
      <c r="A959" t="inlineStr">
        <is>
          <t>186efcd656d8ac4332156f594df02572</t>
        </is>
      </c>
      <c r="B959" t="inlineStr">
        <is>
          <t>2017-08-03</t>
        </is>
      </c>
      <c r="C959" t="inlineStr">
        <is>
          <t>2017-08</t>
        </is>
      </c>
      <c r="D959" t="inlineStr">
        <is>
          <t>RJ</t>
        </is>
      </c>
      <c r="E959" t="inlineStr">
        <is>
          <t>home_appliances_2</t>
        </is>
      </c>
      <c r="F959" t="n">
        <v>1</v>
      </c>
      <c r="G959" t="n">
        <v>749</v>
      </c>
      <c r="H959" t="n">
        <v>90.40000000000001</v>
      </c>
      <c r="I959" t="inlineStr">
        <is>
          <t>credit_card</t>
        </is>
      </c>
      <c r="J959" t="n">
        <v>12</v>
      </c>
      <c r="K959" t="inlineStr">
        <is>
          <t>On Time</t>
        </is>
      </c>
      <c r="L959" t="n">
        <v>3</v>
      </c>
      <c r="M959">
        <f>VLOOKUP(D959,State_Lookup!$A$2:$B$28,2,FALSE)</f>
        <v/>
      </c>
    </row>
    <row r="960">
      <c r="A960" t="inlineStr">
        <is>
          <t>dc9470b246bc5c83e5e72f1897971fcb</t>
        </is>
      </c>
      <c r="B960" t="inlineStr">
        <is>
          <t>2017-08-03</t>
        </is>
      </c>
      <c r="C960" t="inlineStr">
        <is>
          <t>2017-08</t>
        </is>
      </c>
      <c r="D960" t="inlineStr">
        <is>
          <t>MG</t>
        </is>
      </c>
      <c r="E960" t="inlineStr">
        <is>
          <t>perfumery</t>
        </is>
      </c>
      <c r="F960" t="n">
        <v>2</v>
      </c>
      <c r="G960" t="n">
        <v>39.4</v>
      </c>
      <c r="H960" t="n">
        <v>29.4</v>
      </c>
      <c r="I960" t="inlineStr">
        <is>
          <t>credit_card</t>
        </is>
      </c>
      <c r="J960" t="n">
        <v>4</v>
      </c>
      <c r="K960" t="inlineStr">
        <is>
          <t>On Time</t>
        </is>
      </c>
      <c r="L960" t="n">
        <v>5</v>
      </c>
      <c r="M960">
        <f>VLOOKUP(D960,State_Lookup!$A$2:$B$28,2,FALSE)</f>
        <v/>
      </c>
    </row>
    <row r="961">
      <c r="A961" t="inlineStr">
        <is>
          <t>f10c009ca3eae0609b1ad632f68dcf67</t>
        </is>
      </c>
      <c r="B961" t="inlineStr">
        <is>
          <t>2017-08-03</t>
        </is>
      </c>
      <c r="C961" t="inlineStr">
        <is>
          <t>2017-08</t>
        </is>
      </c>
      <c r="D961" t="inlineStr">
        <is>
          <t>SP</t>
        </is>
      </c>
      <c r="E961" t="inlineStr">
        <is>
          <t>telephony</t>
        </is>
      </c>
      <c r="F961" t="n">
        <v>1</v>
      </c>
      <c r="G961" t="n">
        <v>199</v>
      </c>
      <c r="H961" t="n">
        <v>8.65</v>
      </c>
      <c r="I961" t="inlineStr">
        <is>
          <t>credit_card</t>
        </is>
      </c>
      <c r="J961" t="n">
        <v>1</v>
      </c>
      <c r="K961" t="inlineStr">
        <is>
          <t>On Time</t>
        </is>
      </c>
      <c r="L961" t="n">
        <v>5</v>
      </c>
      <c r="M961">
        <f>VLOOKUP(D961,State_Lookup!$A$2:$B$28,2,FALSE)</f>
        <v/>
      </c>
    </row>
    <row r="962">
      <c r="A962" t="inlineStr">
        <is>
          <t>834bdbe2274206828a57e58fef7f4935</t>
        </is>
      </c>
      <c r="B962" t="inlineStr">
        <is>
          <t>2017-08-03</t>
        </is>
      </c>
      <c r="C962" t="inlineStr">
        <is>
          <t>2017-08</t>
        </is>
      </c>
      <c r="D962" t="inlineStr">
        <is>
          <t>MG</t>
        </is>
      </c>
      <c r="E962" t="inlineStr">
        <is>
          <t>pet_shop</t>
        </is>
      </c>
      <c r="F962" t="n">
        <v>1</v>
      </c>
      <c r="G962" t="n">
        <v>69.90000000000001</v>
      </c>
      <c r="H962" t="n">
        <v>9.74</v>
      </c>
      <c r="I962" t="inlineStr">
        <is>
          <t>credit_card</t>
        </is>
      </c>
      <c r="J962" t="n">
        <v>4</v>
      </c>
      <c r="K962" t="inlineStr">
        <is>
          <t>On Time</t>
        </is>
      </c>
      <c r="L962" t="n">
        <v>5</v>
      </c>
      <c r="M962">
        <f>VLOOKUP(D962,State_Lookup!$A$2:$B$28,2,FALSE)</f>
        <v/>
      </c>
    </row>
    <row r="963">
      <c r="A963" t="inlineStr">
        <is>
          <t>584bd08b6d0a61391b57b2ac26416887</t>
        </is>
      </c>
      <c r="B963" t="inlineStr">
        <is>
          <t>2017-08-03</t>
        </is>
      </c>
      <c r="C963" t="inlineStr">
        <is>
          <t>2017-08</t>
        </is>
      </c>
      <c r="D963" t="inlineStr">
        <is>
          <t>SP</t>
        </is>
      </c>
      <c r="E963" t="inlineStr">
        <is>
          <t>cool_stuff</t>
        </is>
      </c>
      <c r="F963" t="n">
        <v>1</v>
      </c>
      <c r="G963" t="n">
        <v>62.99</v>
      </c>
      <c r="H963" t="n">
        <v>11.73</v>
      </c>
      <c r="I963" t="inlineStr">
        <is>
          <t>boleto</t>
        </is>
      </c>
      <c r="J963" t="n">
        <v>2</v>
      </c>
      <c r="K963" t="inlineStr">
        <is>
          <t>On Time</t>
        </is>
      </c>
      <c r="L963" t="n">
        <v>5</v>
      </c>
      <c r="M963">
        <f>VLOOKUP(D963,State_Lookup!$A$2:$B$28,2,FALSE)</f>
        <v/>
      </c>
    </row>
    <row r="964">
      <c r="A964" t="inlineStr">
        <is>
          <t>465e8161fdbe4ef42b3b8371bd96100e</t>
        </is>
      </c>
      <c r="B964" t="inlineStr">
        <is>
          <t>2017-08-04</t>
        </is>
      </c>
      <c r="C964" t="inlineStr">
        <is>
          <t>2017-08</t>
        </is>
      </c>
      <c r="D964" t="inlineStr">
        <is>
          <t>SP</t>
        </is>
      </c>
      <c r="E964" t="inlineStr">
        <is>
          <t>auto</t>
        </is>
      </c>
      <c r="F964" t="n">
        <v>1</v>
      </c>
      <c r="G964" t="n">
        <v>143.8</v>
      </c>
      <c r="H964" t="n">
        <v>18.9</v>
      </c>
      <c r="I964" t="inlineStr">
        <is>
          <t>credit_card</t>
        </is>
      </c>
      <c r="J964" t="n">
        <v>9</v>
      </c>
      <c r="K964" t="inlineStr">
        <is>
          <t>On Time</t>
        </is>
      </c>
      <c r="L964" t="n">
        <v>5</v>
      </c>
      <c r="M964">
        <f>VLOOKUP(D964,State_Lookup!$A$2:$B$28,2,FALSE)</f>
        <v/>
      </c>
    </row>
    <row r="965">
      <c r="A965" t="inlineStr">
        <is>
          <t>e31526204c93b55b21e55ef3e5a45f36</t>
        </is>
      </c>
      <c r="B965" t="inlineStr">
        <is>
          <t>2017-08-04</t>
        </is>
      </c>
      <c r="C965" t="inlineStr">
        <is>
          <t>2017-08</t>
        </is>
      </c>
      <c r="D965" t="inlineStr">
        <is>
          <t>RJ</t>
        </is>
      </c>
      <c r="E965" t="inlineStr">
        <is>
          <t>computers_accessories</t>
        </is>
      </c>
      <c r="F965" t="n">
        <v>1</v>
      </c>
      <c r="G965" t="n">
        <v>27.9</v>
      </c>
      <c r="H965" t="n">
        <v>14.1</v>
      </c>
      <c r="I965" t="inlineStr">
        <is>
          <t>credit_card</t>
        </is>
      </c>
      <c r="J965" t="n">
        <v>17</v>
      </c>
      <c r="K965" t="inlineStr">
        <is>
          <t>On Time</t>
        </is>
      </c>
      <c r="L965" t="n">
        <v>4</v>
      </c>
      <c r="M965">
        <f>VLOOKUP(D965,State_Lookup!$A$2:$B$28,2,FALSE)</f>
        <v/>
      </c>
    </row>
    <row r="966">
      <c r="A966" t="inlineStr">
        <is>
          <t>a3a15a66006f9f79c98af9fce34528c8</t>
        </is>
      </c>
      <c r="B966" t="inlineStr">
        <is>
          <t>2017-08-04</t>
        </is>
      </c>
      <c r="C966" t="inlineStr">
        <is>
          <t>2017-08</t>
        </is>
      </c>
      <c r="D966" t="inlineStr">
        <is>
          <t>SP</t>
        </is>
      </c>
      <c r="E966" t="inlineStr">
        <is>
          <t>computers_accessories</t>
        </is>
      </c>
      <c r="F966" t="n">
        <v>1</v>
      </c>
      <c r="G966" t="n">
        <v>279</v>
      </c>
      <c r="H966" t="n">
        <v>9.210000000000001</v>
      </c>
      <c r="I966" t="inlineStr">
        <is>
          <t>boleto</t>
        </is>
      </c>
      <c r="J966" t="n">
        <v>11</v>
      </c>
      <c r="K966" t="inlineStr">
        <is>
          <t>On Time</t>
        </is>
      </c>
      <c r="L966" t="n">
        <v>5</v>
      </c>
      <c r="M966">
        <f>VLOOKUP(D966,State_Lookup!$A$2:$B$28,2,FALSE)</f>
        <v/>
      </c>
    </row>
    <row r="967">
      <c r="A967" t="inlineStr">
        <is>
          <t>a7652ffa94af425f684a2d55cc06945e</t>
        </is>
      </c>
      <c r="B967" t="inlineStr">
        <is>
          <t>2017-08-04</t>
        </is>
      </c>
      <c r="C967" t="inlineStr">
        <is>
          <t>2017-08</t>
        </is>
      </c>
      <c r="D967" t="inlineStr">
        <is>
          <t>SC</t>
        </is>
      </c>
      <c r="E967" t="inlineStr">
        <is>
          <t>furniture_decor</t>
        </is>
      </c>
      <c r="F967" t="n">
        <v>1</v>
      </c>
      <c r="G967" t="n">
        <v>39</v>
      </c>
      <c r="H967" t="n">
        <v>16.79</v>
      </c>
      <c r="I967" t="inlineStr">
        <is>
          <t>boleto</t>
        </is>
      </c>
      <c r="J967" t="n">
        <v>18</v>
      </c>
      <c r="K967" t="inlineStr">
        <is>
          <t>On Time</t>
        </is>
      </c>
      <c r="L967" t="n">
        <v>5</v>
      </c>
      <c r="M967">
        <f>VLOOKUP(D967,State_Lookup!$A$2:$B$28,2,FALSE)</f>
        <v/>
      </c>
    </row>
    <row r="968">
      <c r="A968" t="inlineStr">
        <is>
          <t>7f2527b00aba2c4ea2631cbf2a1d0f68</t>
        </is>
      </c>
      <c r="B968" t="inlineStr">
        <is>
          <t>2017-08-04</t>
        </is>
      </c>
      <c r="C968" t="inlineStr">
        <is>
          <t>2017-08</t>
        </is>
      </c>
      <c r="D968" t="inlineStr">
        <is>
          <t>AC</t>
        </is>
      </c>
      <c r="E968" t="inlineStr">
        <is>
          <t>cool_stuff</t>
        </is>
      </c>
      <c r="F968" t="n">
        <v>1</v>
      </c>
      <c r="G968" t="n">
        <v>99.98999999999999</v>
      </c>
      <c r="H968" t="n">
        <v>30.23</v>
      </c>
      <c r="I968" t="inlineStr">
        <is>
          <t>credit_card</t>
        </is>
      </c>
      <c r="J968" t="n">
        <v>12</v>
      </c>
      <c r="K968" t="inlineStr">
        <is>
          <t>On Time</t>
        </is>
      </c>
      <c r="L968" t="n">
        <v>1</v>
      </c>
      <c r="M968">
        <f>VLOOKUP(D968,State_Lookup!$A$2:$B$28,2,FALSE)</f>
        <v/>
      </c>
    </row>
    <row r="969">
      <c r="A969" t="inlineStr">
        <is>
          <t>832079e71d5ee058d10e1ee1abe0e0f9</t>
        </is>
      </c>
      <c r="B969" t="inlineStr">
        <is>
          <t>2017-08-04</t>
        </is>
      </c>
      <c r="C969" t="inlineStr">
        <is>
          <t>2017-08</t>
        </is>
      </c>
      <c r="D969" t="inlineStr">
        <is>
          <t>SP</t>
        </is>
      </c>
      <c r="E969" t="inlineStr">
        <is>
          <t>baby</t>
        </is>
      </c>
      <c r="F969" t="n">
        <v>1</v>
      </c>
      <c r="G969" t="n">
        <v>139</v>
      </c>
      <c r="H969" t="n">
        <v>14.7</v>
      </c>
      <c r="I969" t="inlineStr">
        <is>
          <t>credit_card</t>
        </is>
      </c>
      <c r="J969" t="n">
        <v>13</v>
      </c>
      <c r="K969" t="inlineStr">
        <is>
          <t>On Time</t>
        </is>
      </c>
      <c r="L969" t="n">
        <v>3</v>
      </c>
      <c r="M969">
        <f>VLOOKUP(D969,State_Lookup!$A$2:$B$28,2,FALSE)</f>
        <v/>
      </c>
    </row>
    <row r="970">
      <c r="A970" t="inlineStr">
        <is>
          <t>aa3666ac800f7d6ee11840a2d5f74ee6</t>
        </is>
      </c>
      <c r="B970" t="inlineStr">
        <is>
          <t>2017-08-04</t>
        </is>
      </c>
      <c r="C970" t="inlineStr">
        <is>
          <t>2017-08</t>
        </is>
      </c>
      <c r="D970" t="inlineStr">
        <is>
          <t>PE</t>
        </is>
      </c>
      <c r="E970" t="inlineStr">
        <is>
          <t>bed_bath_table</t>
        </is>
      </c>
      <c r="F970" t="n">
        <v>1</v>
      </c>
      <c r="G970" t="n">
        <v>205</v>
      </c>
      <c r="H970" t="n">
        <v>38.57</v>
      </c>
      <c r="I970" t="inlineStr">
        <is>
          <t>credit_card</t>
        </is>
      </c>
      <c r="J970" t="n">
        <v>44</v>
      </c>
      <c r="K970" t="inlineStr">
        <is>
          <t>Late</t>
        </is>
      </c>
      <c r="L970" t="n">
        <v>1</v>
      </c>
      <c r="M970">
        <f>VLOOKUP(D970,State_Lookup!$A$2:$B$28,2,FALSE)</f>
        <v/>
      </c>
    </row>
    <row r="971">
      <c r="A971" t="inlineStr">
        <is>
          <t>5f7577cc4d04d08a6edae39a0b96e281</t>
        </is>
      </c>
      <c r="B971" t="inlineStr">
        <is>
          <t>2017-08-04</t>
        </is>
      </c>
      <c r="C971" t="inlineStr">
        <is>
          <t>2017-08</t>
        </is>
      </c>
      <c r="D971" t="inlineStr">
        <is>
          <t>RJ</t>
        </is>
      </c>
      <c r="E971" t="inlineStr">
        <is>
          <t>perfumery</t>
        </is>
      </c>
      <c r="F971" t="n">
        <v>1</v>
      </c>
      <c r="G971" t="n">
        <v>56.99</v>
      </c>
      <c r="H971" t="n">
        <v>14.15</v>
      </c>
      <c r="I971" t="inlineStr">
        <is>
          <t>boleto</t>
        </is>
      </c>
      <c r="J971" t="n">
        <v>18</v>
      </c>
      <c r="K971" t="inlineStr">
        <is>
          <t>On Time</t>
        </is>
      </c>
      <c r="L971" t="n">
        <v>3</v>
      </c>
      <c r="M971">
        <f>VLOOKUP(D971,State_Lookup!$A$2:$B$28,2,FALSE)</f>
        <v/>
      </c>
    </row>
    <row r="972">
      <c r="A972" t="inlineStr">
        <is>
          <t>a316607f76b8992b9ef01d8e7ee6933a</t>
        </is>
      </c>
      <c r="B972" t="inlineStr">
        <is>
          <t>2017-08-04</t>
        </is>
      </c>
      <c r="C972" t="inlineStr">
        <is>
          <t>2017-08</t>
        </is>
      </c>
      <c r="D972" t="inlineStr">
        <is>
          <t>SC</t>
        </is>
      </c>
      <c r="E972" t="inlineStr">
        <is>
          <t>fashion_bags_accessories</t>
        </is>
      </c>
      <c r="F972" t="n">
        <v>1</v>
      </c>
      <c r="G972" t="n">
        <v>29.9</v>
      </c>
      <c r="H972" t="n">
        <v>15.1</v>
      </c>
      <c r="I972" t="inlineStr">
        <is>
          <t>credit_card</t>
        </is>
      </c>
      <c r="J972" t="n">
        <v>11</v>
      </c>
      <c r="K972" t="inlineStr">
        <is>
          <t>On Time</t>
        </is>
      </c>
      <c r="L972" t="n">
        <v>5</v>
      </c>
      <c r="M972">
        <f>VLOOKUP(D972,State_Lookup!$A$2:$B$28,2,FALSE)</f>
        <v/>
      </c>
    </row>
    <row r="973">
      <c r="A973" t="inlineStr">
        <is>
          <t>660023f633ebbca40bbf5962692b2411</t>
        </is>
      </c>
      <c r="B973" t="inlineStr">
        <is>
          <t>2017-08-05</t>
        </is>
      </c>
      <c r="C973" t="inlineStr">
        <is>
          <t>2017-08</t>
        </is>
      </c>
      <c r="D973" t="inlineStr">
        <is>
          <t>RS</t>
        </is>
      </c>
      <c r="E973" t="inlineStr">
        <is>
          <t>watches_gifts</t>
        </is>
      </c>
      <c r="F973" t="n">
        <v>1</v>
      </c>
      <c r="G973" t="n">
        <v>29.9</v>
      </c>
      <c r="H973" t="n">
        <v>16.11</v>
      </c>
      <c r="I973" t="inlineStr">
        <is>
          <t>credit_card</t>
        </is>
      </c>
      <c r="J973" t="n">
        <v>10</v>
      </c>
      <c r="K973" t="inlineStr">
        <is>
          <t>On Time</t>
        </is>
      </c>
      <c r="L973" t="n">
        <v>5</v>
      </c>
      <c r="M973">
        <f>VLOOKUP(D973,State_Lookup!$A$2:$B$28,2,FALSE)</f>
        <v/>
      </c>
    </row>
    <row r="974">
      <c r="A974" t="inlineStr">
        <is>
          <t>b8465ebdeb16d7b97b28e61f894afb70</t>
        </is>
      </c>
      <c r="B974" t="inlineStr">
        <is>
          <t>2017-08-05</t>
        </is>
      </c>
      <c r="C974" t="inlineStr">
        <is>
          <t>2017-08</t>
        </is>
      </c>
      <c r="D974" t="inlineStr">
        <is>
          <t>RS</t>
        </is>
      </c>
      <c r="E974" t="inlineStr">
        <is>
          <t>health_beauty</t>
        </is>
      </c>
      <c r="F974" t="n">
        <v>1</v>
      </c>
      <c r="G974" t="n">
        <v>76.98999999999999</v>
      </c>
      <c r="H974" t="n">
        <v>15.29</v>
      </c>
      <c r="I974" t="inlineStr">
        <is>
          <t>credit_card</t>
        </is>
      </c>
      <c r="J974" t="n">
        <v>12</v>
      </c>
      <c r="K974" t="inlineStr">
        <is>
          <t>On Time</t>
        </is>
      </c>
      <c r="L974" t="n">
        <v>5</v>
      </c>
      <c r="M974">
        <f>VLOOKUP(D974,State_Lookup!$A$2:$B$28,2,FALSE)</f>
        <v/>
      </c>
    </row>
    <row r="975">
      <c r="A975" t="inlineStr">
        <is>
          <t>3cef2febcf9500f2509317c92f432e8c</t>
        </is>
      </c>
      <c r="B975" t="inlineStr">
        <is>
          <t>2017-08-05</t>
        </is>
      </c>
      <c r="C975" t="inlineStr">
        <is>
          <t>2017-08</t>
        </is>
      </c>
      <c r="D975" t="inlineStr">
        <is>
          <t>SC</t>
        </is>
      </c>
      <c r="E975" t="inlineStr">
        <is>
          <t>fashion_bags_accessories</t>
        </is>
      </c>
      <c r="F975" t="n">
        <v>1</v>
      </c>
      <c r="G975" t="n">
        <v>29.99</v>
      </c>
      <c r="H975" t="n">
        <v>15.1</v>
      </c>
      <c r="I975" t="inlineStr">
        <is>
          <t>credit_card</t>
        </is>
      </c>
      <c r="J975" t="n">
        <v>9</v>
      </c>
      <c r="K975" t="inlineStr">
        <is>
          <t>On Time</t>
        </is>
      </c>
      <c r="L975" t="n">
        <v>5</v>
      </c>
      <c r="M975">
        <f>VLOOKUP(D975,State_Lookup!$A$2:$B$28,2,FALSE)</f>
        <v/>
      </c>
    </row>
    <row r="976">
      <c r="A976" t="inlineStr">
        <is>
          <t>01643942766bdec224d5593041f714e6</t>
        </is>
      </c>
      <c r="B976" t="inlineStr">
        <is>
          <t>2017-08-05</t>
        </is>
      </c>
      <c r="C976" t="inlineStr">
        <is>
          <t>2017-08</t>
        </is>
      </c>
      <c r="D976" t="inlineStr">
        <is>
          <t>DF</t>
        </is>
      </c>
      <c r="E976" t="inlineStr">
        <is>
          <t>computers_accessories</t>
        </is>
      </c>
      <c r="F976" t="n">
        <v>1</v>
      </c>
      <c r="G976" t="n">
        <v>32.5</v>
      </c>
      <c r="H976" t="n">
        <v>15.1</v>
      </c>
      <c r="I976" t="inlineStr">
        <is>
          <t>credit_card</t>
        </is>
      </c>
      <c r="J976" t="n">
        <v>17</v>
      </c>
      <c r="K976" t="inlineStr">
        <is>
          <t>On Time</t>
        </is>
      </c>
      <c r="L976" t="n">
        <v>1</v>
      </c>
      <c r="M976">
        <f>VLOOKUP(D976,State_Lookup!$A$2:$B$28,2,FALSE)</f>
        <v/>
      </c>
    </row>
    <row r="977">
      <c r="A977" t="inlineStr">
        <is>
          <t>e8d3219c027c07fb152bc267d5e437fc</t>
        </is>
      </c>
      <c r="B977" t="inlineStr">
        <is>
          <t>2017-08-05</t>
        </is>
      </c>
      <c r="C977" t="inlineStr">
        <is>
          <t>2017-08</t>
        </is>
      </c>
      <c r="D977" t="inlineStr">
        <is>
          <t>SP</t>
        </is>
      </c>
      <c r="E977" t="inlineStr">
        <is>
          <t>furniture_living_room</t>
        </is>
      </c>
      <c r="F977" t="n">
        <v>1</v>
      </c>
      <c r="G977" t="n">
        <v>424</v>
      </c>
      <c r="H977" t="n">
        <v>104.41</v>
      </c>
      <c r="I977" t="inlineStr">
        <is>
          <t>credit_card</t>
        </is>
      </c>
      <c r="J977" t="n">
        <v>27</v>
      </c>
      <c r="K977" t="inlineStr">
        <is>
          <t>On Time</t>
        </is>
      </c>
      <c r="L977" t="n">
        <v>1</v>
      </c>
      <c r="M977">
        <f>VLOOKUP(D977,State_Lookup!$A$2:$B$28,2,FALSE)</f>
        <v/>
      </c>
    </row>
    <row r="978">
      <c r="A978" t="inlineStr">
        <is>
          <t>32335927ea896fd9993fa6f6715e1605</t>
        </is>
      </c>
      <c r="B978" t="inlineStr">
        <is>
          <t>2017-08-05</t>
        </is>
      </c>
      <c r="C978" t="inlineStr">
        <is>
          <t>2017-08</t>
        </is>
      </c>
      <c r="D978" t="inlineStr">
        <is>
          <t>MA</t>
        </is>
      </c>
      <c r="E978" t="inlineStr">
        <is>
          <t>cool_stuff</t>
        </is>
      </c>
      <c r="F978" t="n">
        <v>1</v>
      </c>
      <c r="G978" t="n">
        <v>159</v>
      </c>
      <c r="H978" t="n">
        <v>36.43</v>
      </c>
      <c r="I978" t="inlineStr">
        <is>
          <t>credit_card</t>
        </is>
      </c>
      <c r="J978" t="n">
        <v>16</v>
      </c>
      <c r="K978" t="inlineStr">
        <is>
          <t>On Time</t>
        </is>
      </c>
      <c r="L978" t="n">
        <v>5</v>
      </c>
      <c r="M978">
        <f>VLOOKUP(D978,State_Lookup!$A$2:$B$28,2,FALSE)</f>
        <v/>
      </c>
    </row>
    <row r="979">
      <c r="A979" t="inlineStr">
        <is>
          <t>a880b806f0a6467ea8044335fc629ff9</t>
        </is>
      </c>
      <c r="B979" t="inlineStr">
        <is>
          <t>2017-08-05</t>
        </is>
      </c>
      <c r="C979" t="inlineStr">
        <is>
          <t>2017-08</t>
        </is>
      </c>
      <c r="D979" t="inlineStr">
        <is>
          <t>SP</t>
        </is>
      </c>
      <c r="E979" t="inlineStr">
        <is>
          <t>telephony</t>
        </is>
      </c>
      <c r="F979" t="n">
        <v>1</v>
      </c>
      <c r="G979" t="n">
        <v>399.9</v>
      </c>
      <c r="H979" t="n">
        <v>14.3</v>
      </c>
      <c r="I979" t="inlineStr">
        <is>
          <t>credit_card</t>
        </is>
      </c>
      <c r="J979" t="n">
        <v>6</v>
      </c>
      <c r="K979" t="inlineStr">
        <is>
          <t>On Time</t>
        </is>
      </c>
      <c r="L979" t="n">
        <v>4</v>
      </c>
      <c r="M979">
        <f>VLOOKUP(D979,State_Lookup!$A$2:$B$28,2,FALSE)</f>
        <v/>
      </c>
    </row>
    <row r="980">
      <c r="A980" t="inlineStr">
        <is>
          <t>99b5479599753883c7355ca6cb95b2c1</t>
        </is>
      </c>
      <c r="B980" t="inlineStr">
        <is>
          <t>2017-08-07</t>
        </is>
      </c>
      <c r="C980" t="inlineStr">
        <is>
          <t>2017-08</t>
        </is>
      </c>
      <c r="D980" t="inlineStr">
        <is>
          <t>CE</t>
        </is>
      </c>
      <c r="E980" t="inlineStr">
        <is>
          <t>perfumery</t>
        </is>
      </c>
      <c r="F980" t="n">
        <v>2</v>
      </c>
      <c r="G980" t="n">
        <v>678</v>
      </c>
      <c r="H980" t="n">
        <v>41.82</v>
      </c>
      <c r="I980" t="inlineStr">
        <is>
          <t>credit_card</t>
        </is>
      </c>
      <c r="J980" t="n">
        <v>9</v>
      </c>
      <c r="K980" t="inlineStr">
        <is>
          <t>On Time</t>
        </is>
      </c>
      <c r="L980" t="n">
        <v>4</v>
      </c>
      <c r="M980">
        <f>VLOOKUP(D980,State_Lookup!$A$2:$B$28,2,FALSE)</f>
        <v/>
      </c>
    </row>
    <row r="981">
      <c r="A981" t="inlineStr">
        <is>
          <t>64b474e9995eb9740db3190013984b6b</t>
        </is>
      </c>
      <c r="B981" t="inlineStr">
        <is>
          <t>2017-08-07</t>
        </is>
      </c>
      <c r="C981" t="inlineStr">
        <is>
          <t>2017-08</t>
        </is>
      </c>
      <c r="D981" t="inlineStr">
        <is>
          <t>SP</t>
        </is>
      </c>
      <c r="E981" t="inlineStr">
        <is>
          <t>furniture_decor</t>
        </is>
      </c>
      <c r="F981" t="n">
        <v>1</v>
      </c>
      <c r="G981" t="n">
        <v>29.9</v>
      </c>
      <c r="H981" t="n">
        <v>25.63</v>
      </c>
      <c r="I981" t="inlineStr">
        <is>
          <t>credit_card</t>
        </is>
      </c>
      <c r="J981" t="n">
        <v>8</v>
      </c>
      <c r="K981" t="inlineStr">
        <is>
          <t>On Time</t>
        </is>
      </c>
      <c r="L981" t="n">
        <v>5</v>
      </c>
      <c r="M981">
        <f>VLOOKUP(D981,State_Lookup!$A$2:$B$28,2,FALSE)</f>
        <v/>
      </c>
    </row>
    <row r="982">
      <c r="A982" t="inlineStr">
        <is>
          <t>90214a4751f75ee8783bed5037f9b0db</t>
        </is>
      </c>
      <c r="B982" t="inlineStr">
        <is>
          <t>2017-08-07</t>
        </is>
      </c>
      <c r="C982" t="inlineStr">
        <is>
          <t>2017-08</t>
        </is>
      </c>
      <c r="D982" t="inlineStr">
        <is>
          <t>SE</t>
        </is>
      </c>
      <c r="E982" t="inlineStr">
        <is>
          <t>auto</t>
        </is>
      </c>
      <c r="F982" t="n">
        <v>1</v>
      </c>
      <c r="G982" t="n">
        <v>19.99</v>
      </c>
      <c r="H982" t="n">
        <v>25.63</v>
      </c>
      <c r="I982" t="inlineStr">
        <is>
          <t>credit_card</t>
        </is>
      </c>
      <c r="J982" t="n">
        <v>9</v>
      </c>
      <c r="K982" t="inlineStr">
        <is>
          <t>On Time</t>
        </is>
      </c>
      <c r="L982" t="n">
        <v>5</v>
      </c>
      <c r="M982">
        <f>VLOOKUP(D982,State_Lookup!$A$2:$B$28,2,FALSE)</f>
        <v/>
      </c>
    </row>
    <row r="983">
      <c r="A983" t="inlineStr">
        <is>
          <t>c3e544a509d5603803d4f6eaedcaf0b8</t>
        </is>
      </c>
      <c r="B983" t="inlineStr">
        <is>
          <t>2017-08-07</t>
        </is>
      </c>
      <c r="C983" t="inlineStr">
        <is>
          <t>2017-08</t>
        </is>
      </c>
      <c r="D983" t="inlineStr">
        <is>
          <t>SP</t>
        </is>
      </c>
      <c r="E983" t="inlineStr">
        <is>
          <t>baby</t>
        </is>
      </c>
      <c r="F983" t="n">
        <v>1</v>
      </c>
      <c r="G983" t="n">
        <v>59.9</v>
      </c>
      <c r="H983" t="n">
        <v>15.18</v>
      </c>
      <c r="I983" t="inlineStr">
        <is>
          <t>credit_card</t>
        </is>
      </c>
      <c r="J983" t="n">
        <v>3</v>
      </c>
      <c r="K983" t="inlineStr">
        <is>
          <t>On Time</t>
        </is>
      </c>
      <c r="L983" t="n">
        <v>5</v>
      </c>
      <c r="M983">
        <f>VLOOKUP(D983,State_Lookup!$A$2:$B$28,2,FALSE)</f>
        <v/>
      </c>
    </row>
    <row r="984">
      <c r="A984" t="inlineStr">
        <is>
          <t>3e64ee45a339ce09c4e27564b45ba09e</t>
        </is>
      </c>
      <c r="B984" t="inlineStr">
        <is>
          <t>2017-08-07</t>
        </is>
      </c>
      <c r="C984" t="inlineStr">
        <is>
          <t>2017-08</t>
        </is>
      </c>
      <c r="D984" t="inlineStr">
        <is>
          <t>MG</t>
        </is>
      </c>
      <c r="E984" t="inlineStr">
        <is>
          <t>luggage_accessories</t>
        </is>
      </c>
      <c r="F984" t="n">
        <v>1</v>
      </c>
      <c r="G984" t="n">
        <v>94.90000000000001</v>
      </c>
      <c r="H984" t="n">
        <v>14.39</v>
      </c>
      <c r="I984" t="inlineStr">
        <is>
          <t>boleto</t>
        </is>
      </c>
      <c r="J984" t="n">
        <v>7</v>
      </c>
      <c r="K984" t="inlineStr">
        <is>
          <t>On Time</t>
        </is>
      </c>
      <c r="L984" t="n">
        <v>5</v>
      </c>
      <c r="M984">
        <f>VLOOKUP(D984,State_Lookup!$A$2:$B$28,2,FALSE)</f>
        <v/>
      </c>
    </row>
    <row r="985">
      <c r="A985" t="inlineStr">
        <is>
          <t>be06d9f698d7e74899f4cf223ae62995</t>
        </is>
      </c>
      <c r="B985" t="inlineStr">
        <is>
          <t>2017-08-07</t>
        </is>
      </c>
      <c r="C985" t="inlineStr">
        <is>
          <t>2017-08</t>
        </is>
      </c>
      <c r="D985" t="inlineStr">
        <is>
          <t>SP</t>
        </is>
      </c>
      <c r="E985" t="inlineStr">
        <is>
          <t>sports_leisure</t>
        </is>
      </c>
      <c r="F985" t="n">
        <v>1</v>
      </c>
      <c r="G985" t="n">
        <v>99.90000000000001</v>
      </c>
      <c r="H985" t="n">
        <v>13.25</v>
      </c>
      <c r="I985" t="inlineStr">
        <is>
          <t>credit_card</t>
        </is>
      </c>
      <c r="J985" t="n">
        <v>11</v>
      </c>
      <c r="K985" t="inlineStr">
        <is>
          <t>Late</t>
        </is>
      </c>
      <c r="L985" t="n">
        <v>5</v>
      </c>
      <c r="M985">
        <f>VLOOKUP(D985,State_Lookup!$A$2:$B$28,2,FALSE)</f>
        <v/>
      </c>
    </row>
    <row r="986">
      <c r="A986" t="inlineStr">
        <is>
          <t>8431f8b44d5d90252e64059e253c308d</t>
        </is>
      </c>
      <c r="B986" t="inlineStr">
        <is>
          <t>2017-08-07</t>
        </is>
      </c>
      <c r="C986" t="inlineStr">
        <is>
          <t>2017-08</t>
        </is>
      </c>
      <c r="D986" t="inlineStr">
        <is>
          <t>SP</t>
        </is>
      </c>
      <c r="E986" t="inlineStr">
        <is>
          <t>furniture_decor</t>
        </is>
      </c>
      <c r="F986" t="n">
        <v>2</v>
      </c>
      <c r="G986" t="n">
        <v>99.8</v>
      </c>
      <c r="H986" t="n">
        <v>17.44</v>
      </c>
      <c r="I986" t="inlineStr">
        <is>
          <t>credit_card</t>
        </is>
      </c>
      <c r="J986" t="n">
        <v>8</v>
      </c>
      <c r="K986" t="inlineStr">
        <is>
          <t>On Time</t>
        </is>
      </c>
      <c r="L986" t="n">
        <v>4</v>
      </c>
      <c r="M986">
        <f>VLOOKUP(D986,State_Lookup!$A$2:$B$28,2,FALSE)</f>
        <v/>
      </c>
    </row>
    <row r="987">
      <c r="A987" t="inlineStr">
        <is>
          <t>719312efa72d95b357250140f48b778f</t>
        </is>
      </c>
      <c r="B987" t="inlineStr">
        <is>
          <t>2017-08-07</t>
        </is>
      </c>
      <c r="C987" t="inlineStr">
        <is>
          <t>2017-08</t>
        </is>
      </c>
      <c r="D987" t="inlineStr">
        <is>
          <t>RJ</t>
        </is>
      </c>
      <c r="E987" t="inlineStr">
        <is>
          <t>luggage_accessories</t>
        </is>
      </c>
      <c r="F987" t="n">
        <v>1</v>
      </c>
      <c r="G987" t="n">
        <v>67</v>
      </c>
      <c r="H987" t="n">
        <v>16.23</v>
      </c>
      <c r="I987" t="inlineStr">
        <is>
          <t>credit_card</t>
        </is>
      </c>
      <c r="J987" t="n">
        <v>8</v>
      </c>
      <c r="K987" t="inlineStr">
        <is>
          <t>On Time</t>
        </is>
      </c>
      <c r="L987" t="n">
        <v>4</v>
      </c>
      <c r="M987">
        <f>VLOOKUP(D987,State_Lookup!$A$2:$B$28,2,FALSE)</f>
        <v/>
      </c>
    </row>
    <row r="988">
      <c r="A988" t="inlineStr">
        <is>
          <t>5f216fa78a2bb7be5bc7468efd986ed3</t>
        </is>
      </c>
      <c r="B988" t="inlineStr">
        <is>
          <t>2017-08-08</t>
        </is>
      </c>
      <c r="C988" t="inlineStr">
        <is>
          <t>2017-08</t>
        </is>
      </c>
      <c r="D988" t="inlineStr">
        <is>
          <t>SP</t>
        </is>
      </c>
      <c r="E988" t="inlineStr">
        <is>
          <t>bed_bath_table</t>
        </is>
      </c>
      <c r="F988" t="n">
        <v>1</v>
      </c>
      <c r="G988" t="n">
        <v>200</v>
      </c>
      <c r="H988" t="n">
        <v>15.01</v>
      </c>
      <c r="I988" t="inlineStr">
        <is>
          <t>credit_card</t>
        </is>
      </c>
      <c r="J988" t="n">
        <v>2</v>
      </c>
      <c r="K988" t="inlineStr">
        <is>
          <t>On Time</t>
        </is>
      </c>
      <c r="L988" t="n">
        <v>5</v>
      </c>
      <c r="M988">
        <f>VLOOKUP(D988,State_Lookup!$A$2:$B$28,2,FALSE)</f>
        <v/>
      </c>
    </row>
    <row r="989">
      <c r="A989" t="inlineStr">
        <is>
          <t>2b18686c9329e1cd201d6d4015268ca9</t>
        </is>
      </c>
      <c r="B989" t="inlineStr">
        <is>
          <t>2017-08-08</t>
        </is>
      </c>
      <c r="C989" t="inlineStr">
        <is>
          <t>2017-08</t>
        </is>
      </c>
      <c r="D989" t="inlineStr">
        <is>
          <t>SP</t>
        </is>
      </c>
      <c r="E989" t="inlineStr">
        <is>
          <t>toys</t>
        </is>
      </c>
      <c r="F989" t="n">
        <v>1</v>
      </c>
      <c r="G989" t="n">
        <v>129.99</v>
      </c>
      <c r="H989" t="n">
        <v>13.25</v>
      </c>
      <c r="I989" t="inlineStr">
        <is>
          <t>credit_card</t>
        </is>
      </c>
      <c r="J989" t="n">
        <v>3</v>
      </c>
      <c r="K989" t="inlineStr">
        <is>
          <t>On Time</t>
        </is>
      </c>
      <c r="L989" t="n">
        <v>5</v>
      </c>
      <c r="M989">
        <f>VLOOKUP(D989,State_Lookup!$A$2:$B$28,2,FALSE)</f>
        <v/>
      </c>
    </row>
    <row r="990">
      <c r="A990" t="inlineStr">
        <is>
          <t>0c469ff5fde3323c2a8b99387f46bb19</t>
        </is>
      </c>
      <c r="B990" t="inlineStr">
        <is>
          <t>2017-08-08</t>
        </is>
      </c>
      <c r="C990" t="inlineStr">
        <is>
          <t>2017-08</t>
        </is>
      </c>
      <c r="D990" t="inlineStr">
        <is>
          <t>GO</t>
        </is>
      </c>
      <c r="E990" t="inlineStr">
        <is>
          <t>bed_bath_table</t>
        </is>
      </c>
      <c r="F990" t="n">
        <v>1</v>
      </c>
      <c r="G990" t="n">
        <v>89.90000000000001</v>
      </c>
      <c r="H990" t="n">
        <v>15.38</v>
      </c>
      <c r="I990" t="inlineStr">
        <is>
          <t>credit_card</t>
        </is>
      </c>
      <c r="J990" t="n">
        <v>22</v>
      </c>
      <c r="K990" t="inlineStr">
        <is>
          <t>On Time</t>
        </is>
      </c>
      <c r="L990" t="n">
        <v>3</v>
      </c>
      <c r="M990">
        <f>VLOOKUP(D990,State_Lookup!$A$2:$B$28,2,FALSE)</f>
        <v/>
      </c>
    </row>
    <row r="991">
      <c r="A991" t="inlineStr">
        <is>
          <t>dc7be79976943eeae2bd3e4530b511fd</t>
        </is>
      </c>
      <c r="B991" t="inlineStr">
        <is>
          <t>2017-08-08</t>
        </is>
      </c>
      <c r="C991" t="inlineStr">
        <is>
          <t>2017-08</t>
        </is>
      </c>
      <c r="D991" t="inlineStr">
        <is>
          <t>RS</t>
        </is>
      </c>
      <c r="E991" t="inlineStr">
        <is>
          <t>health_beauty</t>
        </is>
      </c>
      <c r="F991" t="n">
        <v>1</v>
      </c>
      <c r="G991" t="n">
        <v>82.90000000000001</v>
      </c>
      <c r="H991" t="n">
        <v>15.33</v>
      </c>
      <c r="I991" t="inlineStr">
        <is>
          <t>credit_card</t>
        </is>
      </c>
      <c r="J991" t="n">
        <v>33</v>
      </c>
      <c r="K991" t="inlineStr">
        <is>
          <t>Late</t>
        </is>
      </c>
      <c r="L991" t="n">
        <v>1</v>
      </c>
      <c r="M991">
        <f>VLOOKUP(D991,State_Lookup!$A$2:$B$28,2,FALSE)</f>
        <v/>
      </c>
    </row>
    <row r="992">
      <c r="A992" t="inlineStr">
        <is>
          <t>0e0cb073422fcdc0645935e23d672736</t>
        </is>
      </c>
      <c r="B992" t="inlineStr">
        <is>
          <t>2017-08-08</t>
        </is>
      </c>
      <c r="C992" t="inlineStr">
        <is>
          <t>2017-08</t>
        </is>
      </c>
      <c r="D992" t="inlineStr">
        <is>
          <t>RS</t>
        </is>
      </c>
      <c r="E992" t="inlineStr">
        <is>
          <t>computers_accessories</t>
        </is>
      </c>
      <c r="F992" t="n">
        <v>1</v>
      </c>
      <c r="G992" t="n">
        <v>263.99</v>
      </c>
      <c r="H992" t="n">
        <v>15.6</v>
      </c>
      <c r="I992" t="inlineStr">
        <is>
          <t>credit_card</t>
        </is>
      </c>
      <c r="J992" t="n">
        <v>8</v>
      </c>
      <c r="K992" t="inlineStr">
        <is>
          <t>On Time</t>
        </is>
      </c>
      <c r="L992" t="n">
        <v>5</v>
      </c>
      <c r="M992">
        <f>VLOOKUP(D992,State_Lookup!$A$2:$B$28,2,FALSE)</f>
        <v/>
      </c>
    </row>
    <row r="993">
      <c r="A993" t="inlineStr">
        <is>
          <t>2e71a5c523cd61c4d906ebc8203ef215</t>
        </is>
      </c>
      <c r="B993" t="inlineStr">
        <is>
          <t>2017-08-08</t>
        </is>
      </c>
      <c r="C993" t="inlineStr">
        <is>
          <t>2017-08</t>
        </is>
      </c>
      <c r="D993" t="inlineStr">
        <is>
          <t>SP</t>
        </is>
      </c>
      <c r="E993" t="inlineStr">
        <is>
          <t>sports_leisure</t>
        </is>
      </c>
      <c r="F993" t="n">
        <v>1</v>
      </c>
      <c r="G993" t="n">
        <v>69.90000000000001</v>
      </c>
      <c r="H993" t="n">
        <v>16.12</v>
      </c>
      <c r="I993" t="inlineStr">
        <is>
          <t>credit_card</t>
        </is>
      </c>
      <c r="J993" t="n">
        <v>3</v>
      </c>
      <c r="K993" t="inlineStr">
        <is>
          <t>On Time</t>
        </is>
      </c>
      <c r="L993" t="n">
        <v>4</v>
      </c>
      <c r="M993">
        <f>VLOOKUP(D993,State_Lookup!$A$2:$B$28,2,FALSE)</f>
        <v/>
      </c>
    </row>
    <row r="994">
      <c r="A994" t="inlineStr">
        <is>
          <t>5d4ef7be8a0a3d0f0991bfc92e6bce32</t>
        </is>
      </c>
      <c r="B994" t="inlineStr">
        <is>
          <t>2017-08-08</t>
        </is>
      </c>
      <c r="C994" t="inlineStr">
        <is>
          <t>2017-08</t>
        </is>
      </c>
      <c r="D994" t="inlineStr">
        <is>
          <t>PR</t>
        </is>
      </c>
      <c r="E994" t="inlineStr">
        <is>
          <t>bed_bath_table</t>
        </is>
      </c>
      <c r="F994" t="n">
        <v>1</v>
      </c>
      <c r="G994" t="n">
        <v>69.90000000000001</v>
      </c>
      <c r="H994" t="n">
        <v>15.24</v>
      </c>
      <c r="I994" t="inlineStr">
        <is>
          <t>credit_card</t>
        </is>
      </c>
      <c r="J994" t="n">
        <v>9</v>
      </c>
      <c r="K994" t="inlineStr">
        <is>
          <t>On Time</t>
        </is>
      </c>
      <c r="L994" t="n">
        <v>5</v>
      </c>
      <c r="M994">
        <f>VLOOKUP(D994,State_Lookup!$A$2:$B$28,2,FALSE)</f>
        <v/>
      </c>
    </row>
    <row r="995">
      <c r="A995" t="inlineStr">
        <is>
          <t>4f08e1d966e9e49ca0677134ce4c2c57</t>
        </is>
      </c>
      <c r="B995" t="inlineStr">
        <is>
          <t>2017-08-08</t>
        </is>
      </c>
      <c r="C995" t="inlineStr">
        <is>
          <t>2017-08</t>
        </is>
      </c>
      <c r="D995" t="inlineStr">
        <is>
          <t>GO</t>
        </is>
      </c>
      <c r="E995" t="inlineStr">
        <is>
          <t>sports_leisure</t>
        </is>
      </c>
      <c r="F995" t="n">
        <v>1</v>
      </c>
      <c r="G995" t="n">
        <v>169</v>
      </c>
      <c r="H995" t="n">
        <v>25.73</v>
      </c>
      <c r="I995" t="inlineStr">
        <is>
          <t>voucher</t>
        </is>
      </c>
      <c r="J995" t="n">
        <v>13</v>
      </c>
      <c r="K995" t="inlineStr">
        <is>
          <t>On Time</t>
        </is>
      </c>
      <c r="L995" t="n">
        <v>5</v>
      </c>
      <c r="M995">
        <f>VLOOKUP(D995,State_Lookup!$A$2:$B$28,2,FALSE)</f>
        <v/>
      </c>
    </row>
    <row r="996">
      <c r="A996" t="inlineStr">
        <is>
          <t>0cda3f4a118f3654ee4e487e867fa036</t>
        </is>
      </c>
      <c r="B996" t="inlineStr">
        <is>
          <t>2017-08-09</t>
        </is>
      </c>
      <c r="C996" t="inlineStr">
        <is>
          <t>2017-08</t>
        </is>
      </c>
      <c r="D996" t="inlineStr">
        <is>
          <t>RS</t>
        </is>
      </c>
      <c r="E996" t="inlineStr">
        <is>
          <t>stationery</t>
        </is>
      </c>
      <c r="F996" t="n">
        <v>1</v>
      </c>
      <c r="G996" t="n">
        <v>89</v>
      </c>
      <c r="H996" t="n">
        <v>17.87</v>
      </c>
      <c r="I996" t="inlineStr">
        <is>
          <t>boleto</t>
        </is>
      </c>
      <c r="J996" t="n">
        <v>7</v>
      </c>
      <c r="K996" t="inlineStr">
        <is>
          <t>On Time</t>
        </is>
      </c>
      <c r="L996" t="n">
        <v>5</v>
      </c>
      <c r="M996">
        <f>VLOOKUP(D996,State_Lookup!$A$2:$B$28,2,FALSE)</f>
        <v/>
      </c>
    </row>
    <row r="997">
      <c r="A997" t="inlineStr">
        <is>
          <t>7e308fe1aed001a0b8ba1e7f017cafa8</t>
        </is>
      </c>
      <c r="B997" t="inlineStr">
        <is>
          <t>2017-08-09</t>
        </is>
      </c>
      <c r="C997" t="inlineStr">
        <is>
          <t>2017-08</t>
        </is>
      </c>
      <c r="D997" t="inlineStr">
        <is>
          <t>MS</t>
        </is>
      </c>
      <c r="E997" t="inlineStr">
        <is>
          <t>fashion_underwear_beach</t>
        </is>
      </c>
      <c r="F997" t="n">
        <v>1</v>
      </c>
      <c r="G997" t="n">
        <v>190</v>
      </c>
      <c r="H997" t="n">
        <v>16.08</v>
      </c>
      <c r="I997" t="inlineStr">
        <is>
          <t>credit_card</t>
        </is>
      </c>
      <c r="J997" t="n">
        <v>15</v>
      </c>
      <c r="K997" t="inlineStr">
        <is>
          <t>On Time</t>
        </is>
      </c>
      <c r="L997" t="n">
        <v>5</v>
      </c>
      <c r="M997">
        <f>VLOOKUP(D997,State_Lookup!$A$2:$B$28,2,FALSE)</f>
        <v/>
      </c>
    </row>
    <row r="998">
      <c r="A998" t="inlineStr">
        <is>
          <t>ec60b0d63f32dc9f14da8503a72af821</t>
        </is>
      </c>
      <c r="B998" t="inlineStr">
        <is>
          <t>2017-08-09</t>
        </is>
      </c>
      <c r="C998" t="inlineStr">
        <is>
          <t>2017-08</t>
        </is>
      </c>
      <c r="D998" t="inlineStr">
        <is>
          <t>MG</t>
        </is>
      </c>
      <c r="E998" t="inlineStr">
        <is>
          <t>fashion_bags_accessories</t>
        </is>
      </c>
      <c r="F998" t="n">
        <v>1</v>
      </c>
      <c r="G998" t="n">
        <v>150</v>
      </c>
      <c r="H998" t="n">
        <v>15.8</v>
      </c>
      <c r="I998" t="inlineStr">
        <is>
          <t>credit_card</t>
        </is>
      </c>
      <c r="J998" t="n">
        <v>14</v>
      </c>
      <c r="K998" t="inlineStr">
        <is>
          <t>On Time</t>
        </is>
      </c>
      <c r="L998" t="n">
        <v>5</v>
      </c>
      <c r="M998">
        <f>VLOOKUP(D998,State_Lookup!$A$2:$B$28,2,FALSE)</f>
        <v/>
      </c>
    </row>
    <row r="999">
      <c r="A999" t="inlineStr">
        <is>
          <t>e4d70620497883d192090b7a6d48441d</t>
        </is>
      </c>
      <c r="B999" t="inlineStr">
        <is>
          <t>2017-08-09</t>
        </is>
      </c>
      <c r="C999" t="inlineStr">
        <is>
          <t>2017-08</t>
        </is>
      </c>
      <c r="D999" t="inlineStr">
        <is>
          <t>PA</t>
        </is>
      </c>
      <c r="E999" t="inlineStr">
        <is>
          <t>electronics</t>
        </is>
      </c>
      <c r="F999" t="n">
        <v>1</v>
      </c>
      <c r="G999" t="n">
        <v>14.9</v>
      </c>
      <c r="H999" t="n">
        <v>42.38</v>
      </c>
      <c r="I999" t="inlineStr">
        <is>
          <t>boleto</t>
        </is>
      </c>
      <c r="J999" t="n">
        <v>20</v>
      </c>
      <c r="K999" t="inlineStr">
        <is>
          <t>On Time</t>
        </is>
      </c>
      <c r="L999" t="n">
        <v>5</v>
      </c>
      <c r="M999">
        <f>VLOOKUP(D999,State_Lookup!$A$2:$B$28,2,FALSE)</f>
        <v/>
      </c>
    </row>
    <row r="1000">
      <c r="A1000" t="inlineStr">
        <is>
          <t>b5e0fde1c337ebf2f84dbcddde845156</t>
        </is>
      </c>
      <c r="B1000" t="inlineStr">
        <is>
          <t>2017-08-09</t>
        </is>
      </c>
      <c r="C1000" t="inlineStr">
        <is>
          <t>2017-08</t>
        </is>
      </c>
      <c r="D1000" t="inlineStr">
        <is>
          <t>RJ</t>
        </is>
      </c>
      <c r="E1000" t="inlineStr">
        <is>
          <t>stationery</t>
        </is>
      </c>
      <c r="F1000" t="n">
        <v>1</v>
      </c>
      <c r="G1000" t="n">
        <v>109.9</v>
      </c>
      <c r="H1000" t="n">
        <v>15.52</v>
      </c>
      <c r="I1000" t="inlineStr">
        <is>
          <t>credit_card</t>
        </is>
      </c>
      <c r="J1000" t="n">
        <v>9</v>
      </c>
      <c r="K1000" t="inlineStr">
        <is>
          <t>On Time</t>
        </is>
      </c>
      <c r="L1000" t="n">
        <v>5</v>
      </c>
      <c r="M1000">
        <f>VLOOKUP(D1000,State_Lookup!$A$2:$B$28,2,FALSE)</f>
        <v/>
      </c>
    </row>
    <row r="1001">
      <c r="A1001" t="inlineStr">
        <is>
          <t>f4b166c60fee8f28f16c05ad386fdc09</t>
        </is>
      </c>
      <c r="B1001" t="inlineStr">
        <is>
          <t>2017-08-09</t>
        </is>
      </c>
      <c r="C1001" t="inlineStr">
        <is>
          <t>2017-08</t>
        </is>
      </c>
      <c r="D1001" t="inlineStr">
        <is>
          <t>RJ</t>
        </is>
      </c>
      <c r="E1001" t="inlineStr">
        <is>
          <t>watches_gifts</t>
        </is>
      </c>
      <c r="F1001" t="n">
        <v>1</v>
      </c>
      <c r="G1001" t="n">
        <v>44</v>
      </c>
      <c r="H1001" t="n">
        <v>14.1</v>
      </c>
      <c r="I1001" t="inlineStr">
        <is>
          <t>credit_card</t>
        </is>
      </c>
      <c r="J1001" t="n">
        <v>6</v>
      </c>
      <c r="K1001" t="inlineStr">
        <is>
          <t>On Time</t>
        </is>
      </c>
      <c r="L1001" t="n">
        <v>3</v>
      </c>
      <c r="M1001">
        <f>VLOOKUP(D1001,State_Lookup!$A$2:$B$28,2,FALSE)</f>
        <v/>
      </c>
    </row>
    <row r="1002">
      <c r="A1002" t="inlineStr">
        <is>
          <t>61cfa60003f1d98a86cc3562f13b2ea0</t>
        </is>
      </c>
      <c r="B1002" t="inlineStr">
        <is>
          <t>2017-08-09</t>
        </is>
      </c>
      <c r="C1002" t="inlineStr">
        <is>
          <t>2017-08</t>
        </is>
      </c>
      <c r="D1002" t="inlineStr">
        <is>
          <t>RJ</t>
        </is>
      </c>
      <c r="E1002" t="inlineStr">
        <is>
          <t>cool_stuff</t>
        </is>
      </c>
      <c r="F1002" t="n">
        <v>1</v>
      </c>
      <c r="G1002" t="n">
        <v>44.9</v>
      </c>
      <c r="H1002" t="n">
        <v>9.94</v>
      </c>
      <c r="I1002" t="inlineStr">
        <is>
          <t>voucher</t>
        </is>
      </c>
      <c r="J1002" t="n">
        <v>7</v>
      </c>
      <c r="K1002" t="inlineStr">
        <is>
          <t>On Time</t>
        </is>
      </c>
      <c r="L1002" t="n">
        <v>1</v>
      </c>
      <c r="M1002">
        <f>VLOOKUP(D1002,State_Lookup!$A$2:$B$28,2,FALSE)</f>
        <v/>
      </c>
    </row>
    <row r="1003">
      <c r="A1003" t="inlineStr">
        <is>
          <t>7f21d3ca84edda19b1982865712ca42e</t>
        </is>
      </c>
      <c r="B1003" t="inlineStr">
        <is>
          <t>2017-08-09</t>
        </is>
      </c>
      <c r="C1003" t="inlineStr">
        <is>
          <t>2017-08</t>
        </is>
      </c>
      <c r="D1003" t="inlineStr">
        <is>
          <t>SP</t>
        </is>
      </c>
      <c r="E1003" t="inlineStr">
        <is>
          <t>furniture_decor</t>
        </is>
      </c>
      <c r="F1003" t="n">
        <v>1</v>
      </c>
      <c r="G1003" t="n">
        <v>10.99</v>
      </c>
      <c r="H1003" t="n">
        <v>11.85</v>
      </c>
      <c r="I1003" t="inlineStr">
        <is>
          <t>boleto</t>
        </is>
      </c>
      <c r="J1003" t="n">
        <v>11</v>
      </c>
      <c r="K1003" t="inlineStr">
        <is>
          <t>On Time</t>
        </is>
      </c>
      <c r="L1003" t="n">
        <v>4</v>
      </c>
      <c r="M1003">
        <f>VLOOKUP(D1003,State_Lookup!$A$2:$B$28,2,FALSE)</f>
        <v/>
      </c>
    </row>
    <row r="1004">
      <c r="A1004" t="inlineStr">
        <is>
          <t>3806e97292af7b9430f6981372925843</t>
        </is>
      </c>
      <c r="B1004" t="inlineStr">
        <is>
          <t>2017-08-09</t>
        </is>
      </c>
      <c r="C1004" t="inlineStr">
        <is>
          <t>2017-08</t>
        </is>
      </c>
      <c r="D1004" t="inlineStr">
        <is>
          <t>RJ</t>
        </is>
      </c>
      <c r="E1004" t="inlineStr">
        <is>
          <t>sports_leisure</t>
        </is>
      </c>
      <c r="F1004" t="n">
        <v>2</v>
      </c>
      <c r="G1004" t="n">
        <v>79.8</v>
      </c>
      <c r="H1004" t="n">
        <v>32.22</v>
      </c>
      <c r="I1004" t="inlineStr">
        <is>
          <t>credit_card</t>
        </is>
      </c>
      <c r="J1004" t="n">
        <v>11</v>
      </c>
      <c r="K1004" t="inlineStr">
        <is>
          <t>On Time</t>
        </is>
      </c>
      <c r="L1004" t="n">
        <v>5</v>
      </c>
      <c r="M1004">
        <f>VLOOKUP(D1004,State_Lookup!$A$2:$B$28,2,FALSE)</f>
        <v/>
      </c>
    </row>
    <row r="1005">
      <c r="A1005" t="inlineStr">
        <is>
          <t>76a144984e527482dad02200366231c1</t>
        </is>
      </c>
      <c r="B1005" t="inlineStr">
        <is>
          <t>2017-08-09</t>
        </is>
      </c>
      <c r="C1005" t="inlineStr">
        <is>
          <t>2017-08</t>
        </is>
      </c>
      <c r="D1005" t="inlineStr">
        <is>
          <t>MG</t>
        </is>
      </c>
      <c r="E1005" t="inlineStr">
        <is>
          <t>small_appliances</t>
        </is>
      </c>
      <c r="F1005" t="n">
        <v>1</v>
      </c>
      <c r="G1005" t="n">
        <v>239.9</v>
      </c>
      <c r="H1005" t="n">
        <v>16.43</v>
      </c>
      <c r="I1005" t="inlineStr">
        <is>
          <t>credit_card</t>
        </is>
      </c>
      <c r="J1005" t="n">
        <v>7</v>
      </c>
      <c r="K1005" t="inlineStr">
        <is>
          <t>On Time</t>
        </is>
      </c>
      <c r="L1005" t="n">
        <v>5</v>
      </c>
      <c r="M1005">
        <f>VLOOKUP(D1005,State_Lookup!$A$2:$B$28,2,FALSE)</f>
        <v/>
      </c>
    </row>
    <row r="1006">
      <c r="A1006" t="inlineStr">
        <is>
          <t>27981b144a3edfc540ff14f416ff7311</t>
        </is>
      </c>
      <c r="B1006" t="inlineStr">
        <is>
          <t>2017-08-09</t>
        </is>
      </c>
      <c r="C1006" t="inlineStr">
        <is>
          <t>2017-08</t>
        </is>
      </c>
      <c r="D1006" t="inlineStr">
        <is>
          <t>SP</t>
        </is>
      </c>
      <c r="E1006" t="inlineStr">
        <is>
          <t>toys</t>
        </is>
      </c>
      <c r="F1006" t="n">
        <v>1</v>
      </c>
      <c r="G1006" t="n">
        <v>19.9</v>
      </c>
      <c r="H1006" t="n">
        <v>11.85</v>
      </c>
      <c r="I1006" t="inlineStr">
        <is>
          <t>credit_card</t>
        </is>
      </c>
      <c r="J1006" t="n">
        <v>3</v>
      </c>
      <c r="K1006" t="inlineStr">
        <is>
          <t>On Time</t>
        </is>
      </c>
      <c r="L1006" t="n">
        <v>5</v>
      </c>
      <c r="M1006">
        <f>VLOOKUP(D1006,State_Lookup!$A$2:$B$28,2,FALSE)</f>
        <v/>
      </c>
    </row>
    <row r="1007">
      <c r="A1007" t="inlineStr">
        <is>
          <t>ef3cef230796c0133556a0a8f013f6fe</t>
        </is>
      </c>
      <c r="B1007" t="inlineStr">
        <is>
          <t>2017-08-10</t>
        </is>
      </c>
      <c r="C1007" t="inlineStr">
        <is>
          <t>2017-08</t>
        </is>
      </c>
      <c r="D1007" t="inlineStr">
        <is>
          <t>RJ</t>
        </is>
      </c>
      <c r="E1007" t="inlineStr">
        <is>
          <t>computers_accessories</t>
        </is>
      </c>
      <c r="F1007" t="n">
        <v>1</v>
      </c>
      <c r="G1007" t="n">
        <v>64.90000000000001</v>
      </c>
      <c r="H1007" t="n">
        <v>15.2</v>
      </c>
      <c r="I1007" t="inlineStr">
        <is>
          <t>credit_card</t>
        </is>
      </c>
      <c r="J1007" t="n">
        <v>15</v>
      </c>
      <c r="K1007" t="inlineStr">
        <is>
          <t>On Time</t>
        </is>
      </c>
      <c r="L1007" t="n">
        <v>4</v>
      </c>
      <c r="M1007">
        <f>VLOOKUP(D1007,State_Lookup!$A$2:$B$28,2,FALSE)</f>
        <v/>
      </c>
    </row>
    <row r="1008">
      <c r="A1008" t="inlineStr">
        <is>
          <t>5802a2af7adc078756b394ca9f492087</t>
        </is>
      </c>
      <c r="B1008" t="inlineStr">
        <is>
          <t>2017-08-10</t>
        </is>
      </c>
      <c r="C1008" t="inlineStr">
        <is>
          <t>2017-08</t>
        </is>
      </c>
      <c r="D1008" t="inlineStr">
        <is>
          <t>SP</t>
        </is>
      </c>
      <c r="E1008" t="inlineStr">
        <is>
          <t>stationery</t>
        </is>
      </c>
      <c r="F1008" t="n">
        <v>1</v>
      </c>
      <c r="G1008" t="n">
        <v>279.9</v>
      </c>
      <c r="H1008" t="n">
        <v>17.59</v>
      </c>
      <c r="I1008" t="inlineStr">
        <is>
          <t>credit_card</t>
        </is>
      </c>
      <c r="J1008" t="n">
        <v>5</v>
      </c>
      <c r="K1008" t="inlineStr">
        <is>
          <t>On Time</t>
        </is>
      </c>
      <c r="L1008" t="n">
        <v>5</v>
      </c>
      <c r="M1008">
        <f>VLOOKUP(D1008,State_Lookup!$A$2:$B$28,2,FALSE)</f>
        <v/>
      </c>
    </row>
    <row r="1009">
      <c r="A1009" t="inlineStr">
        <is>
          <t>cd7293cd82a7c818940f97bef67c4d62</t>
        </is>
      </c>
      <c r="B1009" t="inlineStr">
        <is>
          <t>2017-08-10</t>
        </is>
      </c>
      <c r="C1009" t="inlineStr">
        <is>
          <t>2017-08</t>
        </is>
      </c>
      <c r="D1009" t="inlineStr">
        <is>
          <t>GO</t>
        </is>
      </c>
      <c r="E1009" t="inlineStr">
        <is>
          <t>cool_stuff</t>
        </is>
      </c>
      <c r="F1009" t="n">
        <v>1</v>
      </c>
      <c r="G1009" t="n">
        <v>98.90000000000001</v>
      </c>
      <c r="H1009" t="n">
        <v>9.26</v>
      </c>
      <c r="I1009" t="inlineStr">
        <is>
          <t>boleto</t>
        </is>
      </c>
      <c r="J1009" t="n">
        <v>5</v>
      </c>
      <c r="K1009" t="inlineStr">
        <is>
          <t>On Time</t>
        </is>
      </c>
      <c r="L1009" t="n">
        <v>5</v>
      </c>
      <c r="M1009">
        <f>VLOOKUP(D1009,State_Lookup!$A$2:$B$28,2,FALSE)</f>
        <v/>
      </c>
    </row>
    <row r="1010">
      <c r="A1010" t="inlineStr">
        <is>
          <t>f98f3e577848e635602f831c276ba700</t>
        </is>
      </c>
      <c r="B1010" t="inlineStr">
        <is>
          <t>2017-08-10</t>
        </is>
      </c>
      <c r="C1010" t="inlineStr">
        <is>
          <t>2017-08</t>
        </is>
      </c>
      <c r="D1010" t="inlineStr">
        <is>
          <t>RJ</t>
        </is>
      </c>
      <c r="E1010" t="inlineStr">
        <is>
          <t>garden_tools</t>
        </is>
      </c>
      <c r="F1010" t="n">
        <v>1</v>
      </c>
      <c r="G1010" t="n">
        <v>14.46</v>
      </c>
      <c r="H1010" t="n">
        <v>15.1</v>
      </c>
      <c r="I1010" t="inlineStr">
        <is>
          <t>boleto</t>
        </is>
      </c>
      <c r="J1010" t="n">
        <v>7</v>
      </c>
      <c r="K1010" t="inlineStr">
        <is>
          <t>On Time</t>
        </is>
      </c>
      <c r="L1010" t="n">
        <v>5</v>
      </c>
      <c r="M1010">
        <f>VLOOKUP(D1010,State_Lookup!$A$2:$B$28,2,FALSE)</f>
        <v/>
      </c>
    </row>
    <row r="1011">
      <c r="A1011" t="inlineStr">
        <is>
          <t>1565c265f6580c91569b142d96aaa19d</t>
        </is>
      </c>
      <c r="B1011" t="inlineStr">
        <is>
          <t>2017-08-10</t>
        </is>
      </c>
      <c r="C1011" t="inlineStr">
        <is>
          <t>2017-08</t>
        </is>
      </c>
      <c r="D1011" t="inlineStr">
        <is>
          <t>SP</t>
        </is>
      </c>
      <c r="E1011" t="inlineStr">
        <is>
          <t>computers_accessories</t>
        </is>
      </c>
      <c r="F1011" t="n">
        <v>1</v>
      </c>
      <c r="G1011" t="n">
        <v>39.9</v>
      </c>
      <c r="H1011" t="n">
        <v>17.92</v>
      </c>
      <c r="I1011" t="inlineStr">
        <is>
          <t>credit_card</t>
        </is>
      </c>
      <c r="J1011" t="n">
        <v>10</v>
      </c>
      <c r="K1011" t="inlineStr">
        <is>
          <t>On Time</t>
        </is>
      </c>
      <c r="L1011" t="n">
        <v>5</v>
      </c>
      <c r="M1011">
        <f>VLOOKUP(D1011,State_Lookup!$A$2:$B$28,2,FALSE)</f>
        <v/>
      </c>
    </row>
    <row r="1012">
      <c r="A1012" t="inlineStr">
        <is>
          <t>2b234cbc0fc80ec00c9ab6f0ca1aca88</t>
        </is>
      </c>
      <c r="B1012" t="inlineStr">
        <is>
          <t>2017-08-10</t>
        </is>
      </c>
      <c r="C1012" t="inlineStr">
        <is>
          <t>2017-08</t>
        </is>
      </c>
      <c r="D1012" t="inlineStr">
        <is>
          <t>SP</t>
        </is>
      </c>
      <c r="E1012" t="inlineStr">
        <is>
          <t>luggage_accessories</t>
        </is>
      </c>
      <c r="F1012" t="n">
        <v>1</v>
      </c>
      <c r="G1012" t="n">
        <v>85.90000000000001</v>
      </c>
      <c r="H1012" t="n">
        <v>14.33</v>
      </c>
      <c r="I1012" t="inlineStr">
        <is>
          <t>credit_card</t>
        </is>
      </c>
      <c r="J1012" t="n">
        <v>4</v>
      </c>
      <c r="K1012" t="inlineStr">
        <is>
          <t>On Time</t>
        </is>
      </c>
      <c r="L1012" t="n">
        <v>5</v>
      </c>
      <c r="M1012">
        <f>VLOOKUP(D1012,State_Lookup!$A$2:$B$28,2,FALSE)</f>
        <v/>
      </c>
    </row>
    <row r="1013">
      <c r="A1013" t="inlineStr">
        <is>
          <t>3ce5ed82ae32a886fd55be9b9e7b8405</t>
        </is>
      </c>
      <c r="B1013" t="inlineStr">
        <is>
          <t>2017-08-10</t>
        </is>
      </c>
      <c r="C1013" t="inlineStr">
        <is>
          <t>2017-08</t>
        </is>
      </c>
      <c r="D1013" t="inlineStr">
        <is>
          <t>GO</t>
        </is>
      </c>
      <c r="E1013" t="inlineStr">
        <is>
          <t>bed_bath_table</t>
        </is>
      </c>
      <c r="F1013" t="n">
        <v>1</v>
      </c>
      <c r="G1013" t="n">
        <v>233.8</v>
      </c>
      <c r="H1013" t="n">
        <v>94.94</v>
      </c>
      <c r="I1013" t="inlineStr">
        <is>
          <t>credit_card</t>
        </is>
      </c>
      <c r="J1013" t="n">
        <v>13</v>
      </c>
      <c r="K1013" t="inlineStr">
        <is>
          <t>On Time</t>
        </is>
      </c>
      <c r="L1013" t="n">
        <v>5</v>
      </c>
      <c r="M1013">
        <f>VLOOKUP(D1013,State_Lookup!$A$2:$B$28,2,FALSE)</f>
        <v/>
      </c>
    </row>
    <row r="1014">
      <c r="A1014" t="inlineStr">
        <is>
          <t>6af8d729a1717c4ba85c7bdc83278656</t>
        </is>
      </c>
      <c r="B1014" t="inlineStr">
        <is>
          <t>2017-08-10</t>
        </is>
      </c>
      <c r="C1014" t="inlineStr">
        <is>
          <t>2017-08</t>
        </is>
      </c>
      <c r="D1014" t="inlineStr">
        <is>
          <t>SP</t>
        </is>
      </c>
      <c r="E1014" t="inlineStr">
        <is>
          <t>watches_gifts</t>
        </is>
      </c>
      <c r="F1014" t="n">
        <v>1</v>
      </c>
      <c r="G1014" t="n">
        <v>350</v>
      </c>
      <c r="H1014" t="n">
        <v>13.95</v>
      </c>
      <c r="I1014" t="inlineStr">
        <is>
          <t>credit_card</t>
        </is>
      </c>
      <c r="J1014" t="n">
        <v>7</v>
      </c>
      <c r="K1014" t="inlineStr">
        <is>
          <t>On Time</t>
        </is>
      </c>
      <c r="L1014" t="n">
        <v>5</v>
      </c>
      <c r="M1014">
        <f>VLOOKUP(D1014,State_Lookup!$A$2:$B$28,2,FALSE)</f>
        <v/>
      </c>
    </row>
    <row r="1015">
      <c r="A1015" t="inlineStr">
        <is>
          <t>a2271e2c867442b21df827861d9f8ef0</t>
        </is>
      </c>
      <c r="B1015" t="inlineStr">
        <is>
          <t>2017-08-10</t>
        </is>
      </c>
      <c r="C1015" t="inlineStr">
        <is>
          <t>2017-08</t>
        </is>
      </c>
      <c r="D1015" t="inlineStr">
        <is>
          <t>MG</t>
        </is>
      </c>
      <c r="E1015" t="inlineStr">
        <is>
          <t>baby</t>
        </is>
      </c>
      <c r="F1015" t="n">
        <v>1</v>
      </c>
      <c r="G1015" t="n">
        <v>388</v>
      </c>
      <c r="H1015" t="n">
        <v>18.35</v>
      </c>
      <c r="I1015" t="inlineStr">
        <is>
          <t>boleto</t>
        </is>
      </c>
      <c r="J1015" t="n">
        <v>15</v>
      </c>
      <c r="K1015" t="inlineStr">
        <is>
          <t>On Time</t>
        </is>
      </c>
      <c r="L1015" t="n">
        <v>5</v>
      </c>
      <c r="M1015">
        <f>VLOOKUP(D1015,State_Lookup!$A$2:$B$28,2,FALSE)</f>
        <v/>
      </c>
    </row>
    <row r="1016">
      <c r="A1016" t="inlineStr">
        <is>
          <t>b1af0e84814ea77191dddbb863dc896a</t>
        </is>
      </c>
      <c r="B1016" t="inlineStr">
        <is>
          <t>2017-08-11</t>
        </is>
      </c>
      <c r="C1016" t="inlineStr">
        <is>
          <t>2017-08</t>
        </is>
      </c>
      <c r="D1016" t="inlineStr">
        <is>
          <t>MG</t>
        </is>
      </c>
      <c r="E1016" t="inlineStr">
        <is>
          <t>sports_leisure</t>
        </is>
      </c>
      <c r="F1016" t="n">
        <v>1</v>
      </c>
      <c r="G1016" t="n">
        <v>52.5</v>
      </c>
      <c r="H1016" t="n">
        <v>26.91</v>
      </c>
      <c r="I1016" t="inlineStr">
        <is>
          <t>credit_card</t>
        </is>
      </c>
      <c r="J1016" t="n">
        <v>11</v>
      </c>
      <c r="K1016" t="inlineStr">
        <is>
          <t>On Time</t>
        </is>
      </c>
      <c r="L1016" t="n">
        <v>5</v>
      </c>
      <c r="M1016">
        <f>VLOOKUP(D1016,State_Lookup!$A$2:$B$28,2,FALSE)</f>
        <v/>
      </c>
    </row>
    <row r="1017">
      <c r="A1017" t="inlineStr">
        <is>
          <t>300e2dfe7d37393693973f78426a0807</t>
        </is>
      </c>
      <c r="B1017" t="inlineStr">
        <is>
          <t>2017-08-11</t>
        </is>
      </c>
      <c r="C1017" t="inlineStr">
        <is>
          <t>2017-08</t>
        </is>
      </c>
      <c r="D1017" t="inlineStr">
        <is>
          <t>SP</t>
        </is>
      </c>
      <c r="E1017" t="inlineStr">
        <is>
          <t>toys</t>
        </is>
      </c>
      <c r="F1017" t="n">
        <v>1</v>
      </c>
      <c r="G1017" t="n">
        <v>34.99</v>
      </c>
      <c r="H1017" t="n">
        <v>8.720000000000001</v>
      </c>
      <c r="I1017" t="inlineStr">
        <is>
          <t>credit_card</t>
        </is>
      </c>
      <c r="J1017" t="n">
        <v>4</v>
      </c>
      <c r="K1017" t="inlineStr">
        <is>
          <t>On Time</t>
        </is>
      </c>
      <c r="L1017" t="n">
        <v>5</v>
      </c>
      <c r="M1017">
        <f>VLOOKUP(D1017,State_Lookup!$A$2:$B$28,2,FALSE)</f>
        <v/>
      </c>
    </row>
    <row r="1018">
      <c r="A1018" t="inlineStr">
        <is>
          <t>c94517a93bb24f22495c95eb3f90adc5</t>
        </is>
      </c>
      <c r="B1018" t="inlineStr">
        <is>
          <t>2017-08-11</t>
        </is>
      </c>
      <c r="C1018" t="inlineStr">
        <is>
          <t>2017-08</t>
        </is>
      </c>
      <c r="D1018" t="inlineStr">
        <is>
          <t>RJ</t>
        </is>
      </c>
      <c r="E1018" t="inlineStr">
        <is>
          <t>bed_bath_table</t>
        </is>
      </c>
      <c r="F1018" t="n">
        <v>2</v>
      </c>
      <c r="G1018" t="n">
        <v>91.90000000000001</v>
      </c>
      <c r="H1018" t="n">
        <v>30.2</v>
      </c>
      <c r="I1018" t="inlineStr">
        <is>
          <t>credit_card</t>
        </is>
      </c>
      <c r="J1018" t="n">
        <v>18</v>
      </c>
      <c r="K1018" t="inlineStr">
        <is>
          <t>On Time</t>
        </is>
      </c>
      <c r="L1018" t="n">
        <v>4</v>
      </c>
      <c r="M1018">
        <f>VLOOKUP(D1018,State_Lookup!$A$2:$B$28,2,FALSE)</f>
        <v/>
      </c>
    </row>
    <row r="1019">
      <c r="A1019" t="inlineStr">
        <is>
          <t>5256aac1d939c4bbc931cc7c1c78a419</t>
        </is>
      </c>
      <c r="B1019" t="inlineStr">
        <is>
          <t>2017-08-12</t>
        </is>
      </c>
      <c r="C1019" t="inlineStr">
        <is>
          <t>2017-08</t>
        </is>
      </c>
      <c r="D1019" t="inlineStr">
        <is>
          <t>SP</t>
        </is>
      </c>
      <c r="E1019" t="inlineStr">
        <is>
          <t>kitchen_dining_laundry_garden_furniture</t>
        </is>
      </c>
      <c r="F1019" t="n">
        <v>1</v>
      </c>
      <c r="G1019" t="n">
        <v>108</v>
      </c>
      <c r="H1019" t="n">
        <v>29.13</v>
      </c>
      <c r="I1019" t="inlineStr">
        <is>
          <t>credit_card</t>
        </is>
      </c>
      <c r="J1019" t="n">
        <v>4</v>
      </c>
      <c r="K1019" t="inlineStr">
        <is>
          <t>On Time</t>
        </is>
      </c>
      <c r="L1019" t="n">
        <v>5</v>
      </c>
      <c r="M1019">
        <f>VLOOKUP(D1019,State_Lookup!$A$2:$B$28,2,FALSE)</f>
        <v/>
      </c>
    </row>
    <row r="1020">
      <c r="A1020" t="inlineStr">
        <is>
          <t>e1deab080b7d765ab23ffbbeaf062466</t>
        </is>
      </c>
      <c r="B1020" t="inlineStr">
        <is>
          <t>2017-08-12</t>
        </is>
      </c>
      <c r="C1020" t="inlineStr">
        <is>
          <t>2017-08</t>
        </is>
      </c>
      <c r="D1020" t="inlineStr">
        <is>
          <t>SP</t>
        </is>
      </c>
      <c r="E1020" t="inlineStr">
        <is>
          <t>furniture_bedroom</t>
        </is>
      </c>
      <c r="F1020" t="n">
        <v>1</v>
      </c>
      <c r="G1020" t="n">
        <v>170</v>
      </c>
      <c r="H1020" t="n">
        <v>27.51</v>
      </c>
      <c r="I1020" t="inlineStr">
        <is>
          <t>credit_card</t>
        </is>
      </c>
      <c r="J1020" t="n">
        <v>22</v>
      </c>
      <c r="K1020" t="inlineStr">
        <is>
          <t>On Time</t>
        </is>
      </c>
      <c r="L1020" t="n">
        <v>5</v>
      </c>
      <c r="M1020">
        <f>VLOOKUP(D1020,State_Lookup!$A$2:$B$28,2,FALSE)</f>
        <v/>
      </c>
    </row>
    <row r="1021">
      <c r="A1021" t="inlineStr">
        <is>
          <t>d374e958c5246d608c3baeca9ddccb16</t>
        </is>
      </c>
      <c r="B1021" t="inlineStr">
        <is>
          <t>2017-08-12</t>
        </is>
      </c>
      <c r="C1021" t="inlineStr">
        <is>
          <t>2017-08</t>
        </is>
      </c>
      <c r="D1021" t="inlineStr">
        <is>
          <t>BA</t>
        </is>
      </c>
      <c r="E1021" t="inlineStr">
        <is>
          <t>furniture_decor</t>
        </is>
      </c>
      <c r="F1021" t="n">
        <v>1</v>
      </c>
      <c r="G1021" t="n">
        <v>39.99</v>
      </c>
      <c r="H1021" t="n">
        <v>16.79</v>
      </c>
      <c r="I1021" t="inlineStr">
        <is>
          <t>credit_card</t>
        </is>
      </c>
      <c r="J1021" t="n">
        <v>8</v>
      </c>
      <c r="K1021" t="inlineStr">
        <is>
          <t>On Time</t>
        </is>
      </c>
      <c r="L1021" t="n">
        <v>5</v>
      </c>
      <c r="M1021">
        <f>VLOOKUP(D1021,State_Lookup!$A$2:$B$28,2,FALSE)</f>
        <v/>
      </c>
    </row>
    <row r="1022">
      <c r="A1022" t="inlineStr">
        <is>
          <t>ab12a70fb1db89901f89c16464249395</t>
        </is>
      </c>
      <c r="B1022" t="inlineStr">
        <is>
          <t>2017-08-13</t>
        </is>
      </c>
      <c r="C1022" t="inlineStr">
        <is>
          <t>2017-08</t>
        </is>
      </c>
      <c r="D1022" t="inlineStr">
        <is>
          <t>RJ</t>
        </is>
      </c>
      <c r="E1022" t="inlineStr">
        <is>
          <t>bed_bath_table</t>
        </is>
      </c>
      <c r="F1022" t="n">
        <v>1</v>
      </c>
      <c r="G1022" t="n">
        <v>89.90000000000001</v>
      </c>
      <c r="H1022" t="n">
        <v>17.88</v>
      </c>
      <c r="I1022" t="inlineStr">
        <is>
          <t>credit_card</t>
        </is>
      </c>
      <c r="J1022" t="n">
        <v>15</v>
      </c>
      <c r="K1022" t="inlineStr">
        <is>
          <t>On Time</t>
        </is>
      </c>
      <c r="L1022" t="n">
        <v>3</v>
      </c>
      <c r="M1022">
        <f>VLOOKUP(D1022,State_Lookup!$A$2:$B$28,2,FALSE)</f>
        <v/>
      </c>
    </row>
    <row r="1023">
      <c r="A1023" t="inlineStr">
        <is>
          <t>ec84e555ec0c06ea52e4cd6051f68802</t>
        </is>
      </c>
      <c r="B1023" t="inlineStr">
        <is>
          <t>2017-08-13</t>
        </is>
      </c>
      <c r="C1023" t="inlineStr">
        <is>
          <t>2017-08</t>
        </is>
      </c>
      <c r="D1023" t="inlineStr">
        <is>
          <t>MG</t>
        </is>
      </c>
      <c r="E1023" t="inlineStr">
        <is>
          <t>home_appliances_2</t>
        </is>
      </c>
      <c r="F1023" t="n">
        <v>1</v>
      </c>
      <c r="G1023" t="n">
        <v>217</v>
      </c>
      <c r="H1023" t="n">
        <v>78.81</v>
      </c>
      <c r="I1023" t="inlineStr">
        <is>
          <t>credit_card</t>
        </is>
      </c>
      <c r="J1023" t="n">
        <v>11</v>
      </c>
      <c r="K1023" t="inlineStr">
        <is>
          <t>On Time</t>
        </is>
      </c>
      <c r="L1023" t="n">
        <v>4</v>
      </c>
      <c r="M1023">
        <f>VLOOKUP(D1023,State_Lookup!$A$2:$B$28,2,FALSE)</f>
        <v/>
      </c>
    </row>
    <row r="1024">
      <c r="A1024" t="inlineStr">
        <is>
          <t>3733b36d82377a01ed4386abf60df35d</t>
        </is>
      </c>
      <c r="B1024" t="inlineStr">
        <is>
          <t>2017-08-13</t>
        </is>
      </c>
      <c r="C1024" t="inlineStr">
        <is>
          <t>2017-08</t>
        </is>
      </c>
      <c r="D1024" t="inlineStr">
        <is>
          <t>PR</t>
        </is>
      </c>
      <c r="E1024" t="inlineStr">
        <is>
          <t>computers_accessories</t>
        </is>
      </c>
      <c r="F1024" t="n">
        <v>1</v>
      </c>
      <c r="G1024" t="n">
        <v>139.99</v>
      </c>
      <c r="H1024" t="n">
        <v>45.06</v>
      </c>
      <c r="I1024" t="inlineStr">
        <is>
          <t>credit_card</t>
        </is>
      </c>
      <c r="J1024" t="n">
        <v>9</v>
      </c>
      <c r="K1024" t="inlineStr">
        <is>
          <t>On Time</t>
        </is>
      </c>
      <c r="L1024" t="n">
        <v>5</v>
      </c>
      <c r="M1024">
        <f>VLOOKUP(D1024,State_Lookup!$A$2:$B$28,2,FALSE)</f>
        <v/>
      </c>
    </row>
    <row r="1025">
      <c r="A1025" t="inlineStr">
        <is>
          <t>621a8d2076a3738d27d6f6b2ad81a906</t>
        </is>
      </c>
      <c r="B1025" t="inlineStr">
        <is>
          <t>2017-08-13</t>
        </is>
      </c>
      <c r="C1025" t="inlineStr">
        <is>
          <t>2017-08</t>
        </is>
      </c>
      <c r="D1025" t="inlineStr">
        <is>
          <t>MG</t>
        </is>
      </c>
      <c r="E1025" t="inlineStr">
        <is>
          <t>sports_leisure</t>
        </is>
      </c>
      <c r="F1025" t="n">
        <v>1</v>
      </c>
      <c r="G1025" t="n">
        <v>69.90000000000001</v>
      </c>
      <c r="H1025" t="n">
        <v>16.25</v>
      </c>
      <c r="I1025" t="inlineStr">
        <is>
          <t>credit_card</t>
        </is>
      </c>
      <c r="J1025" t="n">
        <v>10</v>
      </c>
      <c r="K1025" t="inlineStr">
        <is>
          <t>On Time</t>
        </is>
      </c>
      <c r="L1025" t="n">
        <v>5</v>
      </c>
      <c r="M1025">
        <f>VLOOKUP(D1025,State_Lookup!$A$2:$B$28,2,FALSE)</f>
        <v/>
      </c>
    </row>
    <row r="1026">
      <c r="A1026" t="inlineStr">
        <is>
          <t>d0acfe7fdbf94c390d7b20b589fa9bbd</t>
        </is>
      </c>
      <c r="B1026" t="inlineStr">
        <is>
          <t>2017-08-13</t>
        </is>
      </c>
      <c r="C1026" t="inlineStr">
        <is>
          <t>2017-08</t>
        </is>
      </c>
      <c r="D1026" t="inlineStr">
        <is>
          <t>PR</t>
        </is>
      </c>
      <c r="E1026" t="inlineStr">
        <is>
          <t>toys</t>
        </is>
      </c>
      <c r="F1026" t="n">
        <v>1</v>
      </c>
      <c r="G1026" t="n">
        <v>165.9</v>
      </c>
      <c r="H1026" t="n">
        <v>21.07</v>
      </c>
      <c r="I1026" t="inlineStr">
        <is>
          <t>credit_card</t>
        </is>
      </c>
      <c r="J1026" t="n">
        <v>3</v>
      </c>
      <c r="K1026" t="inlineStr">
        <is>
          <t>On Time</t>
        </is>
      </c>
      <c r="L1026" t="n">
        <v>5</v>
      </c>
      <c r="M1026">
        <f>VLOOKUP(D1026,State_Lookup!$A$2:$B$28,2,FALSE)</f>
        <v/>
      </c>
    </row>
    <row r="1027">
      <c r="A1027" t="inlineStr">
        <is>
          <t>0de9e77cb8416394c1d74300fd08213f</t>
        </is>
      </c>
      <c r="B1027" t="inlineStr">
        <is>
          <t>2017-08-13</t>
        </is>
      </c>
      <c r="C1027" t="inlineStr">
        <is>
          <t>2017-08</t>
        </is>
      </c>
      <c r="D1027" t="inlineStr">
        <is>
          <t>RS</t>
        </is>
      </c>
      <c r="E1027" t="inlineStr">
        <is>
          <t>housewares</t>
        </is>
      </c>
      <c r="F1027" t="n">
        <v>1</v>
      </c>
      <c r="G1027" t="n">
        <v>33</v>
      </c>
      <c r="H1027" t="n">
        <v>17.6</v>
      </c>
      <c r="I1027" t="inlineStr">
        <is>
          <t>debit_card</t>
        </is>
      </c>
      <c r="J1027" t="n">
        <v>31</v>
      </c>
      <c r="K1027" t="inlineStr">
        <is>
          <t>Late</t>
        </is>
      </c>
      <c r="L1027" t="n">
        <v>4</v>
      </c>
      <c r="M1027">
        <f>VLOOKUP(D1027,State_Lookup!$A$2:$B$28,2,FALSE)</f>
        <v/>
      </c>
    </row>
    <row r="1028">
      <c r="A1028" t="inlineStr">
        <is>
          <t>9b9a7ecc01bac06fcf3c50980c5ed885</t>
        </is>
      </c>
      <c r="B1028" t="inlineStr">
        <is>
          <t>2017-08-13</t>
        </is>
      </c>
      <c r="C1028" t="inlineStr">
        <is>
          <t>2017-08</t>
        </is>
      </c>
      <c r="D1028" t="inlineStr">
        <is>
          <t>RS</t>
        </is>
      </c>
      <c r="E1028" t="inlineStr">
        <is>
          <t>cool_stuff</t>
        </is>
      </c>
      <c r="F1028" t="n">
        <v>1</v>
      </c>
      <c r="G1028" t="n">
        <v>199.99</v>
      </c>
      <c r="H1028" t="n">
        <v>18.97</v>
      </c>
      <c r="I1028" t="inlineStr">
        <is>
          <t>credit_card</t>
        </is>
      </c>
      <c r="J1028" t="n">
        <v>11</v>
      </c>
      <c r="K1028" t="inlineStr">
        <is>
          <t>On Time</t>
        </is>
      </c>
      <c r="L1028" t="n">
        <v>5</v>
      </c>
      <c r="M1028">
        <f>VLOOKUP(D1028,State_Lookup!$A$2:$B$28,2,FALSE)</f>
        <v/>
      </c>
    </row>
    <row r="1029">
      <c r="A1029" t="inlineStr">
        <is>
          <t>bb24bc48ede5999f7be893f8d0024291</t>
        </is>
      </c>
      <c r="B1029" t="inlineStr">
        <is>
          <t>2017-08-13</t>
        </is>
      </c>
      <c r="C1029" t="inlineStr">
        <is>
          <t>2017-08</t>
        </is>
      </c>
      <c r="D1029" t="inlineStr">
        <is>
          <t>SP</t>
        </is>
      </c>
      <c r="E1029" t="inlineStr">
        <is>
          <t>unknown</t>
        </is>
      </c>
      <c r="F1029" t="n">
        <v>1</v>
      </c>
      <c r="G1029" t="n">
        <v>104.9</v>
      </c>
      <c r="H1029" t="n">
        <v>12.23</v>
      </c>
      <c r="I1029" t="inlineStr">
        <is>
          <t>credit_card</t>
        </is>
      </c>
      <c r="J1029" t="n">
        <v>5</v>
      </c>
      <c r="K1029" t="inlineStr">
        <is>
          <t>On Time</t>
        </is>
      </c>
      <c r="L1029" t="n">
        <v>5</v>
      </c>
      <c r="M1029">
        <f>VLOOKUP(D1029,State_Lookup!$A$2:$B$28,2,FALSE)</f>
        <v/>
      </c>
    </row>
    <row r="1030">
      <c r="A1030" t="inlineStr">
        <is>
          <t>c57cf7b41f793c7c74b7e51f236eb57f</t>
        </is>
      </c>
      <c r="B1030" t="inlineStr">
        <is>
          <t>2017-08-13</t>
        </is>
      </c>
      <c r="C1030" t="inlineStr">
        <is>
          <t>2017-08</t>
        </is>
      </c>
      <c r="D1030" t="inlineStr">
        <is>
          <t>MG</t>
        </is>
      </c>
      <c r="E1030" t="inlineStr">
        <is>
          <t>stationery</t>
        </is>
      </c>
      <c r="F1030" t="n">
        <v>1</v>
      </c>
      <c r="G1030" t="n">
        <v>59.9</v>
      </c>
      <c r="H1030" t="n">
        <v>18.04</v>
      </c>
      <c r="I1030" t="inlineStr">
        <is>
          <t>boleto</t>
        </is>
      </c>
      <c r="J1030" t="n">
        <v>12</v>
      </c>
      <c r="K1030" t="inlineStr">
        <is>
          <t>On Time</t>
        </is>
      </c>
      <c r="L1030" t="n">
        <v>4</v>
      </c>
      <c r="M1030">
        <f>VLOOKUP(D1030,State_Lookup!$A$2:$B$28,2,FALSE)</f>
        <v/>
      </c>
    </row>
    <row r="1031">
      <c r="A1031" t="inlineStr">
        <is>
          <t>beb460eb01804a14aaee60f14c3247b5</t>
        </is>
      </c>
      <c r="B1031" t="inlineStr">
        <is>
          <t>2017-08-13</t>
        </is>
      </c>
      <c r="C1031" t="inlineStr">
        <is>
          <t>2017-08</t>
        </is>
      </c>
      <c r="D1031" t="inlineStr">
        <is>
          <t>MG</t>
        </is>
      </c>
      <c r="E1031" t="inlineStr">
        <is>
          <t>health_beauty</t>
        </is>
      </c>
      <c r="F1031" t="n">
        <v>1</v>
      </c>
      <c r="G1031" t="n">
        <v>58.99</v>
      </c>
      <c r="H1031" t="n">
        <v>17.66</v>
      </c>
      <c r="I1031" t="inlineStr">
        <is>
          <t>credit_card</t>
        </is>
      </c>
      <c r="J1031" t="n">
        <v>7</v>
      </c>
      <c r="K1031" t="inlineStr">
        <is>
          <t>On Time</t>
        </is>
      </c>
      <c r="L1031" t="n">
        <v>4</v>
      </c>
      <c r="M1031">
        <f>VLOOKUP(D1031,State_Lookup!$A$2:$B$28,2,FALSE)</f>
        <v/>
      </c>
    </row>
    <row r="1032">
      <c r="A1032" t="inlineStr">
        <is>
          <t>114e0ad5d9cd8931d7541e1331bdb503</t>
        </is>
      </c>
      <c r="B1032" t="inlineStr">
        <is>
          <t>2017-08-14</t>
        </is>
      </c>
      <c r="C1032" t="inlineStr">
        <is>
          <t>2017-08</t>
        </is>
      </c>
      <c r="D1032" t="inlineStr">
        <is>
          <t>MG</t>
        </is>
      </c>
      <c r="E1032" t="inlineStr">
        <is>
          <t>bed_bath_table</t>
        </is>
      </c>
      <c r="F1032" t="n">
        <v>1</v>
      </c>
      <c r="G1032" t="n">
        <v>69.90000000000001</v>
      </c>
      <c r="H1032" t="n">
        <v>14.22</v>
      </c>
      <c r="I1032" t="inlineStr">
        <is>
          <t>credit_card</t>
        </is>
      </c>
      <c r="J1032" t="inlineStr"/>
      <c r="K1032" t="inlineStr">
        <is>
          <t>Not Delivered</t>
        </is>
      </c>
      <c r="L1032" t="n">
        <v>5</v>
      </c>
      <c r="M1032">
        <f>VLOOKUP(D1032,State_Lookup!$A$2:$B$28,2,FALSE)</f>
        <v/>
      </c>
    </row>
    <row r="1033">
      <c r="A1033" t="inlineStr">
        <is>
          <t>c1446140c078144be23c01e9858697b6</t>
        </is>
      </c>
      <c r="B1033" t="inlineStr">
        <is>
          <t>2017-08-14</t>
        </is>
      </c>
      <c r="C1033" t="inlineStr">
        <is>
          <t>2017-08</t>
        </is>
      </c>
      <c r="D1033" t="inlineStr">
        <is>
          <t>SP</t>
        </is>
      </c>
      <c r="E1033" t="inlineStr">
        <is>
          <t>fashion_bags_accessories</t>
        </is>
      </c>
      <c r="F1033" t="n">
        <v>1</v>
      </c>
      <c r="G1033" t="n">
        <v>49</v>
      </c>
      <c r="H1033" t="n">
        <v>11.85</v>
      </c>
      <c r="I1033" t="inlineStr">
        <is>
          <t>credit_card</t>
        </is>
      </c>
      <c r="J1033" t="n">
        <v>9</v>
      </c>
      <c r="K1033" t="inlineStr">
        <is>
          <t>On Time</t>
        </is>
      </c>
      <c r="L1033" t="n">
        <v>5</v>
      </c>
      <c r="M1033">
        <f>VLOOKUP(D1033,State_Lookup!$A$2:$B$28,2,FALSE)</f>
        <v/>
      </c>
    </row>
    <row r="1034">
      <c r="A1034" t="inlineStr">
        <is>
          <t>fbea6a49d91331a6874627ab4aca845f</t>
        </is>
      </c>
      <c r="B1034" t="inlineStr">
        <is>
          <t>2017-08-14</t>
        </is>
      </c>
      <c r="C1034" t="inlineStr">
        <is>
          <t>2017-08</t>
        </is>
      </c>
      <c r="D1034" t="inlineStr">
        <is>
          <t>SP</t>
        </is>
      </c>
      <c r="E1034" t="inlineStr">
        <is>
          <t>sports_leisure</t>
        </is>
      </c>
      <c r="F1034" t="n">
        <v>1</v>
      </c>
      <c r="G1034" t="n">
        <v>39.9</v>
      </c>
      <c r="H1034" t="n">
        <v>8.720000000000001</v>
      </c>
      <c r="I1034" t="inlineStr">
        <is>
          <t>boleto</t>
        </is>
      </c>
      <c r="J1034" t="n">
        <v>7</v>
      </c>
      <c r="K1034" t="inlineStr">
        <is>
          <t>On Time</t>
        </is>
      </c>
      <c r="L1034" t="n">
        <v>5</v>
      </c>
      <c r="M1034">
        <f>VLOOKUP(D1034,State_Lookup!$A$2:$B$28,2,FALSE)</f>
        <v/>
      </c>
    </row>
    <row r="1035">
      <c r="A1035" t="inlineStr">
        <is>
          <t>fffe18544ffabc95dfada21779c9644f</t>
        </is>
      </c>
      <c r="B1035" t="inlineStr">
        <is>
          <t>2017-08-14</t>
        </is>
      </c>
      <c r="C1035" t="inlineStr">
        <is>
          <t>2017-08</t>
        </is>
      </c>
      <c r="D1035" t="inlineStr">
        <is>
          <t>SP</t>
        </is>
      </c>
      <c r="E1035" t="inlineStr">
        <is>
          <t>computers_accessories</t>
        </is>
      </c>
      <c r="F1035" t="n">
        <v>1</v>
      </c>
      <c r="G1035" t="n">
        <v>55.99</v>
      </c>
      <c r="H1035" t="n">
        <v>8.720000000000001</v>
      </c>
      <c r="I1035" t="inlineStr">
        <is>
          <t>credit_card</t>
        </is>
      </c>
      <c r="J1035" t="n">
        <v>1</v>
      </c>
      <c r="K1035" t="inlineStr">
        <is>
          <t>On Time</t>
        </is>
      </c>
      <c r="L1035" t="n">
        <v>5</v>
      </c>
      <c r="M1035">
        <f>VLOOKUP(D1035,State_Lookup!$A$2:$B$28,2,FALSE)</f>
        <v/>
      </c>
    </row>
    <row r="1036">
      <c r="A1036" t="inlineStr">
        <is>
          <t>27ae4a0be8ab218e05e205f6fcacb88b</t>
        </is>
      </c>
      <c r="B1036" t="inlineStr">
        <is>
          <t>2017-08-14</t>
        </is>
      </c>
      <c r="C1036" t="inlineStr">
        <is>
          <t>2017-08</t>
        </is>
      </c>
      <c r="D1036" t="inlineStr">
        <is>
          <t>SP</t>
        </is>
      </c>
      <c r="E1036" t="inlineStr">
        <is>
          <t>health_beauty</t>
        </is>
      </c>
      <c r="F1036" t="n">
        <v>1</v>
      </c>
      <c r="G1036" t="n">
        <v>49.99</v>
      </c>
      <c r="H1036" t="n">
        <v>11.73</v>
      </c>
      <c r="I1036" t="inlineStr">
        <is>
          <t>boleto</t>
        </is>
      </c>
      <c r="J1036" t="n">
        <v>5</v>
      </c>
      <c r="K1036" t="inlineStr">
        <is>
          <t>On Time</t>
        </is>
      </c>
      <c r="L1036" t="n">
        <v>5</v>
      </c>
      <c r="M1036">
        <f>VLOOKUP(D1036,State_Lookup!$A$2:$B$28,2,FALSE)</f>
        <v/>
      </c>
    </row>
    <row r="1037">
      <c r="A1037" t="inlineStr">
        <is>
          <t>d8bf59eb5386f2c3d82cfa4ced3c6183</t>
        </is>
      </c>
      <c r="B1037" t="inlineStr">
        <is>
          <t>2017-08-14</t>
        </is>
      </c>
      <c r="C1037" t="inlineStr">
        <is>
          <t>2017-08</t>
        </is>
      </c>
      <c r="D1037" t="inlineStr">
        <is>
          <t>SP</t>
        </is>
      </c>
      <c r="E1037" t="inlineStr">
        <is>
          <t>furniture_decor</t>
        </is>
      </c>
      <c r="F1037" t="n">
        <v>2</v>
      </c>
      <c r="G1037" t="n">
        <v>118</v>
      </c>
      <c r="H1037" t="n">
        <v>25.5</v>
      </c>
      <c r="I1037" t="inlineStr">
        <is>
          <t>credit_card</t>
        </is>
      </c>
      <c r="J1037" t="n">
        <v>8</v>
      </c>
      <c r="K1037" t="inlineStr">
        <is>
          <t>On Time</t>
        </is>
      </c>
      <c r="L1037" t="n">
        <v>4</v>
      </c>
      <c r="M1037">
        <f>VLOOKUP(D1037,State_Lookup!$A$2:$B$28,2,FALSE)</f>
        <v/>
      </c>
    </row>
    <row r="1038">
      <c r="A1038" t="inlineStr">
        <is>
          <t>806d3b5f15557ad3d5288d340271151f</t>
        </is>
      </c>
      <c r="B1038" t="inlineStr">
        <is>
          <t>2017-08-14</t>
        </is>
      </c>
      <c r="C1038" t="inlineStr">
        <is>
          <t>2017-08</t>
        </is>
      </c>
      <c r="D1038" t="inlineStr">
        <is>
          <t>DF</t>
        </is>
      </c>
      <c r="E1038" t="inlineStr">
        <is>
          <t>food_drink</t>
        </is>
      </c>
      <c r="F1038" t="n">
        <v>1</v>
      </c>
      <c r="G1038" t="n">
        <v>38.99</v>
      </c>
      <c r="H1038" t="n">
        <v>15.11</v>
      </c>
      <c r="I1038" t="inlineStr">
        <is>
          <t>credit_card</t>
        </is>
      </c>
      <c r="J1038" t="n">
        <v>9</v>
      </c>
      <c r="K1038" t="inlineStr">
        <is>
          <t>On Time</t>
        </is>
      </c>
      <c r="L1038" t="n">
        <v>3</v>
      </c>
      <c r="M1038">
        <f>VLOOKUP(D1038,State_Lookup!$A$2:$B$28,2,FALSE)</f>
        <v/>
      </c>
    </row>
    <row r="1039">
      <c r="A1039" t="inlineStr">
        <is>
          <t>85abf987df0b38005eb6c91fb55374c9</t>
        </is>
      </c>
      <c r="B1039" t="inlineStr">
        <is>
          <t>2017-08-14</t>
        </is>
      </c>
      <c r="C1039" t="inlineStr">
        <is>
          <t>2017-08</t>
        </is>
      </c>
      <c r="D1039" t="inlineStr">
        <is>
          <t>SP</t>
        </is>
      </c>
      <c r="E1039" t="inlineStr">
        <is>
          <t>furniture_decor</t>
        </is>
      </c>
      <c r="F1039" t="n">
        <v>1</v>
      </c>
      <c r="G1039" t="n">
        <v>36.9</v>
      </c>
      <c r="H1039" t="n">
        <v>8.720000000000001</v>
      </c>
      <c r="I1039" t="inlineStr">
        <is>
          <t>credit_card</t>
        </is>
      </c>
      <c r="J1039" t="n">
        <v>4</v>
      </c>
      <c r="K1039" t="inlineStr">
        <is>
          <t>On Time</t>
        </is>
      </c>
      <c r="L1039" t="n">
        <v>5</v>
      </c>
      <c r="M1039">
        <f>VLOOKUP(D1039,State_Lookup!$A$2:$B$28,2,FALSE)</f>
        <v/>
      </c>
    </row>
    <row r="1040">
      <c r="A1040" t="inlineStr">
        <is>
          <t>dee33d9b548acb609e8b6eb6f540f4b3</t>
        </is>
      </c>
      <c r="B1040" t="inlineStr">
        <is>
          <t>2017-08-14</t>
        </is>
      </c>
      <c r="C1040" t="inlineStr">
        <is>
          <t>2017-08</t>
        </is>
      </c>
      <c r="D1040" t="inlineStr">
        <is>
          <t>RJ</t>
        </is>
      </c>
      <c r="E1040" t="inlineStr">
        <is>
          <t>electronics</t>
        </is>
      </c>
      <c r="F1040" t="n">
        <v>1</v>
      </c>
      <c r="G1040" t="n">
        <v>18</v>
      </c>
      <c r="H1040" t="n">
        <v>14.1</v>
      </c>
      <c r="I1040" t="inlineStr">
        <is>
          <t>credit_card</t>
        </is>
      </c>
      <c r="J1040" t="n">
        <v>11</v>
      </c>
      <c r="K1040" t="inlineStr">
        <is>
          <t>On Time</t>
        </is>
      </c>
      <c r="L1040" t="n">
        <v>5</v>
      </c>
      <c r="M1040">
        <f>VLOOKUP(D1040,State_Lookup!$A$2:$B$28,2,FALSE)</f>
        <v/>
      </c>
    </row>
    <row r="1041">
      <c r="A1041" t="inlineStr">
        <is>
          <t>95efc26128229ac33bfc67d4fce8fa28</t>
        </is>
      </c>
      <c r="B1041" t="inlineStr">
        <is>
          <t>2017-08-14</t>
        </is>
      </c>
      <c r="C1041" t="inlineStr">
        <is>
          <t>2017-08</t>
        </is>
      </c>
      <c r="D1041" t="inlineStr">
        <is>
          <t>PE</t>
        </is>
      </c>
      <c r="E1041" t="inlineStr">
        <is>
          <t>fashion_bags_accessories</t>
        </is>
      </c>
      <c r="F1041" t="n">
        <v>1</v>
      </c>
      <c r="G1041" t="n">
        <v>49.9</v>
      </c>
      <c r="H1041" t="n">
        <v>17.63</v>
      </c>
      <c r="I1041" t="inlineStr">
        <is>
          <t>credit_card</t>
        </is>
      </c>
      <c r="J1041" t="n">
        <v>14</v>
      </c>
      <c r="K1041" t="inlineStr">
        <is>
          <t>On Time</t>
        </is>
      </c>
      <c r="L1041" t="n">
        <v>5</v>
      </c>
      <c r="M1041">
        <f>VLOOKUP(D1041,State_Lookup!$A$2:$B$28,2,FALSE)</f>
        <v/>
      </c>
    </row>
    <row r="1042">
      <c r="A1042" t="inlineStr">
        <is>
          <t>5ea01f5660c8d089b604b2d1ddaab334</t>
        </is>
      </c>
      <c r="B1042" t="inlineStr">
        <is>
          <t>2017-08-14</t>
        </is>
      </c>
      <c r="C1042" t="inlineStr">
        <is>
          <t>2017-08</t>
        </is>
      </c>
      <c r="D1042" t="inlineStr">
        <is>
          <t>SP</t>
        </is>
      </c>
      <c r="E1042" t="inlineStr">
        <is>
          <t>fashion_bags_accessories</t>
        </is>
      </c>
      <c r="F1042" t="n">
        <v>1</v>
      </c>
      <c r="G1042" t="n">
        <v>49</v>
      </c>
      <c r="H1042" t="n">
        <v>7.78</v>
      </c>
      <c r="I1042" t="inlineStr">
        <is>
          <t>boleto</t>
        </is>
      </c>
      <c r="J1042" t="n">
        <v>1</v>
      </c>
      <c r="K1042" t="inlineStr">
        <is>
          <t>On Time</t>
        </is>
      </c>
      <c r="L1042" t="n">
        <v>2</v>
      </c>
      <c r="M1042">
        <f>VLOOKUP(D1042,State_Lookup!$A$2:$B$28,2,FALSE)</f>
        <v/>
      </c>
    </row>
    <row r="1043">
      <c r="A1043" t="inlineStr">
        <is>
          <t>2c8166a4f7d0752f25e70f45565db8b9</t>
        </is>
      </c>
      <c r="B1043" t="inlineStr">
        <is>
          <t>2017-08-14</t>
        </is>
      </c>
      <c r="C1043" t="inlineStr">
        <is>
          <t>2017-08</t>
        </is>
      </c>
      <c r="D1043" t="inlineStr">
        <is>
          <t>BA</t>
        </is>
      </c>
      <c r="E1043" t="inlineStr">
        <is>
          <t>fashion_bags_accessories</t>
        </is>
      </c>
      <c r="F1043" t="n">
        <v>1</v>
      </c>
      <c r="G1043" t="n">
        <v>39.99</v>
      </c>
      <c r="H1043" t="n">
        <v>16.79</v>
      </c>
      <c r="I1043" t="inlineStr">
        <is>
          <t>credit_card</t>
        </is>
      </c>
      <c r="J1043" t="n">
        <v>6</v>
      </c>
      <c r="K1043" t="inlineStr">
        <is>
          <t>On Time</t>
        </is>
      </c>
      <c r="L1043" t="n">
        <v>5</v>
      </c>
      <c r="M1043">
        <f>VLOOKUP(D1043,State_Lookup!$A$2:$B$28,2,FALSE)</f>
        <v/>
      </c>
    </row>
    <row r="1044">
      <c r="A1044" t="inlineStr">
        <is>
          <t>1aeb6136411ab7da012863ac27055dcf</t>
        </is>
      </c>
      <c r="B1044" t="inlineStr">
        <is>
          <t>2017-08-15</t>
        </is>
      </c>
      <c r="C1044" t="inlineStr">
        <is>
          <t>2017-08</t>
        </is>
      </c>
      <c r="D1044" t="inlineStr">
        <is>
          <t>SP</t>
        </is>
      </c>
      <c r="E1044" t="inlineStr">
        <is>
          <t>telephony</t>
        </is>
      </c>
      <c r="F1044" t="n">
        <v>1</v>
      </c>
      <c r="G1044" t="n">
        <v>14.99</v>
      </c>
      <c r="H1044" t="n">
        <v>11.85</v>
      </c>
      <c r="I1044" t="inlineStr">
        <is>
          <t>credit_card</t>
        </is>
      </c>
      <c r="J1044" t="n">
        <v>10</v>
      </c>
      <c r="K1044" t="inlineStr">
        <is>
          <t>On Time</t>
        </is>
      </c>
      <c r="L1044" t="n">
        <v>4</v>
      </c>
      <c r="M1044">
        <f>VLOOKUP(D1044,State_Lookup!$A$2:$B$28,2,FALSE)</f>
        <v/>
      </c>
    </row>
    <row r="1045">
      <c r="A1045" t="inlineStr">
        <is>
          <t>9b228d02d9abe567855fe2f934772858</t>
        </is>
      </c>
      <c r="B1045" t="inlineStr">
        <is>
          <t>2017-08-15</t>
        </is>
      </c>
      <c r="C1045" t="inlineStr">
        <is>
          <t>2017-08</t>
        </is>
      </c>
      <c r="D1045" t="inlineStr">
        <is>
          <t>SC</t>
        </is>
      </c>
      <c r="E1045" t="inlineStr">
        <is>
          <t>baby</t>
        </is>
      </c>
      <c r="F1045" t="n">
        <v>1</v>
      </c>
      <c r="G1045" t="n">
        <v>263.99</v>
      </c>
      <c r="H1045" t="n">
        <v>87.01000000000001</v>
      </c>
      <c r="I1045" t="inlineStr">
        <is>
          <t>boleto</t>
        </is>
      </c>
      <c r="J1045" t="n">
        <v>17</v>
      </c>
      <c r="K1045" t="inlineStr">
        <is>
          <t>On Time</t>
        </is>
      </c>
      <c r="L1045" t="n">
        <v>4</v>
      </c>
      <c r="M1045">
        <f>VLOOKUP(D1045,State_Lookup!$A$2:$B$28,2,FALSE)</f>
        <v/>
      </c>
    </row>
    <row r="1046">
      <c r="A1046" t="inlineStr">
        <is>
          <t>fd85717bc49c767347b7b46317392d7d</t>
        </is>
      </c>
      <c r="B1046" t="inlineStr">
        <is>
          <t>2017-08-15</t>
        </is>
      </c>
      <c r="C1046" t="inlineStr">
        <is>
          <t>2017-08</t>
        </is>
      </c>
      <c r="D1046" t="inlineStr">
        <is>
          <t>SP</t>
        </is>
      </c>
      <c r="E1046" t="inlineStr">
        <is>
          <t>perfumery</t>
        </is>
      </c>
      <c r="F1046" t="n">
        <v>1</v>
      </c>
      <c r="G1046" t="n">
        <v>56.99</v>
      </c>
      <c r="H1046" t="n">
        <v>8.720000000000001</v>
      </c>
      <c r="I1046" t="inlineStr">
        <is>
          <t>credit_card</t>
        </is>
      </c>
      <c r="J1046" t="n">
        <v>14</v>
      </c>
      <c r="K1046" t="inlineStr">
        <is>
          <t>On Time</t>
        </is>
      </c>
      <c r="L1046" t="n">
        <v>5</v>
      </c>
      <c r="M1046">
        <f>VLOOKUP(D1046,State_Lookup!$A$2:$B$28,2,FALSE)</f>
        <v/>
      </c>
    </row>
    <row r="1047">
      <c r="A1047" t="inlineStr">
        <is>
          <t>461b40d4fc35428f6d7f4df87ae2b5b5</t>
        </is>
      </c>
      <c r="B1047" t="inlineStr">
        <is>
          <t>2017-08-15</t>
        </is>
      </c>
      <c r="C1047" t="inlineStr">
        <is>
          <t>2017-08</t>
        </is>
      </c>
      <c r="D1047" t="inlineStr">
        <is>
          <t>SP</t>
        </is>
      </c>
      <c r="E1047" t="inlineStr">
        <is>
          <t>housewares</t>
        </is>
      </c>
      <c r="F1047" t="n">
        <v>1</v>
      </c>
      <c r="G1047" t="n">
        <v>99.98999999999999</v>
      </c>
      <c r="H1047" t="n">
        <v>89.93000000000001</v>
      </c>
      <c r="I1047" t="inlineStr">
        <is>
          <t>credit_card</t>
        </is>
      </c>
      <c r="J1047" t="n">
        <v>34</v>
      </c>
      <c r="K1047" t="inlineStr">
        <is>
          <t>Late</t>
        </is>
      </c>
      <c r="L1047" t="n">
        <v>4</v>
      </c>
      <c r="M1047">
        <f>VLOOKUP(D1047,State_Lookup!$A$2:$B$28,2,FALSE)</f>
        <v/>
      </c>
    </row>
    <row r="1048">
      <c r="A1048" t="inlineStr">
        <is>
          <t>25857521bead5be64bf8305c71db1fa2</t>
        </is>
      </c>
      <c r="B1048" t="inlineStr">
        <is>
          <t>2017-08-15</t>
        </is>
      </c>
      <c r="C1048" t="inlineStr">
        <is>
          <t>2017-08</t>
        </is>
      </c>
      <c r="D1048" t="inlineStr">
        <is>
          <t>PB</t>
        </is>
      </c>
      <c r="E1048" t="inlineStr">
        <is>
          <t>health_beauty</t>
        </is>
      </c>
      <c r="F1048" t="n">
        <v>1</v>
      </c>
      <c r="G1048" t="n">
        <v>24.9</v>
      </c>
      <c r="H1048" t="n">
        <v>42.38</v>
      </c>
      <c r="I1048" t="inlineStr">
        <is>
          <t>credit_card</t>
        </is>
      </c>
      <c r="J1048" t="n">
        <v>34</v>
      </c>
      <c r="K1048" t="inlineStr">
        <is>
          <t>On Time</t>
        </is>
      </c>
      <c r="L1048" t="n">
        <v>5</v>
      </c>
      <c r="M1048">
        <f>VLOOKUP(D1048,State_Lookup!$A$2:$B$28,2,FALSE)</f>
        <v/>
      </c>
    </row>
    <row r="1049">
      <c r="A1049" t="inlineStr">
        <is>
          <t>f0a35c83ab3251347b674f0f3e0d01f1</t>
        </is>
      </c>
      <c r="B1049" t="inlineStr">
        <is>
          <t>2017-08-15</t>
        </is>
      </c>
      <c r="C1049" t="inlineStr">
        <is>
          <t>2017-08</t>
        </is>
      </c>
      <c r="D1049" t="inlineStr">
        <is>
          <t>SC</t>
        </is>
      </c>
      <c r="E1049" t="inlineStr">
        <is>
          <t>stationery</t>
        </is>
      </c>
      <c r="F1049" t="n">
        <v>1</v>
      </c>
      <c r="G1049" t="n">
        <v>89</v>
      </c>
      <c r="H1049" t="n">
        <v>17.84</v>
      </c>
      <c r="I1049" t="inlineStr">
        <is>
          <t>credit_card</t>
        </is>
      </c>
      <c r="J1049" t="n">
        <v>13</v>
      </c>
      <c r="K1049" t="inlineStr">
        <is>
          <t>On Time</t>
        </is>
      </c>
      <c r="L1049" t="n">
        <v>5</v>
      </c>
      <c r="M1049">
        <f>VLOOKUP(D1049,State_Lookup!$A$2:$B$28,2,FALSE)</f>
        <v/>
      </c>
    </row>
    <row r="1050">
      <c r="A1050" t="inlineStr">
        <is>
          <t>e5cba854ed90614d4334d4c5fa4fcbcf</t>
        </is>
      </c>
      <c r="B1050" t="inlineStr">
        <is>
          <t>2017-08-16</t>
        </is>
      </c>
      <c r="C1050" t="inlineStr">
        <is>
          <t>2017-08</t>
        </is>
      </c>
      <c r="D1050" t="inlineStr">
        <is>
          <t>SP</t>
        </is>
      </c>
      <c r="E1050" t="inlineStr">
        <is>
          <t>sports_leisure</t>
        </is>
      </c>
      <c r="F1050" t="n">
        <v>1</v>
      </c>
      <c r="G1050" t="n">
        <v>29.9</v>
      </c>
      <c r="H1050" t="n">
        <v>11.85</v>
      </c>
      <c r="I1050" t="inlineStr">
        <is>
          <t>credit_card</t>
        </is>
      </c>
      <c r="J1050" t="n">
        <v>7</v>
      </c>
      <c r="K1050" t="inlineStr">
        <is>
          <t>On Time</t>
        </is>
      </c>
      <c r="L1050" t="n">
        <v>5</v>
      </c>
      <c r="M1050">
        <f>VLOOKUP(D1050,State_Lookup!$A$2:$B$28,2,FALSE)</f>
        <v/>
      </c>
    </row>
    <row r="1051">
      <c r="A1051" t="inlineStr">
        <is>
          <t>b1cd8dc65cf496b0742bc29954dd322d</t>
        </is>
      </c>
      <c r="B1051" t="inlineStr">
        <is>
          <t>2017-08-16</t>
        </is>
      </c>
      <c r="C1051" t="inlineStr">
        <is>
          <t>2017-08</t>
        </is>
      </c>
      <c r="D1051" t="inlineStr">
        <is>
          <t>SP</t>
        </is>
      </c>
      <c r="E1051" t="inlineStr">
        <is>
          <t>bed_bath_table</t>
        </is>
      </c>
      <c r="F1051" t="n">
        <v>1</v>
      </c>
      <c r="G1051" t="n">
        <v>27.9</v>
      </c>
      <c r="H1051" t="n">
        <v>11.85</v>
      </c>
      <c r="I1051" t="inlineStr">
        <is>
          <t>credit_card</t>
        </is>
      </c>
      <c r="J1051" t="n">
        <v>8</v>
      </c>
      <c r="K1051" t="inlineStr">
        <is>
          <t>On Time</t>
        </is>
      </c>
      <c r="L1051" t="n">
        <v>5</v>
      </c>
      <c r="M1051">
        <f>VLOOKUP(D1051,State_Lookup!$A$2:$B$28,2,FALSE)</f>
        <v/>
      </c>
    </row>
    <row r="1052">
      <c r="A1052" t="inlineStr">
        <is>
          <t>1836232055a6243d56ca67b74cb77aea</t>
        </is>
      </c>
      <c r="B1052" t="inlineStr">
        <is>
          <t>2017-08-16</t>
        </is>
      </c>
      <c r="C1052" t="inlineStr">
        <is>
          <t>2017-08</t>
        </is>
      </c>
      <c r="D1052" t="inlineStr">
        <is>
          <t>RJ</t>
        </is>
      </c>
      <c r="E1052" t="inlineStr">
        <is>
          <t>garden_tools</t>
        </is>
      </c>
      <c r="F1052" t="n">
        <v>1</v>
      </c>
      <c r="G1052" t="n">
        <v>59.9</v>
      </c>
      <c r="H1052" t="n">
        <v>17.67</v>
      </c>
      <c r="I1052" t="inlineStr">
        <is>
          <t>credit_card</t>
        </is>
      </c>
      <c r="J1052" t="n">
        <v>12</v>
      </c>
      <c r="K1052" t="inlineStr">
        <is>
          <t>On Time</t>
        </is>
      </c>
      <c r="L1052" t="n">
        <v>5</v>
      </c>
      <c r="M1052">
        <f>VLOOKUP(D1052,State_Lookup!$A$2:$B$28,2,FALSE)</f>
        <v/>
      </c>
    </row>
    <row r="1053">
      <c r="A1053" t="inlineStr">
        <is>
          <t>a2703dddc710908105939e9272116d13</t>
        </is>
      </c>
      <c r="B1053" t="inlineStr">
        <is>
          <t>2017-08-16</t>
        </is>
      </c>
      <c r="C1053" t="inlineStr">
        <is>
          <t>2017-08</t>
        </is>
      </c>
      <c r="D1053" t="inlineStr">
        <is>
          <t>SP</t>
        </is>
      </c>
      <c r="E1053" t="inlineStr">
        <is>
          <t>home_appliances</t>
        </is>
      </c>
      <c r="F1053" t="n">
        <v>1</v>
      </c>
      <c r="G1053" t="n">
        <v>152.25</v>
      </c>
      <c r="H1053" t="n">
        <v>8.81</v>
      </c>
      <c r="I1053" t="inlineStr">
        <is>
          <t>credit_card</t>
        </is>
      </c>
      <c r="J1053" t="n">
        <v>5</v>
      </c>
      <c r="K1053" t="inlineStr">
        <is>
          <t>On Time</t>
        </is>
      </c>
      <c r="L1053" t="n">
        <v>5</v>
      </c>
      <c r="M1053">
        <f>VLOOKUP(D1053,State_Lookup!$A$2:$B$28,2,FALSE)</f>
        <v/>
      </c>
    </row>
    <row r="1054">
      <c r="A1054" t="inlineStr">
        <is>
          <t>5e292fb98b7d86213aea4a9bd5681a42</t>
        </is>
      </c>
      <c r="B1054" t="inlineStr">
        <is>
          <t>2017-08-16</t>
        </is>
      </c>
      <c r="C1054" t="inlineStr">
        <is>
          <t>2017-08</t>
        </is>
      </c>
      <c r="D1054" t="inlineStr">
        <is>
          <t>RS</t>
        </is>
      </c>
      <c r="E1054" t="inlineStr">
        <is>
          <t>small_appliances</t>
        </is>
      </c>
      <c r="F1054" t="n">
        <v>1</v>
      </c>
      <c r="G1054" t="n">
        <v>18.9</v>
      </c>
      <c r="H1054" t="n">
        <v>16.11</v>
      </c>
      <c r="I1054" t="inlineStr">
        <is>
          <t>boleto</t>
        </is>
      </c>
      <c r="J1054" t="n">
        <v>9</v>
      </c>
      <c r="K1054" t="inlineStr">
        <is>
          <t>On Time</t>
        </is>
      </c>
      <c r="L1054" t="n">
        <v>1</v>
      </c>
      <c r="M1054">
        <f>VLOOKUP(D1054,State_Lookup!$A$2:$B$28,2,FALSE)</f>
        <v/>
      </c>
    </row>
    <row r="1055">
      <c r="A1055" t="inlineStr">
        <is>
          <t>07a97e5f41dfa29925b661eee8e73c26</t>
        </is>
      </c>
      <c r="B1055" t="inlineStr">
        <is>
          <t>2017-08-16</t>
        </is>
      </c>
      <c r="C1055" t="inlineStr">
        <is>
          <t>2017-08</t>
        </is>
      </c>
      <c r="D1055" t="inlineStr">
        <is>
          <t>TO</t>
        </is>
      </c>
      <c r="E1055" t="inlineStr">
        <is>
          <t>computers_accessories</t>
        </is>
      </c>
      <c r="F1055" t="n">
        <v>1</v>
      </c>
      <c r="G1055" t="n">
        <v>59</v>
      </c>
      <c r="H1055" t="n">
        <v>25.69</v>
      </c>
      <c r="I1055" t="inlineStr">
        <is>
          <t>credit_card</t>
        </is>
      </c>
      <c r="J1055" t="n">
        <v>13</v>
      </c>
      <c r="K1055" t="inlineStr">
        <is>
          <t>On Time</t>
        </is>
      </c>
      <c r="L1055" t="n">
        <v>5</v>
      </c>
      <c r="M1055">
        <f>VLOOKUP(D1055,State_Lookup!$A$2:$B$28,2,FALSE)</f>
        <v/>
      </c>
    </row>
    <row r="1056">
      <c r="A1056" t="inlineStr">
        <is>
          <t>25005bc2e7ea41ec988bdd233a251703</t>
        </is>
      </c>
      <c r="B1056" t="inlineStr">
        <is>
          <t>2017-08-17</t>
        </is>
      </c>
      <c r="C1056" t="inlineStr">
        <is>
          <t>2017-08</t>
        </is>
      </c>
      <c r="D1056" t="inlineStr">
        <is>
          <t>SP</t>
        </is>
      </c>
      <c r="E1056" t="inlineStr">
        <is>
          <t>baby</t>
        </is>
      </c>
      <c r="F1056" t="n">
        <v>1</v>
      </c>
      <c r="G1056" t="n">
        <v>110</v>
      </c>
      <c r="H1056" t="n">
        <v>14.5</v>
      </c>
      <c r="I1056" t="inlineStr">
        <is>
          <t>boleto</t>
        </is>
      </c>
      <c r="J1056" t="n">
        <v>12</v>
      </c>
      <c r="K1056" t="inlineStr">
        <is>
          <t>On Time</t>
        </is>
      </c>
      <c r="L1056" t="n">
        <v>5</v>
      </c>
      <c r="M1056">
        <f>VLOOKUP(D1056,State_Lookup!$A$2:$B$28,2,FALSE)</f>
        <v/>
      </c>
    </row>
    <row r="1057">
      <c r="A1057" t="inlineStr">
        <is>
          <t>adc9f082768884dcb46b8b3d26851ca0</t>
        </is>
      </c>
      <c r="B1057" t="inlineStr">
        <is>
          <t>2017-08-17</t>
        </is>
      </c>
      <c r="C1057" t="inlineStr">
        <is>
          <t>2017-08</t>
        </is>
      </c>
      <c r="D1057" t="inlineStr">
        <is>
          <t>SP</t>
        </is>
      </c>
      <c r="E1057" t="inlineStr">
        <is>
          <t>bed_bath_table</t>
        </is>
      </c>
      <c r="F1057" t="n">
        <v>1</v>
      </c>
      <c r="G1057" t="n">
        <v>200</v>
      </c>
      <c r="H1057" t="n">
        <v>15.01</v>
      </c>
      <c r="I1057" t="inlineStr">
        <is>
          <t>boleto</t>
        </is>
      </c>
      <c r="J1057" t="n">
        <v>5</v>
      </c>
      <c r="K1057" t="inlineStr">
        <is>
          <t>On Time</t>
        </is>
      </c>
      <c r="L1057" t="n">
        <v>5</v>
      </c>
      <c r="M1057">
        <f>VLOOKUP(D1057,State_Lookup!$A$2:$B$28,2,FALSE)</f>
        <v/>
      </c>
    </row>
    <row r="1058">
      <c r="A1058" t="inlineStr">
        <is>
          <t>e95356181d857128f9a0eb779ad36381</t>
        </is>
      </c>
      <c r="B1058" t="inlineStr">
        <is>
          <t>2017-08-17</t>
        </is>
      </c>
      <c r="C1058" t="inlineStr">
        <is>
          <t>2017-08</t>
        </is>
      </c>
      <c r="D1058" t="inlineStr">
        <is>
          <t>SP</t>
        </is>
      </c>
      <c r="E1058" t="inlineStr">
        <is>
          <t>consoles_games</t>
        </is>
      </c>
      <c r="F1058" t="n">
        <v>1</v>
      </c>
      <c r="G1058" t="n">
        <v>19.9</v>
      </c>
      <c r="H1058" t="n">
        <v>11.85</v>
      </c>
      <c r="I1058" t="inlineStr">
        <is>
          <t>boleto</t>
        </is>
      </c>
      <c r="J1058" t="n">
        <v>7</v>
      </c>
      <c r="K1058" t="inlineStr">
        <is>
          <t>On Time</t>
        </is>
      </c>
      <c r="L1058" t="n">
        <v>5</v>
      </c>
      <c r="M1058">
        <f>VLOOKUP(D1058,State_Lookup!$A$2:$B$28,2,FALSE)</f>
        <v/>
      </c>
    </row>
    <row r="1059">
      <c r="A1059" t="inlineStr">
        <is>
          <t>846d9f177cd197194d2933fdf0dcc68b</t>
        </is>
      </c>
      <c r="B1059" t="inlineStr">
        <is>
          <t>2017-08-17</t>
        </is>
      </c>
      <c r="C1059" t="inlineStr">
        <is>
          <t>2017-08</t>
        </is>
      </c>
      <c r="D1059" t="inlineStr">
        <is>
          <t>BA</t>
        </is>
      </c>
      <c r="E1059" t="inlineStr">
        <is>
          <t>home_appliances</t>
        </is>
      </c>
      <c r="F1059" t="n">
        <v>1</v>
      </c>
      <c r="G1059" t="n">
        <v>69.90000000000001</v>
      </c>
      <c r="H1059" t="n">
        <v>19.73</v>
      </c>
      <c r="I1059" t="inlineStr">
        <is>
          <t>credit_card</t>
        </is>
      </c>
      <c r="J1059" t="n">
        <v>12</v>
      </c>
      <c r="K1059" t="inlineStr">
        <is>
          <t>On Time</t>
        </is>
      </c>
      <c r="L1059" t="n">
        <v>4</v>
      </c>
      <c r="M1059">
        <f>VLOOKUP(D1059,State_Lookup!$A$2:$B$28,2,FALSE)</f>
        <v/>
      </c>
    </row>
    <row r="1060">
      <c r="A1060" t="inlineStr">
        <is>
          <t>5727f102c85ddd314cc3158d4e044e94</t>
        </is>
      </c>
      <c r="B1060" t="inlineStr">
        <is>
          <t>2017-08-17</t>
        </is>
      </c>
      <c r="C1060" t="inlineStr">
        <is>
          <t>2017-08</t>
        </is>
      </c>
      <c r="D1060" t="inlineStr">
        <is>
          <t>SP</t>
        </is>
      </c>
      <c r="E1060" t="inlineStr">
        <is>
          <t>garden_tools</t>
        </is>
      </c>
      <c r="F1060" t="n">
        <v>1</v>
      </c>
      <c r="G1060" t="n">
        <v>59.9</v>
      </c>
      <c r="H1060" t="n">
        <v>13.44</v>
      </c>
      <c r="I1060" t="inlineStr">
        <is>
          <t>credit_card</t>
        </is>
      </c>
      <c r="J1060" t="n">
        <v>11</v>
      </c>
      <c r="K1060" t="inlineStr">
        <is>
          <t>On Time</t>
        </is>
      </c>
      <c r="L1060" t="n">
        <v>5</v>
      </c>
      <c r="M1060">
        <f>VLOOKUP(D1060,State_Lookup!$A$2:$B$28,2,FALSE)</f>
        <v/>
      </c>
    </row>
    <row r="1061">
      <c r="A1061" t="inlineStr">
        <is>
          <t>d43f8d7052d9022a8fe3a804942298ce</t>
        </is>
      </c>
      <c r="B1061" t="inlineStr">
        <is>
          <t>2017-08-17</t>
        </is>
      </c>
      <c r="C1061" t="inlineStr">
        <is>
          <t>2017-08</t>
        </is>
      </c>
      <c r="D1061" t="inlineStr">
        <is>
          <t>MG</t>
        </is>
      </c>
      <c r="E1061" t="inlineStr">
        <is>
          <t>fashion_male_clothing</t>
        </is>
      </c>
      <c r="F1061" t="n">
        <v>2</v>
      </c>
      <c r="G1061" t="n">
        <v>119.8</v>
      </c>
      <c r="H1061" t="n">
        <v>32.36</v>
      </c>
      <c r="I1061" t="inlineStr">
        <is>
          <t>credit_card</t>
        </is>
      </c>
      <c r="J1061" t="n">
        <v>18</v>
      </c>
      <c r="K1061" t="inlineStr">
        <is>
          <t>On Time</t>
        </is>
      </c>
      <c r="L1061" t="n">
        <v>5</v>
      </c>
      <c r="M1061">
        <f>VLOOKUP(D1061,State_Lookup!$A$2:$B$28,2,FALSE)</f>
        <v/>
      </c>
    </row>
    <row r="1062">
      <c r="A1062" t="inlineStr">
        <is>
          <t>51031dc347b31f2f5d84655a08e10e9e</t>
        </is>
      </c>
      <c r="B1062" t="inlineStr">
        <is>
          <t>2017-08-17</t>
        </is>
      </c>
      <c r="C1062" t="inlineStr">
        <is>
          <t>2017-08</t>
        </is>
      </c>
      <c r="D1062" t="inlineStr">
        <is>
          <t>MS</t>
        </is>
      </c>
      <c r="E1062" t="inlineStr">
        <is>
          <t>health_beauty</t>
        </is>
      </c>
      <c r="F1062" t="n">
        <v>1</v>
      </c>
      <c r="G1062" t="n">
        <v>119.9</v>
      </c>
      <c r="H1062" t="n">
        <v>18.09</v>
      </c>
      <c r="I1062" t="inlineStr">
        <is>
          <t>credit_card</t>
        </is>
      </c>
      <c r="J1062" t="n">
        <v>14</v>
      </c>
      <c r="K1062" t="inlineStr">
        <is>
          <t>On Time</t>
        </is>
      </c>
      <c r="L1062" t="n">
        <v>4</v>
      </c>
      <c r="M1062">
        <f>VLOOKUP(D1062,State_Lookup!$A$2:$B$28,2,FALSE)</f>
        <v/>
      </c>
    </row>
    <row r="1063">
      <c r="A1063" t="inlineStr">
        <is>
          <t>ecd6c4b673e81e3ba899f65b2135ce70</t>
        </is>
      </c>
      <c r="B1063" t="inlineStr">
        <is>
          <t>2017-08-17</t>
        </is>
      </c>
      <c r="C1063" t="inlineStr">
        <is>
          <t>2017-08</t>
        </is>
      </c>
      <c r="D1063" t="inlineStr">
        <is>
          <t>SP</t>
        </is>
      </c>
      <c r="E1063" t="inlineStr">
        <is>
          <t>sports_leisure</t>
        </is>
      </c>
      <c r="F1063" t="n">
        <v>1</v>
      </c>
      <c r="G1063" t="n">
        <v>39.9</v>
      </c>
      <c r="H1063" t="n">
        <v>8.720000000000001</v>
      </c>
      <c r="I1063" t="inlineStr">
        <is>
          <t>credit_card</t>
        </is>
      </c>
      <c r="J1063" t="n">
        <v>7</v>
      </c>
      <c r="K1063" t="inlineStr">
        <is>
          <t>On Time</t>
        </is>
      </c>
      <c r="L1063" t="n">
        <v>5</v>
      </c>
      <c r="M1063">
        <f>VLOOKUP(D1063,State_Lookup!$A$2:$B$28,2,FALSE)</f>
        <v/>
      </c>
    </row>
    <row r="1064">
      <c r="A1064" t="inlineStr">
        <is>
          <t>ec9e227f8a374794d57840d65e9a8ace</t>
        </is>
      </c>
      <c r="B1064" t="inlineStr">
        <is>
          <t>2017-08-17</t>
        </is>
      </c>
      <c r="C1064" t="inlineStr">
        <is>
          <t>2017-08</t>
        </is>
      </c>
      <c r="D1064" t="inlineStr">
        <is>
          <t>SP</t>
        </is>
      </c>
      <c r="E1064" t="inlineStr">
        <is>
          <t>computers_accessories</t>
        </is>
      </c>
      <c r="F1064" t="n">
        <v>1</v>
      </c>
      <c r="G1064" t="n">
        <v>48</v>
      </c>
      <c r="H1064" t="n">
        <v>9.94</v>
      </c>
      <c r="I1064" t="inlineStr">
        <is>
          <t>credit_card</t>
        </is>
      </c>
      <c r="J1064" t="n">
        <v>1</v>
      </c>
      <c r="K1064" t="inlineStr">
        <is>
          <t>On Time</t>
        </is>
      </c>
      <c r="L1064" t="n">
        <v>5</v>
      </c>
      <c r="M1064">
        <f>VLOOKUP(D1064,State_Lookup!$A$2:$B$28,2,FALSE)</f>
        <v/>
      </c>
    </row>
    <row r="1065">
      <c r="A1065" t="inlineStr">
        <is>
          <t>5d9d34ab320a65d476024f1146155415</t>
        </is>
      </c>
      <c r="B1065" t="inlineStr">
        <is>
          <t>2017-08-17</t>
        </is>
      </c>
      <c r="C1065" t="inlineStr">
        <is>
          <t>2017-08</t>
        </is>
      </c>
      <c r="D1065" t="inlineStr">
        <is>
          <t>MG</t>
        </is>
      </c>
      <c r="E1065" t="inlineStr">
        <is>
          <t>baby</t>
        </is>
      </c>
      <c r="F1065" t="n">
        <v>1</v>
      </c>
      <c r="G1065" t="n">
        <v>829</v>
      </c>
      <c r="H1065" t="n">
        <v>18.82</v>
      </c>
      <c r="I1065" t="inlineStr">
        <is>
          <t>credit_card</t>
        </is>
      </c>
      <c r="J1065" t="n">
        <v>13</v>
      </c>
      <c r="K1065" t="inlineStr">
        <is>
          <t>On Time</t>
        </is>
      </c>
      <c r="L1065" t="n">
        <v>1</v>
      </c>
      <c r="M1065">
        <f>VLOOKUP(D1065,State_Lookup!$A$2:$B$28,2,FALSE)</f>
        <v/>
      </c>
    </row>
    <row r="1066">
      <c r="A1066" t="inlineStr">
        <is>
          <t>e4b96fef250adf4067371705b2289e3c</t>
        </is>
      </c>
      <c r="B1066" t="inlineStr">
        <is>
          <t>2017-08-17</t>
        </is>
      </c>
      <c r="C1066" t="inlineStr">
        <is>
          <t>2017-08</t>
        </is>
      </c>
      <c r="D1066" t="inlineStr">
        <is>
          <t>PR</t>
        </is>
      </c>
      <c r="E1066" t="inlineStr">
        <is>
          <t>watches_gifts</t>
        </is>
      </c>
      <c r="F1066" t="n">
        <v>2</v>
      </c>
      <c r="G1066" t="n">
        <v>59.98</v>
      </c>
      <c r="H1066" t="n">
        <v>32.22</v>
      </c>
      <c r="I1066" t="inlineStr">
        <is>
          <t>boleto</t>
        </is>
      </c>
      <c r="J1066" t="n">
        <v>5</v>
      </c>
      <c r="K1066" t="inlineStr">
        <is>
          <t>On Time</t>
        </is>
      </c>
      <c r="L1066" t="n">
        <v>3</v>
      </c>
      <c r="M1066">
        <f>VLOOKUP(D1066,State_Lookup!$A$2:$B$28,2,FALSE)</f>
        <v/>
      </c>
    </row>
    <row r="1067">
      <c r="A1067" t="inlineStr">
        <is>
          <t>817e8b5495d2b31da82dfe5a89aacdba</t>
        </is>
      </c>
      <c r="B1067" t="inlineStr">
        <is>
          <t>2017-08-17</t>
        </is>
      </c>
      <c r="C1067" t="inlineStr">
        <is>
          <t>2017-08</t>
        </is>
      </c>
      <c r="D1067" t="inlineStr">
        <is>
          <t>RJ</t>
        </is>
      </c>
      <c r="E1067" t="inlineStr">
        <is>
          <t>audio</t>
        </is>
      </c>
      <c r="F1067" t="n">
        <v>1</v>
      </c>
      <c r="G1067" t="n">
        <v>264.9</v>
      </c>
      <c r="H1067" t="n">
        <v>16.6</v>
      </c>
      <c r="I1067" t="inlineStr">
        <is>
          <t>credit_card</t>
        </is>
      </c>
      <c r="J1067" t="n">
        <v>8</v>
      </c>
      <c r="K1067" t="inlineStr">
        <is>
          <t>On Time</t>
        </is>
      </c>
      <c r="L1067" t="n">
        <v>5</v>
      </c>
      <c r="M1067">
        <f>VLOOKUP(D1067,State_Lookup!$A$2:$B$28,2,FALSE)</f>
        <v/>
      </c>
    </row>
    <row r="1068">
      <c r="A1068" t="inlineStr">
        <is>
          <t>0b843f953899d9a1d084c1f5163027c0</t>
        </is>
      </c>
      <c r="B1068" t="inlineStr">
        <is>
          <t>2017-08-17</t>
        </is>
      </c>
      <c r="C1068" t="inlineStr">
        <is>
          <t>2017-08</t>
        </is>
      </c>
      <c r="D1068" t="inlineStr">
        <is>
          <t>RS</t>
        </is>
      </c>
      <c r="E1068" t="inlineStr">
        <is>
          <t>housewares</t>
        </is>
      </c>
      <c r="F1068" t="n">
        <v>1</v>
      </c>
      <c r="G1068" t="n">
        <v>82.5</v>
      </c>
      <c r="H1068" t="n">
        <v>39.57</v>
      </c>
      <c r="I1068" t="inlineStr">
        <is>
          <t>credit_card</t>
        </is>
      </c>
      <c r="J1068" t="n">
        <v>17</v>
      </c>
      <c r="K1068" t="inlineStr">
        <is>
          <t>On Time</t>
        </is>
      </c>
      <c r="L1068" t="n">
        <v>4</v>
      </c>
      <c r="M1068">
        <f>VLOOKUP(D1068,State_Lookup!$A$2:$B$28,2,FALSE)</f>
        <v/>
      </c>
    </row>
    <row r="1069">
      <c r="A1069" t="inlineStr">
        <is>
          <t>89d3b46e266c588a70dcac017b613004</t>
        </is>
      </c>
      <c r="B1069" t="inlineStr">
        <is>
          <t>2017-08-18</t>
        </is>
      </c>
      <c r="C1069" t="inlineStr">
        <is>
          <t>2017-08</t>
        </is>
      </c>
      <c r="D1069" t="inlineStr">
        <is>
          <t>SP</t>
        </is>
      </c>
      <c r="E1069" t="inlineStr">
        <is>
          <t>furniture_decor</t>
        </is>
      </c>
      <c r="F1069" t="n">
        <v>1</v>
      </c>
      <c r="G1069" t="n">
        <v>29.99</v>
      </c>
      <c r="H1069" t="n">
        <v>11.85</v>
      </c>
      <c r="I1069" t="inlineStr">
        <is>
          <t>credit_card</t>
        </is>
      </c>
      <c r="J1069" t="n">
        <v>9</v>
      </c>
      <c r="K1069" t="inlineStr">
        <is>
          <t>On Time</t>
        </is>
      </c>
      <c r="L1069" t="n">
        <v>5</v>
      </c>
      <c r="M1069">
        <f>VLOOKUP(D1069,State_Lookup!$A$2:$B$28,2,FALSE)</f>
        <v/>
      </c>
    </row>
    <row r="1070">
      <c r="A1070" t="inlineStr">
        <is>
          <t>4aa0a4cc479d198113baae85bbb801c8</t>
        </is>
      </c>
      <c r="B1070" t="inlineStr">
        <is>
          <t>2017-08-18</t>
        </is>
      </c>
      <c r="C1070" t="inlineStr">
        <is>
          <t>2017-08</t>
        </is>
      </c>
      <c r="D1070" t="inlineStr">
        <is>
          <t>SP</t>
        </is>
      </c>
      <c r="E1070" t="inlineStr">
        <is>
          <t>stationery</t>
        </is>
      </c>
      <c r="F1070" t="n">
        <v>1</v>
      </c>
      <c r="G1070" t="n">
        <v>59.98</v>
      </c>
      <c r="H1070" t="n">
        <v>21.26</v>
      </c>
      <c r="I1070" t="inlineStr">
        <is>
          <t>credit_card</t>
        </is>
      </c>
      <c r="J1070" t="n">
        <v>7</v>
      </c>
      <c r="K1070" t="inlineStr">
        <is>
          <t>On Time</t>
        </is>
      </c>
      <c r="L1070" t="n">
        <v>5</v>
      </c>
      <c r="M1070">
        <f>VLOOKUP(D1070,State_Lookup!$A$2:$B$28,2,FALSE)</f>
        <v/>
      </c>
    </row>
    <row r="1071">
      <c r="A1071" t="inlineStr">
        <is>
          <t>b93500c13882d8874fa1d03641499551</t>
        </is>
      </c>
      <c r="B1071" t="inlineStr">
        <is>
          <t>2017-08-18</t>
        </is>
      </c>
      <c r="C1071" t="inlineStr">
        <is>
          <t>2017-08</t>
        </is>
      </c>
      <c r="D1071" t="inlineStr">
        <is>
          <t>SP</t>
        </is>
      </c>
      <c r="E1071" t="inlineStr">
        <is>
          <t>perfumery</t>
        </is>
      </c>
      <c r="F1071" t="n">
        <v>1</v>
      </c>
      <c r="G1071" t="n">
        <v>85.90000000000001</v>
      </c>
      <c r="H1071" t="n">
        <v>10.02</v>
      </c>
      <c r="I1071" t="inlineStr">
        <is>
          <t>credit_card</t>
        </is>
      </c>
      <c r="J1071" t="n">
        <v>3</v>
      </c>
      <c r="K1071" t="inlineStr">
        <is>
          <t>On Time</t>
        </is>
      </c>
      <c r="L1071" t="n">
        <v>5</v>
      </c>
      <c r="M1071">
        <f>VLOOKUP(D1071,State_Lookup!$A$2:$B$28,2,FALSE)</f>
        <v/>
      </c>
    </row>
    <row r="1072">
      <c r="A1072" t="inlineStr">
        <is>
          <t>05aac5a18dcd77932007f57de8650622</t>
        </is>
      </c>
      <c r="B1072" t="inlineStr">
        <is>
          <t>2017-08-18</t>
        </is>
      </c>
      <c r="C1072" t="inlineStr">
        <is>
          <t>2017-08</t>
        </is>
      </c>
      <c r="D1072" t="inlineStr">
        <is>
          <t>SP</t>
        </is>
      </c>
      <c r="E1072" t="inlineStr">
        <is>
          <t>computers_accessories</t>
        </is>
      </c>
      <c r="F1072" t="n">
        <v>1</v>
      </c>
      <c r="G1072" t="n">
        <v>155</v>
      </c>
      <c r="H1072" t="n">
        <v>14.11</v>
      </c>
      <c r="I1072" t="inlineStr">
        <is>
          <t>credit_card</t>
        </is>
      </c>
      <c r="J1072" t="n">
        <v>6</v>
      </c>
      <c r="K1072" t="inlineStr">
        <is>
          <t>On Time</t>
        </is>
      </c>
      <c r="L1072" t="n">
        <v>5</v>
      </c>
      <c r="M1072">
        <f>VLOOKUP(D1072,State_Lookup!$A$2:$B$28,2,FALSE)</f>
        <v/>
      </c>
    </row>
    <row r="1073">
      <c r="A1073" t="inlineStr">
        <is>
          <t>20c87f647466d582c7f188b6dc4c6b14</t>
        </is>
      </c>
      <c r="B1073" t="inlineStr">
        <is>
          <t>2017-08-18</t>
        </is>
      </c>
      <c r="C1073" t="inlineStr">
        <is>
          <t>2017-08</t>
        </is>
      </c>
      <c r="D1073" t="inlineStr">
        <is>
          <t>SP</t>
        </is>
      </c>
      <c r="E1073" t="inlineStr">
        <is>
          <t>sports_leisure</t>
        </is>
      </c>
      <c r="F1073" t="n">
        <v>1</v>
      </c>
      <c r="G1073" t="n">
        <v>59.9</v>
      </c>
      <c r="H1073" t="n">
        <v>13.44</v>
      </c>
      <c r="I1073" t="inlineStr">
        <is>
          <t>credit_card</t>
        </is>
      </c>
      <c r="J1073" t="n">
        <v>16</v>
      </c>
      <c r="K1073" t="inlineStr">
        <is>
          <t>On Time</t>
        </is>
      </c>
      <c r="L1073" t="n">
        <v>5</v>
      </c>
      <c r="M1073">
        <f>VLOOKUP(D1073,State_Lookup!$A$2:$B$28,2,FALSE)</f>
        <v/>
      </c>
    </row>
    <row r="1074">
      <c r="A1074" t="inlineStr">
        <is>
          <t>5c5a4d0be78ff48f67dd7f81fd56d905</t>
        </is>
      </c>
      <c r="B1074" t="inlineStr">
        <is>
          <t>2017-08-18</t>
        </is>
      </c>
      <c r="C1074" t="inlineStr">
        <is>
          <t>2017-08</t>
        </is>
      </c>
      <c r="D1074" t="inlineStr">
        <is>
          <t>RJ</t>
        </is>
      </c>
      <c r="E1074" t="inlineStr">
        <is>
          <t>garden_tools</t>
        </is>
      </c>
      <c r="F1074" t="n">
        <v>1</v>
      </c>
      <c r="G1074" t="n">
        <v>59.9</v>
      </c>
      <c r="H1074" t="n">
        <v>17.67</v>
      </c>
      <c r="I1074" t="inlineStr">
        <is>
          <t>credit_card</t>
        </is>
      </c>
      <c r="J1074" t="n">
        <v>28</v>
      </c>
      <c r="K1074" t="inlineStr">
        <is>
          <t>On Time</t>
        </is>
      </c>
      <c r="L1074" t="n">
        <v>5</v>
      </c>
      <c r="M1074">
        <f>VLOOKUP(D1074,State_Lookup!$A$2:$B$28,2,FALSE)</f>
        <v/>
      </c>
    </row>
    <row r="1075">
      <c r="A1075" t="inlineStr">
        <is>
          <t>2d063770853ccc944a0eea618c125f82</t>
        </is>
      </c>
      <c r="B1075" t="inlineStr">
        <is>
          <t>2017-08-18</t>
        </is>
      </c>
      <c r="C1075" t="inlineStr">
        <is>
          <t>2017-08</t>
        </is>
      </c>
      <c r="D1075" t="inlineStr">
        <is>
          <t>SP</t>
        </is>
      </c>
      <c r="E1075" t="inlineStr">
        <is>
          <t>electronics</t>
        </is>
      </c>
      <c r="F1075" t="n">
        <v>1</v>
      </c>
      <c r="G1075" t="n">
        <v>14.9</v>
      </c>
      <c r="H1075" t="n">
        <v>12.48</v>
      </c>
      <c r="I1075" t="inlineStr">
        <is>
          <t>boleto</t>
        </is>
      </c>
      <c r="J1075" t="n">
        <v>7</v>
      </c>
      <c r="K1075" t="inlineStr">
        <is>
          <t>On Time</t>
        </is>
      </c>
      <c r="L1075" t="n">
        <v>4</v>
      </c>
      <c r="M1075">
        <f>VLOOKUP(D1075,State_Lookup!$A$2:$B$28,2,FALSE)</f>
        <v/>
      </c>
    </row>
    <row r="1076">
      <c r="A1076" t="inlineStr">
        <is>
          <t>e392e762463125f6436ee6719c03e4ff</t>
        </is>
      </c>
      <c r="B1076" t="inlineStr">
        <is>
          <t>2017-08-19</t>
        </is>
      </c>
      <c r="C1076" t="inlineStr">
        <is>
          <t>2017-08</t>
        </is>
      </c>
      <c r="D1076" t="inlineStr">
        <is>
          <t>MG</t>
        </is>
      </c>
      <c r="E1076" t="inlineStr">
        <is>
          <t>luggage_accessories</t>
        </is>
      </c>
      <c r="F1076" t="n">
        <v>2</v>
      </c>
      <c r="G1076" t="n">
        <v>77.8</v>
      </c>
      <c r="H1076" t="n">
        <v>26.74</v>
      </c>
      <c r="I1076" t="inlineStr">
        <is>
          <t>credit_card</t>
        </is>
      </c>
      <c r="J1076" t="n">
        <v>8</v>
      </c>
      <c r="K1076" t="inlineStr">
        <is>
          <t>On Time</t>
        </is>
      </c>
      <c r="L1076" t="n">
        <v>5</v>
      </c>
      <c r="M1076">
        <f>VLOOKUP(D1076,State_Lookup!$A$2:$B$28,2,FALSE)</f>
        <v/>
      </c>
    </row>
    <row r="1077">
      <c r="A1077" t="inlineStr">
        <is>
          <t>caf07fcb4e0d35fb5e9f6e3eeb294ada</t>
        </is>
      </c>
      <c r="B1077" t="inlineStr">
        <is>
          <t>2017-08-19</t>
        </is>
      </c>
      <c r="C1077" t="inlineStr">
        <is>
          <t>2017-08</t>
        </is>
      </c>
      <c r="D1077" t="inlineStr">
        <is>
          <t>SP</t>
        </is>
      </c>
      <c r="E1077" t="inlineStr">
        <is>
          <t>health_beauty</t>
        </is>
      </c>
      <c r="F1077" t="n">
        <v>1</v>
      </c>
      <c r="G1077" t="n">
        <v>104</v>
      </c>
      <c r="H1077" t="n">
        <v>15.48</v>
      </c>
      <c r="I1077" t="inlineStr">
        <is>
          <t>credit_card</t>
        </is>
      </c>
      <c r="J1077" t="n">
        <v>8</v>
      </c>
      <c r="K1077" t="inlineStr">
        <is>
          <t>On Time</t>
        </is>
      </c>
      <c r="L1077" t="n">
        <v>5</v>
      </c>
      <c r="M1077">
        <f>VLOOKUP(D1077,State_Lookup!$A$2:$B$28,2,FALSE)</f>
        <v/>
      </c>
    </row>
    <row r="1078">
      <c r="A1078" t="inlineStr">
        <is>
          <t>94559fe2283a8ce81e14d3fee1d4e928</t>
        </is>
      </c>
      <c r="B1078" t="inlineStr">
        <is>
          <t>2017-08-19</t>
        </is>
      </c>
      <c r="C1078" t="inlineStr">
        <is>
          <t>2017-08</t>
        </is>
      </c>
      <c r="D1078" t="inlineStr">
        <is>
          <t>SP</t>
        </is>
      </c>
      <c r="E1078" t="inlineStr">
        <is>
          <t>bed_bath_table</t>
        </is>
      </c>
      <c r="F1078" t="n">
        <v>1</v>
      </c>
      <c r="G1078" t="n">
        <v>182</v>
      </c>
      <c r="H1078" t="n">
        <v>12.48</v>
      </c>
      <c r="I1078" t="inlineStr">
        <is>
          <t>credit_card</t>
        </is>
      </c>
      <c r="J1078" t="n">
        <v>2</v>
      </c>
      <c r="K1078" t="inlineStr">
        <is>
          <t>On Time</t>
        </is>
      </c>
      <c r="L1078" t="n">
        <v>5</v>
      </c>
      <c r="M1078">
        <f>VLOOKUP(D1078,State_Lookup!$A$2:$B$28,2,FALSE)</f>
        <v/>
      </c>
    </row>
    <row r="1079">
      <c r="A1079" t="inlineStr">
        <is>
          <t>8306cf8a11247ad0a271068a168cd83d</t>
        </is>
      </c>
      <c r="B1079" t="inlineStr">
        <is>
          <t>2017-08-19</t>
        </is>
      </c>
      <c r="C1079" t="inlineStr">
        <is>
          <t>2017-08</t>
        </is>
      </c>
      <c r="D1079" t="inlineStr">
        <is>
          <t>MG</t>
        </is>
      </c>
      <c r="E1079" t="inlineStr">
        <is>
          <t>sports_leisure</t>
        </is>
      </c>
      <c r="F1079" t="n">
        <v>1</v>
      </c>
      <c r="G1079" t="n">
        <v>74.98999999999999</v>
      </c>
      <c r="H1079" t="n">
        <v>17.77</v>
      </c>
      <c r="I1079" t="inlineStr">
        <is>
          <t>credit_card</t>
        </is>
      </c>
      <c r="J1079" t="n">
        <v>6</v>
      </c>
      <c r="K1079" t="inlineStr">
        <is>
          <t>On Time</t>
        </is>
      </c>
      <c r="L1079" t="n">
        <v>5</v>
      </c>
      <c r="M1079">
        <f>VLOOKUP(D1079,State_Lookup!$A$2:$B$28,2,FALSE)</f>
        <v/>
      </c>
    </row>
    <row r="1080">
      <c r="A1080" t="inlineStr">
        <is>
          <t>6d238ce1fb32d1ef6e4422764a7f76cc</t>
        </is>
      </c>
      <c r="B1080" t="inlineStr">
        <is>
          <t>2017-08-19</t>
        </is>
      </c>
      <c r="C1080" t="inlineStr">
        <is>
          <t>2017-08</t>
        </is>
      </c>
      <c r="D1080" t="inlineStr">
        <is>
          <t>GO</t>
        </is>
      </c>
      <c r="E1080" t="inlineStr">
        <is>
          <t>cool_stuff</t>
        </is>
      </c>
      <c r="F1080" t="n">
        <v>1</v>
      </c>
      <c r="G1080" t="n">
        <v>134.99</v>
      </c>
      <c r="H1080" t="n">
        <v>16.7</v>
      </c>
      <c r="I1080" t="inlineStr">
        <is>
          <t>credit_card</t>
        </is>
      </c>
      <c r="J1080" t="n">
        <v>13</v>
      </c>
      <c r="K1080" t="inlineStr">
        <is>
          <t>On Time</t>
        </is>
      </c>
      <c r="L1080" t="n">
        <v>5</v>
      </c>
      <c r="M1080">
        <f>VLOOKUP(D1080,State_Lookup!$A$2:$B$28,2,FALSE)</f>
        <v/>
      </c>
    </row>
    <row r="1081">
      <c r="A1081" t="inlineStr">
        <is>
          <t>23dc1dae65a022e0f216c057e1ad3b72</t>
        </is>
      </c>
      <c r="B1081" t="inlineStr">
        <is>
          <t>2017-08-19</t>
        </is>
      </c>
      <c r="C1081" t="inlineStr">
        <is>
          <t>2017-08</t>
        </is>
      </c>
      <c r="D1081" t="inlineStr">
        <is>
          <t>SP</t>
        </is>
      </c>
      <c r="E1081" t="inlineStr">
        <is>
          <t>sports_leisure</t>
        </is>
      </c>
      <c r="F1081" t="n">
        <v>1</v>
      </c>
      <c r="G1081" t="n">
        <v>49.99</v>
      </c>
      <c r="H1081" t="n">
        <v>16.11</v>
      </c>
      <c r="I1081" t="inlineStr">
        <is>
          <t>boleto</t>
        </is>
      </c>
      <c r="J1081" t="n">
        <v>16</v>
      </c>
      <c r="K1081" t="inlineStr">
        <is>
          <t>On Time</t>
        </is>
      </c>
      <c r="L1081" t="n">
        <v>4</v>
      </c>
      <c r="M1081">
        <f>VLOOKUP(D1081,State_Lookup!$A$2:$B$28,2,FALSE)</f>
        <v/>
      </c>
    </row>
    <row r="1082">
      <c r="A1082" t="inlineStr">
        <is>
          <t>f1e63d984de289ace77245034ae6cbdb</t>
        </is>
      </c>
      <c r="B1082" t="inlineStr">
        <is>
          <t>2017-08-19</t>
        </is>
      </c>
      <c r="C1082" t="inlineStr">
        <is>
          <t>2017-08</t>
        </is>
      </c>
      <c r="D1082" t="inlineStr">
        <is>
          <t>RJ</t>
        </is>
      </c>
      <c r="E1082" t="inlineStr">
        <is>
          <t>health_beauty</t>
        </is>
      </c>
      <c r="F1082" t="n">
        <v>1</v>
      </c>
      <c r="G1082" t="n">
        <v>64.90000000000001</v>
      </c>
      <c r="H1082" t="n">
        <v>19.69</v>
      </c>
      <c r="I1082" t="inlineStr">
        <is>
          <t>credit_card</t>
        </is>
      </c>
      <c r="J1082" t="n">
        <v>17</v>
      </c>
      <c r="K1082" t="inlineStr">
        <is>
          <t>On Time</t>
        </is>
      </c>
      <c r="L1082" t="n">
        <v>3</v>
      </c>
      <c r="M1082">
        <f>VLOOKUP(D1082,State_Lookup!$A$2:$B$28,2,FALSE)</f>
        <v/>
      </c>
    </row>
    <row r="1083">
      <c r="A1083" t="inlineStr">
        <is>
          <t>ab96ffdb4db7fa3807bfb7a512f2f519</t>
        </is>
      </c>
      <c r="B1083" t="inlineStr">
        <is>
          <t>2017-08-20</t>
        </is>
      </c>
      <c r="C1083" t="inlineStr">
        <is>
          <t>2017-08</t>
        </is>
      </c>
      <c r="D1083" t="inlineStr">
        <is>
          <t>SP</t>
        </is>
      </c>
      <c r="E1083" t="inlineStr">
        <is>
          <t>baby</t>
        </is>
      </c>
      <c r="F1083" t="n">
        <v>1</v>
      </c>
      <c r="G1083" t="n">
        <v>128.5</v>
      </c>
      <c r="H1083" t="n">
        <v>12.85</v>
      </c>
      <c r="I1083" t="inlineStr">
        <is>
          <t>credit_card</t>
        </is>
      </c>
      <c r="J1083" t="n">
        <v>2</v>
      </c>
      <c r="K1083" t="inlineStr">
        <is>
          <t>On Time</t>
        </is>
      </c>
      <c r="L1083" t="n">
        <v>5</v>
      </c>
      <c r="M1083">
        <f>VLOOKUP(D1083,State_Lookup!$A$2:$B$28,2,FALSE)</f>
        <v/>
      </c>
    </row>
    <row r="1084">
      <c r="A1084" t="inlineStr">
        <is>
          <t>1e7c4d7f10431cde9911c1c659a6e3fd</t>
        </is>
      </c>
      <c r="B1084" t="inlineStr">
        <is>
          <t>2017-08-20</t>
        </is>
      </c>
      <c r="C1084" t="inlineStr">
        <is>
          <t>2017-08</t>
        </is>
      </c>
      <c r="D1084" t="inlineStr">
        <is>
          <t>RN</t>
        </is>
      </c>
      <c r="E1084" t="inlineStr">
        <is>
          <t>toys</t>
        </is>
      </c>
      <c r="F1084" t="n">
        <v>1</v>
      </c>
      <c r="G1084" t="n">
        <v>45.9</v>
      </c>
      <c r="H1084" t="n">
        <v>21.15</v>
      </c>
      <c r="I1084" t="inlineStr">
        <is>
          <t>credit_card</t>
        </is>
      </c>
      <c r="J1084" t="n">
        <v>16</v>
      </c>
      <c r="K1084" t="inlineStr">
        <is>
          <t>On Time</t>
        </is>
      </c>
      <c r="L1084" t="n">
        <v>5</v>
      </c>
      <c r="M1084">
        <f>VLOOKUP(D1084,State_Lookup!$A$2:$B$28,2,FALSE)</f>
        <v/>
      </c>
    </row>
    <row r="1085">
      <c r="A1085" t="inlineStr">
        <is>
          <t>fcfa8ef8103d78c6f2dd57ec67713360</t>
        </is>
      </c>
      <c r="B1085" t="inlineStr">
        <is>
          <t>2017-08-20</t>
        </is>
      </c>
      <c r="C1085" t="inlineStr">
        <is>
          <t>2017-08</t>
        </is>
      </c>
      <c r="D1085" t="inlineStr">
        <is>
          <t>BA</t>
        </is>
      </c>
      <c r="E1085" t="inlineStr">
        <is>
          <t>perfumery</t>
        </is>
      </c>
      <c r="F1085" t="n">
        <v>1</v>
      </c>
      <c r="G1085" t="n">
        <v>56.99</v>
      </c>
      <c r="H1085" t="n">
        <v>15.84</v>
      </c>
      <c r="I1085" t="inlineStr">
        <is>
          <t>credit_card</t>
        </is>
      </c>
      <c r="J1085" t="n">
        <v>7</v>
      </c>
      <c r="K1085" t="inlineStr">
        <is>
          <t>On Time</t>
        </is>
      </c>
      <c r="L1085" t="n">
        <v>5</v>
      </c>
      <c r="M1085">
        <f>VLOOKUP(D1085,State_Lookup!$A$2:$B$28,2,FALSE)</f>
        <v/>
      </c>
    </row>
    <row r="1086">
      <c r="A1086" t="inlineStr">
        <is>
          <t>4a57c473825a49217f1360b23fce6e65</t>
        </is>
      </c>
      <c r="B1086" t="inlineStr">
        <is>
          <t>2017-08-20</t>
        </is>
      </c>
      <c r="C1086" t="inlineStr">
        <is>
          <t>2017-08</t>
        </is>
      </c>
      <c r="D1086" t="inlineStr">
        <is>
          <t>MG</t>
        </is>
      </c>
      <c r="E1086" t="inlineStr">
        <is>
          <t>telephony</t>
        </is>
      </c>
      <c r="F1086" t="n">
        <v>1</v>
      </c>
      <c r="G1086" t="n">
        <v>109.9</v>
      </c>
      <c r="H1086" t="n">
        <v>15.52</v>
      </c>
      <c r="I1086" t="inlineStr">
        <is>
          <t>credit_card</t>
        </is>
      </c>
      <c r="J1086" t="n">
        <v>9</v>
      </c>
      <c r="K1086" t="inlineStr">
        <is>
          <t>On Time</t>
        </is>
      </c>
      <c r="L1086" t="n">
        <v>5</v>
      </c>
      <c r="M1086">
        <f>VLOOKUP(D1086,State_Lookup!$A$2:$B$28,2,FALSE)</f>
        <v/>
      </c>
    </row>
    <row r="1087">
      <c r="A1087" t="inlineStr">
        <is>
          <t>633bd8dd4d19125b69aeee2526f79779</t>
        </is>
      </c>
      <c r="B1087" t="inlineStr">
        <is>
          <t>2017-08-20</t>
        </is>
      </c>
      <c r="C1087" t="inlineStr">
        <is>
          <t>2017-08</t>
        </is>
      </c>
      <c r="D1087" t="inlineStr">
        <is>
          <t>GO</t>
        </is>
      </c>
      <c r="E1087" t="inlineStr">
        <is>
          <t>fashion_bags_accessories</t>
        </is>
      </c>
      <c r="F1087" t="n">
        <v>1</v>
      </c>
      <c r="G1087" t="n">
        <v>39.99</v>
      </c>
      <c r="H1087" t="n">
        <v>15.1</v>
      </c>
      <c r="I1087" t="inlineStr">
        <is>
          <t>voucher</t>
        </is>
      </c>
      <c r="J1087" t="n">
        <v>11</v>
      </c>
      <c r="K1087" t="inlineStr">
        <is>
          <t>On Time</t>
        </is>
      </c>
      <c r="L1087" t="n">
        <v>5</v>
      </c>
      <c r="M1087">
        <f>VLOOKUP(D1087,State_Lookup!$A$2:$B$28,2,FALSE)</f>
        <v/>
      </c>
    </row>
    <row r="1088">
      <c r="A1088" t="inlineStr">
        <is>
          <t>8c0badb93d803736320343323266425b</t>
        </is>
      </c>
      <c r="B1088" t="inlineStr">
        <is>
          <t>2017-08-20</t>
        </is>
      </c>
      <c r="C1088" t="inlineStr">
        <is>
          <t>2017-08</t>
        </is>
      </c>
      <c r="D1088" t="inlineStr">
        <is>
          <t>SP</t>
        </is>
      </c>
      <c r="E1088" t="inlineStr">
        <is>
          <t>fashion_bags_accessories</t>
        </is>
      </c>
      <c r="F1088" t="n">
        <v>1</v>
      </c>
      <c r="G1088" t="n">
        <v>49.99</v>
      </c>
      <c r="H1088" t="n">
        <v>7.78</v>
      </c>
      <c r="I1088" t="inlineStr">
        <is>
          <t>credit_card</t>
        </is>
      </c>
      <c r="J1088" t="n">
        <v>1</v>
      </c>
      <c r="K1088" t="inlineStr">
        <is>
          <t>On Time</t>
        </is>
      </c>
      <c r="L1088" t="n">
        <v>4</v>
      </c>
      <c r="M1088">
        <f>VLOOKUP(D1088,State_Lookup!$A$2:$B$28,2,FALSE)</f>
        <v/>
      </c>
    </row>
    <row r="1089">
      <c r="A1089" t="inlineStr">
        <is>
          <t>e6645cd574bfc71b276a102797036491</t>
        </is>
      </c>
      <c r="B1089" t="inlineStr">
        <is>
          <t>2017-08-21</t>
        </is>
      </c>
      <c r="C1089" t="inlineStr">
        <is>
          <t>2017-08</t>
        </is>
      </c>
      <c r="D1089" t="inlineStr">
        <is>
          <t>RS</t>
        </is>
      </c>
      <c r="E1089" t="inlineStr">
        <is>
          <t>cool_stuff</t>
        </is>
      </c>
      <c r="F1089" t="n">
        <v>1</v>
      </c>
      <c r="G1089" t="n">
        <v>86.8</v>
      </c>
      <c r="H1089" t="n">
        <v>14.36</v>
      </c>
      <c r="I1089" t="inlineStr">
        <is>
          <t>boleto</t>
        </is>
      </c>
      <c r="J1089" t="n">
        <v>28</v>
      </c>
      <c r="K1089" t="inlineStr">
        <is>
          <t>On Time</t>
        </is>
      </c>
      <c r="L1089" t="n">
        <v>5</v>
      </c>
      <c r="M1089">
        <f>VLOOKUP(D1089,State_Lookup!$A$2:$B$28,2,FALSE)</f>
        <v/>
      </c>
    </row>
    <row r="1090">
      <c r="A1090" t="inlineStr">
        <is>
          <t>761d1ebbd0e356d78eb6a1a50cb16662</t>
        </is>
      </c>
      <c r="B1090" t="inlineStr">
        <is>
          <t>2017-08-21</t>
        </is>
      </c>
      <c r="C1090" t="inlineStr">
        <is>
          <t>2017-08</t>
        </is>
      </c>
      <c r="D1090" t="inlineStr">
        <is>
          <t>RJ</t>
        </is>
      </c>
      <c r="E1090" t="inlineStr">
        <is>
          <t>furniture_decor</t>
        </is>
      </c>
      <c r="F1090" t="n">
        <v>2</v>
      </c>
      <c r="G1090" t="n">
        <v>118</v>
      </c>
      <c r="H1090" t="n">
        <v>32.34</v>
      </c>
      <c r="I1090" t="inlineStr">
        <is>
          <t>credit_card</t>
        </is>
      </c>
      <c r="J1090" t="n">
        <v>7</v>
      </c>
      <c r="K1090" t="inlineStr">
        <is>
          <t>On Time</t>
        </is>
      </c>
      <c r="L1090" t="n">
        <v>1</v>
      </c>
      <c r="M1090">
        <f>VLOOKUP(D1090,State_Lookup!$A$2:$B$28,2,FALSE)</f>
        <v/>
      </c>
    </row>
    <row r="1091">
      <c r="A1091" t="inlineStr">
        <is>
          <t>0dad7d1ff2920dfb357bfda892dca601</t>
        </is>
      </c>
      <c r="B1091" t="inlineStr">
        <is>
          <t>2017-08-21</t>
        </is>
      </c>
      <c r="C1091" t="inlineStr">
        <is>
          <t>2017-08</t>
        </is>
      </c>
      <c r="D1091" t="inlineStr">
        <is>
          <t>SP</t>
        </is>
      </c>
      <c r="E1091" t="inlineStr">
        <is>
          <t>bed_bath_table</t>
        </is>
      </c>
      <c r="F1091" t="n">
        <v>1</v>
      </c>
      <c r="G1091" t="n">
        <v>49.95</v>
      </c>
      <c r="H1091" t="n">
        <v>11.85</v>
      </c>
      <c r="I1091" t="inlineStr">
        <is>
          <t>credit_card</t>
        </is>
      </c>
      <c r="J1091" t="n">
        <v>7</v>
      </c>
      <c r="K1091" t="inlineStr">
        <is>
          <t>On Time</t>
        </is>
      </c>
      <c r="L1091" t="n">
        <v>4</v>
      </c>
      <c r="M1091">
        <f>VLOOKUP(D1091,State_Lookup!$A$2:$B$28,2,FALSE)</f>
        <v/>
      </c>
    </row>
    <row r="1092">
      <c r="A1092" t="inlineStr">
        <is>
          <t>7159e54dc429b82335398dcb355162f1</t>
        </is>
      </c>
      <c r="B1092" t="inlineStr">
        <is>
          <t>2017-08-21</t>
        </is>
      </c>
      <c r="C1092" t="inlineStr">
        <is>
          <t>2017-08</t>
        </is>
      </c>
      <c r="D1092" t="inlineStr">
        <is>
          <t>SP</t>
        </is>
      </c>
      <c r="E1092" t="inlineStr">
        <is>
          <t>perfumery</t>
        </is>
      </c>
      <c r="F1092" t="n">
        <v>1</v>
      </c>
      <c r="G1092" t="n">
        <v>56.99</v>
      </c>
      <c r="H1092" t="n">
        <v>8.720000000000001</v>
      </c>
      <c r="I1092" t="inlineStr">
        <is>
          <t>credit_card</t>
        </is>
      </c>
      <c r="J1092" t="n">
        <v>6</v>
      </c>
      <c r="K1092" t="inlineStr">
        <is>
          <t>On Time</t>
        </is>
      </c>
      <c r="L1092" t="n">
        <v>5</v>
      </c>
      <c r="M1092">
        <f>VLOOKUP(D1092,State_Lookup!$A$2:$B$28,2,FALSE)</f>
        <v/>
      </c>
    </row>
    <row r="1093">
      <c r="A1093" t="inlineStr">
        <is>
          <t>b91c737fed536d40ce17d84edd88fac7</t>
        </is>
      </c>
      <c r="B1093" t="inlineStr">
        <is>
          <t>2017-08-21</t>
        </is>
      </c>
      <c r="C1093" t="inlineStr">
        <is>
          <t>2017-08</t>
        </is>
      </c>
      <c r="D1093" t="inlineStr">
        <is>
          <t>PR</t>
        </is>
      </c>
      <c r="E1093" t="inlineStr">
        <is>
          <t>consoles_games</t>
        </is>
      </c>
      <c r="F1093" t="n">
        <v>1</v>
      </c>
      <c r="G1093" t="n">
        <v>19.9</v>
      </c>
      <c r="H1093" t="n">
        <v>15.1</v>
      </c>
      <c r="I1093" t="inlineStr">
        <is>
          <t>boleto</t>
        </is>
      </c>
      <c r="J1093" t="n">
        <v>10</v>
      </c>
      <c r="K1093" t="inlineStr">
        <is>
          <t>On Time</t>
        </is>
      </c>
      <c r="L1093" t="n">
        <v>5</v>
      </c>
      <c r="M1093">
        <f>VLOOKUP(D1093,State_Lookup!$A$2:$B$28,2,FALSE)</f>
        <v/>
      </c>
    </row>
    <row r="1094">
      <c r="A1094" t="inlineStr">
        <is>
          <t>0494d7ef89583fcaf33a1cea4bcfeec2</t>
        </is>
      </c>
      <c r="B1094" t="inlineStr">
        <is>
          <t>2017-08-21</t>
        </is>
      </c>
      <c r="C1094" t="inlineStr">
        <is>
          <t>2017-08</t>
        </is>
      </c>
      <c r="D1094" t="inlineStr">
        <is>
          <t>RO</t>
        </is>
      </c>
      <c r="E1094" t="inlineStr">
        <is>
          <t>fashion_bags_accessories</t>
        </is>
      </c>
      <c r="F1094" t="n">
        <v>1</v>
      </c>
      <c r="G1094" t="n">
        <v>29.9</v>
      </c>
      <c r="H1094" t="n">
        <v>34.15</v>
      </c>
      <c r="I1094" t="inlineStr">
        <is>
          <t>boleto</t>
        </is>
      </c>
      <c r="J1094" t="n">
        <v>15</v>
      </c>
      <c r="K1094" t="inlineStr">
        <is>
          <t>On Time</t>
        </is>
      </c>
      <c r="L1094" t="n">
        <v>5</v>
      </c>
      <c r="M1094">
        <f>VLOOKUP(D1094,State_Lookup!$A$2:$B$28,2,FALSE)</f>
        <v/>
      </c>
    </row>
    <row r="1095">
      <c r="A1095" t="inlineStr">
        <is>
          <t>bee5bc36d798e3675faa04ac679620dc</t>
        </is>
      </c>
      <c r="B1095" t="inlineStr">
        <is>
          <t>2017-08-21</t>
        </is>
      </c>
      <c r="C1095" t="inlineStr">
        <is>
          <t>2017-08</t>
        </is>
      </c>
      <c r="D1095" t="inlineStr">
        <is>
          <t>PR</t>
        </is>
      </c>
      <c r="E1095" t="inlineStr">
        <is>
          <t>cool_stuff</t>
        </is>
      </c>
      <c r="F1095" t="n">
        <v>1</v>
      </c>
      <c r="G1095" t="n">
        <v>89.98999999999999</v>
      </c>
      <c r="H1095" t="n">
        <v>17.88</v>
      </c>
      <c r="I1095" t="inlineStr">
        <is>
          <t>credit_card</t>
        </is>
      </c>
      <c r="J1095" t="n">
        <v>9</v>
      </c>
      <c r="K1095" t="inlineStr">
        <is>
          <t>On Time</t>
        </is>
      </c>
      <c r="L1095" t="n">
        <v>4</v>
      </c>
      <c r="M1095">
        <f>VLOOKUP(D1095,State_Lookup!$A$2:$B$28,2,FALSE)</f>
        <v/>
      </c>
    </row>
    <row r="1096">
      <c r="A1096" t="inlineStr">
        <is>
          <t>28d7626c30f05e9a92ae5a3910f6f603</t>
        </is>
      </c>
      <c r="B1096" t="inlineStr">
        <is>
          <t>2017-08-21</t>
        </is>
      </c>
      <c r="C1096" t="inlineStr">
        <is>
          <t>2017-08</t>
        </is>
      </c>
      <c r="D1096" t="inlineStr">
        <is>
          <t>SP</t>
        </is>
      </c>
      <c r="E1096" t="inlineStr">
        <is>
          <t>fashion_bags_accessories</t>
        </is>
      </c>
      <c r="F1096" t="n">
        <v>1</v>
      </c>
      <c r="G1096" t="n">
        <v>28.9</v>
      </c>
      <c r="H1096" t="n">
        <v>14.1</v>
      </c>
      <c r="I1096" t="inlineStr">
        <is>
          <t>credit_card</t>
        </is>
      </c>
      <c r="J1096" t="n">
        <v>2</v>
      </c>
      <c r="K1096" t="inlineStr">
        <is>
          <t>On Time</t>
        </is>
      </c>
      <c r="L1096" t="n">
        <v>5</v>
      </c>
      <c r="M1096">
        <f>VLOOKUP(D1096,State_Lookup!$A$2:$B$28,2,FALSE)</f>
        <v/>
      </c>
    </row>
    <row r="1097">
      <c r="A1097" t="inlineStr">
        <is>
          <t>3645d00093a926152b82312c5db8984f</t>
        </is>
      </c>
      <c r="B1097" t="inlineStr">
        <is>
          <t>2017-08-21</t>
        </is>
      </c>
      <c r="C1097" t="inlineStr">
        <is>
          <t>2017-08</t>
        </is>
      </c>
      <c r="D1097" t="inlineStr">
        <is>
          <t>RJ</t>
        </is>
      </c>
      <c r="E1097" t="inlineStr">
        <is>
          <t>air_conditioning</t>
        </is>
      </c>
      <c r="F1097" t="n">
        <v>2</v>
      </c>
      <c r="G1097" t="n">
        <v>1589.96</v>
      </c>
      <c r="H1097" t="n">
        <v>27.88</v>
      </c>
      <c r="I1097" t="inlineStr">
        <is>
          <t>credit_card</t>
        </is>
      </c>
      <c r="J1097" t="n">
        <v>6</v>
      </c>
      <c r="K1097" t="inlineStr">
        <is>
          <t>On Time</t>
        </is>
      </c>
      <c r="L1097" t="n">
        <v>5</v>
      </c>
      <c r="M1097">
        <f>VLOOKUP(D1097,State_Lookup!$A$2:$B$28,2,FALSE)</f>
        <v/>
      </c>
    </row>
    <row r="1098">
      <c r="A1098" t="inlineStr">
        <is>
          <t>0b1bd7cdeb2d703ebe602a2989a86f9a</t>
        </is>
      </c>
      <c r="B1098" t="inlineStr">
        <is>
          <t>2017-08-21</t>
        </is>
      </c>
      <c r="C1098" t="inlineStr">
        <is>
          <t>2017-08</t>
        </is>
      </c>
      <c r="D1098" t="inlineStr">
        <is>
          <t>RO</t>
        </is>
      </c>
      <c r="E1098" t="inlineStr">
        <is>
          <t>telephony</t>
        </is>
      </c>
      <c r="F1098" t="n">
        <v>1</v>
      </c>
      <c r="G1098" t="n">
        <v>16.99</v>
      </c>
      <c r="H1098" t="n">
        <v>34.15</v>
      </c>
      <c r="I1098" t="inlineStr">
        <is>
          <t>credit_card</t>
        </is>
      </c>
      <c r="J1098" t="n">
        <v>24</v>
      </c>
      <c r="K1098" t="inlineStr">
        <is>
          <t>On Time</t>
        </is>
      </c>
      <c r="L1098" t="n">
        <v>4</v>
      </c>
      <c r="M1098">
        <f>VLOOKUP(D1098,State_Lookup!$A$2:$B$28,2,FALSE)</f>
        <v/>
      </c>
    </row>
    <row r="1099">
      <c r="A1099" t="inlineStr">
        <is>
          <t>4519eb4d4f31920150447454d2a0b560</t>
        </is>
      </c>
      <c r="B1099" t="inlineStr">
        <is>
          <t>2017-08-21</t>
        </is>
      </c>
      <c r="C1099" t="inlineStr">
        <is>
          <t>2017-08</t>
        </is>
      </c>
      <c r="D1099" t="inlineStr">
        <is>
          <t>SP</t>
        </is>
      </c>
      <c r="E1099" t="inlineStr">
        <is>
          <t>books_imported</t>
        </is>
      </c>
      <c r="F1099" t="n">
        <v>1</v>
      </c>
      <c r="G1099" t="n">
        <v>61</v>
      </c>
      <c r="H1099" t="n">
        <v>9.34</v>
      </c>
      <c r="I1099" t="inlineStr">
        <is>
          <t>credit_card</t>
        </is>
      </c>
      <c r="J1099" t="n">
        <v>2</v>
      </c>
      <c r="K1099" t="inlineStr">
        <is>
          <t>On Time</t>
        </is>
      </c>
      <c r="L1099" t="n">
        <v>5</v>
      </c>
      <c r="M1099">
        <f>VLOOKUP(D1099,State_Lookup!$A$2:$B$28,2,FALSE)</f>
        <v/>
      </c>
    </row>
    <row r="1100">
      <c r="A1100" t="inlineStr">
        <is>
          <t>73d31477d79e7d244fe031d4b2c9c58d</t>
        </is>
      </c>
      <c r="B1100" t="inlineStr">
        <is>
          <t>2017-08-21</t>
        </is>
      </c>
      <c r="C1100" t="inlineStr">
        <is>
          <t>2017-08</t>
        </is>
      </c>
      <c r="D1100" t="inlineStr">
        <is>
          <t>SP</t>
        </is>
      </c>
      <c r="E1100" t="inlineStr">
        <is>
          <t>health_beauty</t>
        </is>
      </c>
      <c r="F1100" t="n">
        <v>1</v>
      </c>
      <c r="G1100" t="n">
        <v>34.99</v>
      </c>
      <c r="H1100" t="n">
        <v>7.78</v>
      </c>
      <c r="I1100" t="inlineStr">
        <is>
          <t>credit_card</t>
        </is>
      </c>
      <c r="J1100" t="n">
        <v>3</v>
      </c>
      <c r="K1100" t="inlineStr">
        <is>
          <t>On Time</t>
        </is>
      </c>
      <c r="L1100" t="n">
        <v>5</v>
      </c>
      <c r="M1100">
        <f>VLOOKUP(D1100,State_Lookup!$A$2:$B$28,2,FALSE)</f>
        <v/>
      </c>
    </row>
    <row r="1101">
      <c r="A1101" t="inlineStr">
        <is>
          <t>b92fc3d1e14e2ff2051230fda1012db2</t>
        </is>
      </c>
      <c r="B1101" t="inlineStr">
        <is>
          <t>2017-08-21</t>
        </is>
      </c>
      <c r="C1101" t="inlineStr">
        <is>
          <t>2017-08</t>
        </is>
      </c>
      <c r="D1101" t="inlineStr">
        <is>
          <t>SP</t>
        </is>
      </c>
      <c r="E1101" t="inlineStr">
        <is>
          <t>health_beauty</t>
        </is>
      </c>
      <c r="F1101" t="n">
        <v>1</v>
      </c>
      <c r="G1101" t="n">
        <v>23.99</v>
      </c>
      <c r="H1101" t="n">
        <v>7.78</v>
      </c>
      <c r="I1101" t="inlineStr">
        <is>
          <t>voucher</t>
        </is>
      </c>
      <c r="J1101" t="n">
        <v>3</v>
      </c>
      <c r="K1101" t="inlineStr">
        <is>
          <t>On Time</t>
        </is>
      </c>
      <c r="L1101" t="n">
        <v>5</v>
      </c>
      <c r="M1101">
        <f>VLOOKUP(D1101,State_Lookup!$A$2:$B$28,2,FALSE)</f>
        <v/>
      </c>
    </row>
    <row r="1102">
      <c r="A1102" t="inlineStr">
        <is>
          <t>431fe12f4d24d8f61a0947c0bc842a04</t>
        </is>
      </c>
      <c r="B1102" t="inlineStr">
        <is>
          <t>2017-08-22</t>
        </is>
      </c>
      <c r="C1102" t="inlineStr">
        <is>
          <t>2017-08</t>
        </is>
      </c>
      <c r="D1102" t="inlineStr">
        <is>
          <t>RJ</t>
        </is>
      </c>
      <c r="E1102" t="inlineStr">
        <is>
          <t>furniture_decor</t>
        </is>
      </c>
      <c r="F1102" t="n">
        <v>1</v>
      </c>
      <c r="G1102" t="n">
        <v>46.99</v>
      </c>
      <c r="H1102" t="n">
        <v>16.11</v>
      </c>
      <c r="I1102" t="inlineStr">
        <is>
          <t>credit_card</t>
        </is>
      </c>
      <c r="J1102" t="n">
        <v>17</v>
      </c>
      <c r="K1102" t="inlineStr">
        <is>
          <t>On Time</t>
        </is>
      </c>
      <c r="L1102" t="n">
        <v>3</v>
      </c>
      <c r="M1102">
        <f>VLOOKUP(D1102,State_Lookup!$A$2:$B$28,2,FALSE)</f>
        <v/>
      </c>
    </row>
    <row r="1103">
      <c r="A1103" t="inlineStr">
        <is>
          <t>3bc85ea22011e6a4c0677bd7a985f76b</t>
        </is>
      </c>
      <c r="B1103" t="inlineStr">
        <is>
          <t>2017-08-22</t>
        </is>
      </c>
      <c r="C1103" t="inlineStr">
        <is>
          <t>2017-08</t>
        </is>
      </c>
      <c r="D1103" t="inlineStr">
        <is>
          <t>SP</t>
        </is>
      </c>
      <c r="E1103" t="inlineStr">
        <is>
          <t>health_beauty</t>
        </is>
      </c>
      <c r="F1103" t="n">
        <v>1</v>
      </c>
      <c r="G1103" t="n">
        <v>59.9</v>
      </c>
      <c r="H1103" t="n">
        <v>15.86</v>
      </c>
      <c r="I1103" t="inlineStr">
        <is>
          <t>credit_card</t>
        </is>
      </c>
      <c r="J1103" t="n">
        <v>6</v>
      </c>
      <c r="K1103" t="inlineStr">
        <is>
          <t>On Time</t>
        </is>
      </c>
      <c r="L1103" t="n">
        <v>5</v>
      </c>
      <c r="M1103">
        <f>VLOOKUP(D1103,State_Lookup!$A$2:$B$28,2,FALSE)</f>
        <v/>
      </c>
    </row>
    <row r="1104">
      <c r="A1104" t="inlineStr">
        <is>
          <t>9b80fe8a497834eb67892e43db08b915</t>
        </is>
      </c>
      <c r="B1104" t="inlineStr">
        <is>
          <t>2017-08-22</t>
        </is>
      </c>
      <c r="C1104" t="inlineStr">
        <is>
          <t>2017-08</t>
        </is>
      </c>
      <c r="D1104" t="inlineStr">
        <is>
          <t>MG</t>
        </is>
      </c>
      <c r="E1104" t="inlineStr">
        <is>
          <t>telephony</t>
        </is>
      </c>
      <c r="F1104" t="n">
        <v>1</v>
      </c>
      <c r="G1104" t="n">
        <v>49.99</v>
      </c>
      <c r="H1104" t="n">
        <v>16.11</v>
      </c>
      <c r="I1104" t="inlineStr">
        <is>
          <t>credit_card</t>
        </is>
      </c>
      <c r="J1104" t="n">
        <v>7</v>
      </c>
      <c r="K1104" t="inlineStr">
        <is>
          <t>On Time</t>
        </is>
      </c>
      <c r="L1104" t="n">
        <v>5</v>
      </c>
      <c r="M1104">
        <f>VLOOKUP(D1104,State_Lookup!$A$2:$B$28,2,FALSE)</f>
        <v/>
      </c>
    </row>
    <row r="1105">
      <c r="A1105" t="inlineStr">
        <is>
          <t>6956c7a7b6e1be46fa34926ef6aea60f</t>
        </is>
      </c>
      <c r="B1105" t="inlineStr">
        <is>
          <t>2017-08-22</t>
        </is>
      </c>
      <c r="C1105" t="inlineStr">
        <is>
          <t>2017-08</t>
        </is>
      </c>
      <c r="D1105" t="inlineStr">
        <is>
          <t>SP</t>
        </is>
      </c>
      <c r="E1105" t="inlineStr">
        <is>
          <t>stationery</t>
        </is>
      </c>
      <c r="F1105" t="n">
        <v>3</v>
      </c>
      <c r="G1105" t="n">
        <v>149.7</v>
      </c>
      <c r="H1105" t="n">
        <v>55.95</v>
      </c>
      <c r="I1105" t="inlineStr">
        <is>
          <t>credit_card</t>
        </is>
      </c>
      <c r="J1105" t="n">
        <v>12</v>
      </c>
      <c r="K1105" t="inlineStr">
        <is>
          <t>On Time</t>
        </is>
      </c>
      <c r="L1105" t="n">
        <v>4</v>
      </c>
      <c r="M1105">
        <f>VLOOKUP(D1105,State_Lookup!$A$2:$B$28,2,FALSE)</f>
        <v/>
      </c>
    </row>
    <row r="1106">
      <c r="A1106" t="inlineStr">
        <is>
          <t>3503ca07647fc40291e999ca3e3ea490</t>
        </is>
      </c>
      <c r="B1106" t="inlineStr">
        <is>
          <t>2017-08-22</t>
        </is>
      </c>
      <c r="C1106" t="inlineStr">
        <is>
          <t>2017-08</t>
        </is>
      </c>
      <c r="D1106" t="inlineStr">
        <is>
          <t>MG</t>
        </is>
      </c>
      <c r="E1106" t="inlineStr">
        <is>
          <t>furniture_decor</t>
        </is>
      </c>
      <c r="F1106" t="n">
        <v>1</v>
      </c>
      <c r="G1106" t="n">
        <v>39.99</v>
      </c>
      <c r="H1106" t="n">
        <v>16.6</v>
      </c>
      <c r="I1106" t="inlineStr">
        <is>
          <t>credit_card</t>
        </is>
      </c>
      <c r="J1106" t="n">
        <v>17</v>
      </c>
      <c r="K1106" t="inlineStr">
        <is>
          <t>On Time</t>
        </is>
      </c>
      <c r="L1106" t="n">
        <v>5</v>
      </c>
      <c r="M1106">
        <f>VLOOKUP(D1106,State_Lookup!$A$2:$B$28,2,FALSE)</f>
        <v/>
      </c>
    </row>
    <row r="1107">
      <c r="A1107" t="inlineStr">
        <is>
          <t>661db6fa562954c6c672ee765c51a014</t>
        </is>
      </c>
      <c r="B1107" t="inlineStr">
        <is>
          <t>2017-08-22</t>
        </is>
      </c>
      <c r="C1107" t="inlineStr">
        <is>
          <t>2017-08</t>
        </is>
      </c>
      <c r="D1107" t="inlineStr">
        <is>
          <t>RJ</t>
        </is>
      </c>
      <c r="E1107" t="inlineStr">
        <is>
          <t>perfumery</t>
        </is>
      </c>
      <c r="F1107" t="n">
        <v>1</v>
      </c>
      <c r="G1107" t="n">
        <v>56.99</v>
      </c>
      <c r="H1107" t="n">
        <v>14.15</v>
      </c>
      <c r="I1107" t="inlineStr">
        <is>
          <t>credit_card</t>
        </is>
      </c>
      <c r="J1107" t="n">
        <v>10</v>
      </c>
      <c r="K1107" t="inlineStr">
        <is>
          <t>On Time</t>
        </is>
      </c>
      <c r="L1107" t="n">
        <v>5</v>
      </c>
      <c r="M1107">
        <f>VLOOKUP(D1107,State_Lookup!$A$2:$B$28,2,FALSE)</f>
        <v/>
      </c>
    </row>
    <row r="1108">
      <c r="A1108" t="inlineStr">
        <is>
          <t>c870ed0988202f0b857a393392831d06</t>
        </is>
      </c>
      <c r="B1108" t="inlineStr">
        <is>
          <t>2017-08-22</t>
        </is>
      </c>
      <c r="C1108" t="inlineStr">
        <is>
          <t>2017-08</t>
        </is>
      </c>
      <c r="D1108" t="inlineStr">
        <is>
          <t>SP</t>
        </is>
      </c>
      <c r="E1108" t="inlineStr">
        <is>
          <t>books_general_interest</t>
        </is>
      </c>
      <c r="F1108" t="n">
        <v>1</v>
      </c>
      <c r="G1108" t="n">
        <v>27.92</v>
      </c>
      <c r="H1108" t="n">
        <v>9.94</v>
      </c>
      <c r="I1108" t="inlineStr">
        <is>
          <t>credit_card</t>
        </is>
      </c>
      <c r="J1108" t="n">
        <v>3</v>
      </c>
      <c r="K1108" t="inlineStr">
        <is>
          <t>On Time</t>
        </is>
      </c>
      <c r="L1108" t="n">
        <v>5</v>
      </c>
      <c r="M1108">
        <f>VLOOKUP(D1108,State_Lookup!$A$2:$B$28,2,FALSE)</f>
        <v/>
      </c>
    </row>
    <row r="1109">
      <c r="A1109" t="inlineStr">
        <is>
          <t>2cf60e81bd122e58c99e87fa99fd24cb</t>
        </is>
      </c>
      <c r="B1109" t="inlineStr">
        <is>
          <t>2017-08-22</t>
        </is>
      </c>
      <c r="C1109" t="inlineStr">
        <is>
          <t>2017-08</t>
        </is>
      </c>
      <c r="D1109" t="inlineStr">
        <is>
          <t>PE</t>
        </is>
      </c>
      <c r="E1109" t="inlineStr">
        <is>
          <t>furniture_living_room</t>
        </is>
      </c>
      <c r="F1109" t="n">
        <v>1</v>
      </c>
      <c r="G1109" t="n">
        <v>79.90000000000001</v>
      </c>
      <c r="H1109" t="n">
        <v>25.84</v>
      </c>
      <c r="I1109" t="inlineStr">
        <is>
          <t>credit_card</t>
        </is>
      </c>
      <c r="J1109" t="n">
        <v>21</v>
      </c>
      <c r="K1109" t="inlineStr">
        <is>
          <t>On Time</t>
        </is>
      </c>
      <c r="L1109" t="n">
        <v>5</v>
      </c>
      <c r="M1109">
        <f>VLOOKUP(D1109,State_Lookup!$A$2:$B$28,2,FALSE)</f>
        <v/>
      </c>
    </row>
    <row r="1110">
      <c r="A1110" t="inlineStr">
        <is>
          <t>046ce63db7db8b9160b6231429c8ea66</t>
        </is>
      </c>
      <c r="B1110" t="inlineStr">
        <is>
          <t>2017-08-23</t>
        </is>
      </c>
      <c r="C1110" t="inlineStr">
        <is>
          <t>2017-08</t>
        </is>
      </c>
      <c r="D1110" t="inlineStr">
        <is>
          <t>PI</t>
        </is>
      </c>
      <c r="E1110" t="inlineStr">
        <is>
          <t>unknown</t>
        </is>
      </c>
      <c r="F1110" t="n">
        <v>1</v>
      </c>
      <c r="G1110" t="n">
        <v>115</v>
      </c>
      <c r="H1110" t="n">
        <v>34.61</v>
      </c>
      <c r="I1110" t="inlineStr">
        <is>
          <t>credit_card</t>
        </is>
      </c>
      <c r="J1110" t="n">
        <v>22</v>
      </c>
      <c r="K1110" t="inlineStr">
        <is>
          <t>On Time</t>
        </is>
      </c>
      <c r="L1110" t="n">
        <v>4</v>
      </c>
      <c r="M1110">
        <f>VLOOKUP(D1110,State_Lookup!$A$2:$B$28,2,FALSE)</f>
        <v/>
      </c>
    </row>
    <row r="1111">
      <c r="A1111" t="inlineStr">
        <is>
          <t>5f71bc83356f39cf9e9b8004f39a989a</t>
        </is>
      </c>
      <c r="B1111" t="inlineStr">
        <is>
          <t>2017-08-23</t>
        </is>
      </c>
      <c r="C1111" t="inlineStr">
        <is>
          <t>2017-08</t>
        </is>
      </c>
      <c r="D1111" t="inlineStr">
        <is>
          <t>ES</t>
        </is>
      </c>
      <c r="E1111" t="inlineStr">
        <is>
          <t>furniture_decor</t>
        </is>
      </c>
      <c r="F1111" t="n">
        <v>1</v>
      </c>
      <c r="G1111" t="n">
        <v>199.94</v>
      </c>
      <c r="H1111" t="n">
        <v>41.79</v>
      </c>
      <c r="I1111" t="inlineStr">
        <is>
          <t>boleto</t>
        </is>
      </c>
      <c r="J1111" t="n">
        <v>19</v>
      </c>
      <c r="K1111" t="inlineStr">
        <is>
          <t>On Time</t>
        </is>
      </c>
      <c r="L1111" t="n">
        <v>4</v>
      </c>
      <c r="M1111">
        <f>VLOOKUP(D1111,State_Lookup!$A$2:$B$28,2,FALSE)</f>
        <v/>
      </c>
    </row>
    <row r="1112">
      <c r="A1112" t="inlineStr">
        <is>
          <t>80b0bd0c8f8cb86ae0c2dddb11693b07</t>
        </is>
      </c>
      <c r="B1112" t="inlineStr">
        <is>
          <t>2017-08-23</t>
        </is>
      </c>
      <c r="C1112" t="inlineStr">
        <is>
          <t>2017-08</t>
        </is>
      </c>
      <c r="D1112" t="inlineStr">
        <is>
          <t>SP</t>
        </is>
      </c>
      <c r="E1112" t="inlineStr">
        <is>
          <t>bed_bath_table</t>
        </is>
      </c>
      <c r="F1112" t="n">
        <v>1</v>
      </c>
      <c r="G1112" t="n">
        <v>164.9</v>
      </c>
      <c r="H1112" t="n">
        <v>12.36</v>
      </c>
      <c r="I1112" t="inlineStr">
        <is>
          <t>boleto</t>
        </is>
      </c>
      <c r="J1112" t="n">
        <v>9</v>
      </c>
      <c r="K1112" t="inlineStr">
        <is>
          <t>On Time</t>
        </is>
      </c>
      <c r="L1112" t="n">
        <v>5</v>
      </c>
      <c r="M1112">
        <f>VLOOKUP(D1112,State_Lookup!$A$2:$B$28,2,FALSE)</f>
        <v/>
      </c>
    </row>
    <row r="1113">
      <c r="A1113" t="inlineStr">
        <is>
          <t>aa32183a575c0f3e9a0f2cfae712d030</t>
        </is>
      </c>
      <c r="B1113" t="inlineStr">
        <is>
          <t>2017-08-23</t>
        </is>
      </c>
      <c r="C1113" t="inlineStr">
        <is>
          <t>2017-08</t>
        </is>
      </c>
      <c r="D1113" t="inlineStr">
        <is>
          <t>RS</t>
        </is>
      </c>
      <c r="E1113" t="inlineStr">
        <is>
          <t>sports_leisure</t>
        </is>
      </c>
      <c r="F1113" t="n">
        <v>1</v>
      </c>
      <c r="G1113" t="n">
        <v>69.90000000000001</v>
      </c>
      <c r="H1113" t="n">
        <v>20.98</v>
      </c>
      <c r="I1113" t="inlineStr">
        <is>
          <t>credit_card</t>
        </is>
      </c>
      <c r="J1113" t="n">
        <v>14</v>
      </c>
      <c r="K1113" t="inlineStr">
        <is>
          <t>On Time</t>
        </is>
      </c>
      <c r="L1113" t="n">
        <v>1</v>
      </c>
      <c r="M1113">
        <f>VLOOKUP(D1113,State_Lookup!$A$2:$B$28,2,FALSE)</f>
        <v/>
      </c>
    </row>
    <row r="1114">
      <c r="A1114" t="inlineStr">
        <is>
          <t>bb23ee96defc419b4137ae66d0c0e44e</t>
        </is>
      </c>
      <c r="B1114" t="inlineStr">
        <is>
          <t>2017-08-23</t>
        </is>
      </c>
      <c r="C1114" t="inlineStr">
        <is>
          <t>2017-08</t>
        </is>
      </c>
      <c r="D1114" t="inlineStr">
        <is>
          <t>RS</t>
        </is>
      </c>
      <c r="E1114" t="inlineStr">
        <is>
          <t>auto</t>
        </is>
      </c>
      <c r="F1114" t="n">
        <v>1</v>
      </c>
      <c r="G1114" t="n">
        <v>29.9</v>
      </c>
      <c r="H1114" t="n">
        <v>16.11</v>
      </c>
      <c r="I1114" t="inlineStr">
        <is>
          <t>credit_card</t>
        </is>
      </c>
      <c r="J1114" t="n">
        <v>19</v>
      </c>
      <c r="K1114" t="inlineStr">
        <is>
          <t>On Time</t>
        </is>
      </c>
      <c r="L1114" t="n">
        <v>5</v>
      </c>
      <c r="M1114">
        <f>VLOOKUP(D1114,State_Lookup!$A$2:$B$28,2,FALSE)</f>
        <v/>
      </c>
    </row>
    <row r="1115">
      <c r="A1115" t="inlineStr">
        <is>
          <t>27d7ae4ad298e3686566ac8e9ff928e5</t>
        </is>
      </c>
      <c r="B1115" t="inlineStr">
        <is>
          <t>2017-08-24</t>
        </is>
      </c>
      <c r="C1115" t="inlineStr">
        <is>
          <t>2017-08</t>
        </is>
      </c>
      <c r="D1115" t="inlineStr">
        <is>
          <t>PA</t>
        </is>
      </c>
      <c r="E1115" t="inlineStr">
        <is>
          <t>telephony</t>
        </is>
      </c>
      <c r="F1115" t="n">
        <v>1</v>
      </c>
      <c r="G1115" t="n">
        <v>140</v>
      </c>
      <c r="H1115" t="n">
        <v>26.01</v>
      </c>
      <c r="I1115" t="inlineStr">
        <is>
          <t>credit_card</t>
        </is>
      </c>
      <c r="J1115" t="n">
        <v>36</v>
      </c>
      <c r="K1115" t="inlineStr">
        <is>
          <t>On Time</t>
        </is>
      </c>
      <c r="L1115" t="n">
        <v>5</v>
      </c>
      <c r="M1115">
        <f>VLOOKUP(D1115,State_Lookup!$A$2:$B$28,2,FALSE)</f>
        <v/>
      </c>
    </row>
    <row r="1116">
      <c r="A1116" t="inlineStr">
        <is>
          <t>7c018c94d1f3d9ac7affec4cde6e111f</t>
        </is>
      </c>
      <c r="B1116" t="inlineStr">
        <is>
          <t>2017-08-24</t>
        </is>
      </c>
      <c r="C1116" t="inlineStr">
        <is>
          <t>2017-08</t>
        </is>
      </c>
      <c r="D1116" t="inlineStr">
        <is>
          <t>RO</t>
        </is>
      </c>
      <c r="E1116" t="inlineStr">
        <is>
          <t>bed_bath_table</t>
        </is>
      </c>
      <c r="F1116" t="n">
        <v>1</v>
      </c>
      <c r="G1116" t="n">
        <v>117.99</v>
      </c>
      <c r="H1116" t="n">
        <v>43.24</v>
      </c>
      <c r="I1116" t="inlineStr">
        <is>
          <t>boleto</t>
        </is>
      </c>
      <c r="J1116" t="n">
        <v>21</v>
      </c>
      <c r="K1116" t="inlineStr">
        <is>
          <t>On Time</t>
        </is>
      </c>
      <c r="L1116" t="n">
        <v>5</v>
      </c>
      <c r="M1116">
        <f>VLOOKUP(D1116,State_Lookup!$A$2:$B$28,2,FALSE)</f>
        <v/>
      </c>
    </row>
    <row r="1117">
      <c r="A1117" t="inlineStr">
        <is>
          <t>6149716112b7db1b76332e704d944cbb</t>
        </is>
      </c>
      <c r="B1117" t="inlineStr">
        <is>
          <t>2017-08-24</t>
        </is>
      </c>
      <c r="C1117" t="inlineStr">
        <is>
          <t>2017-08</t>
        </is>
      </c>
      <c r="D1117" t="inlineStr">
        <is>
          <t>SP</t>
        </is>
      </c>
      <c r="E1117" t="inlineStr">
        <is>
          <t>furniture_decor</t>
        </is>
      </c>
      <c r="F1117" t="n">
        <v>1</v>
      </c>
      <c r="G1117" t="n">
        <v>49.9</v>
      </c>
      <c r="H1117" t="n">
        <v>11.85</v>
      </c>
      <c r="I1117" t="inlineStr">
        <is>
          <t>boleto</t>
        </is>
      </c>
      <c r="J1117" t="n">
        <v>4</v>
      </c>
      <c r="K1117" t="inlineStr">
        <is>
          <t>On Time</t>
        </is>
      </c>
      <c r="L1117" t="n">
        <v>5</v>
      </c>
      <c r="M1117">
        <f>VLOOKUP(D1117,State_Lookup!$A$2:$B$28,2,FALSE)</f>
        <v/>
      </c>
    </row>
    <row r="1118">
      <c r="A1118" t="inlineStr">
        <is>
          <t>bc46a904b86fbf6c3d2f49a74fab7e66</t>
        </is>
      </c>
      <c r="B1118" t="inlineStr">
        <is>
          <t>2017-08-24</t>
        </is>
      </c>
      <c r="C1118" t="inlineStr">
        <is>
          <t>2017-08</t>
        </is>
      </c>
      <c r="D1118" t="inlineStr">
        <is>
          <t>SP</t>
        </is>
      </c>
      <c r="E1118" t="inlineStr">
        <is>
          <t>furniture_decor</t>
        </is>
      </c>
      <c r="F1118" t="n">
        <v>1</v>
      </c>
      <c r="G1118" t="n">
        <v>55</v>
      </c>
      <c r="H1118" t="n">
        <v>13.41</v>
      </c>
      <c r="I1118" t="inlineStr">
        <is>
          <t>credit_card</t>
        </is>
      </c>
      <c r="J1118" t="n">
        <v>12</v>
      </c>
      <c r="K1118" t="inlineStr">
        <is>
          <t>On Time</t>
        </is>
      </c>
      <c r="L1118" t="n">
        <v>5</v>
      </c>
      <c r="M1118">
        <f>VLOOKUP(D1118,State_Lookup!$A$2:$B$28,2,FALSE)</f>
        <v/>
      </c>
    </row>
    <row r="1119">
      <c r="A1119" t="inlineStr">
        <is>
          <t>42769a5163a34297f4458dbccf206b36</t>
        </is>
      </c>
      <c r="B1119" t="inlineStr">
        <is>
          <t>2017-08-24</t>
        </is>
      </c>
      <c r="C1119" t="inlineStr">
        <is>
          <t>2017-08</t>
        </is>
      </c>
      <c r="D1119" t="inlineStr">
        <is>
          <t>RJ</t>
        </is>
      </c>
      <c r="E1119" t="inlineStr">
        <is>
          <t>bed_bath_table</t>
        </is>
      </c>
      <c r="F1119" t="n">
        <v>1</v>
      </c>
      <c r="G1119" t="n">
        <v>99.98999999999999</v>
      </c>
      <c r="H1119" t="n">
        <v>25.54</v>
      </c>
      <c r="I1119" t="inlineStr">
        <is>
          <t>credit_card</t>
        </is>
      </c>
      <c r="J1119" t="n">
        <v>12</v>
      </c>
      <c r="K1119" t="inlineStr">
        <is>
          <t>On Time</t>
        </is>
      </c>
      <c r="L1119" t="n">
        <v>5</v>
      </c>
      <c r="M1119">
        <f>VLOOKUP(D1119,State_Lookup!$A$2:$B$28,2,FALSE)</f>
        <v/>
      </c>
    </row>
    <row r="1120">
      <c r="A1120" t="inlineStr">
        <is>
          <t>2fc8432d4f906403e2bf04d81163b220</t>
        </is>
      </c>
      <c r="B1120" t="inlineStr">
        <is>
          <t>2017-08-24</t>
        </is>
      </c>
      <c r="C1120" t="inlineStr">
        <is>
          <t>2017-08</t>
        </is>
      </c>
      <c r="D1120" t="inlineStr">
        <is>
          <t>SP</t>
        </is>
      </c>
      <c r="E1120" t="inlineStr">
        <is>
          <t>consoles_games</t>
        </is>
      </c>
      <c r="F1120" t="n">
        <v>1</v>
      </c>
      <c r="G1120" t="n">
        <v>19.9</v>
      </c>
      <c r="H1120" t="n">
        <v>11.85</v>
      </c>
      <c r="I1120" t="inlineStr">
        <is>
          <t>credit_card</t>
        </is>
      </c>
      <c r="J1120" t="n">
        <v>13</v>
      </c>
      <c r="K1120" t="inlineStr">
        <is>
          <t>On Time</t>
        </is>
      </c>
      <c r="L1120" t="n">
        <v>3</v>
      </c>
      <c r="M1120">
        <f>VLOOKUP(D1120,State_Lookup!$A$2:$B$28,2,FALSE)</f>
        <v/>
      </c>
    </row>
    <row r="1121">
      <c r="A1121" t="inlineStr">
        <is>
          <t>5f49f31e537f8f1a496454b48edbe34d</t>
        </is>
      </c>
      <c r="B1121" t="inlineStr">
        <is>
          <t>2017-08-24</t>
        </is>
      </c>
      <c r="C1121" t="inlineStr">
        <is>
          <t>2017-08</t>
        </is>
      </c>
      <c r="D1121" t="inlineStr">
        <is>
          <t>SP</t>
        </is>
      </c>
      <c r="E1121" t="inlineStr">
        <is>
          <t>housewares</t>
        </is>
      </c>
      <c r="F1121" t="n">
        <v>2</v>
      </c>
      <c r="G1121" t="n">
        <v>56.7</v>
      </c>
      <c r="H1121" t="n">
        <v>70.75</v>
      </c>
      <c r="I1121" t="inlineStr">
        <is>
          <t>credit_card</t>
        </is>
      </c>
      <c r="J1121" t="n">
        <v>4</v>
      </c>
      <c r="K1121" t="inlineStr">
        <is>
          <t>On Time</t>
        </is>
      </c>
      <c r="L1121" t="n">
        <v>1</v>
      </c>
      <c r="M1121">
        <f>VLOOKUP(D1121,State_Lookup!$A$2:$B$28,2,FALSE)</f>
        <v/>
      </c>
    </row>
    <row r="1122">
      <c r="A1122" t="inlineStr">
        <is>
          <t>ca860fbc7c3132b89e9e134a00652215</t>
        </is>
      </c>
      <c r="B1122" t="inlineStr">
        <is>
          <t>2017-08-25</t>
        </is>
      </c>
      <c r="C1122" t="inlineStr">
        <is>
          <t>2017-08</t>
        </is>
      </c>
      <c r="D1122" t="inlineStr">
        <is>
          <t>RJ</t>
        </is>
      </c>
      <c r="E1122" t="inlineStr">
        <is>
          <t>bed_bath_table</t>
        </is>
      </c>
      <c r="F1122" t="n">
        <v>1</v>
      </c>
      <c r="G1122" t="n">
        <v>195</v>
      </c>
      <c r="H1122" t="n">
        <v>0</v>
      </c>
      <c r="I1122" t="inlineStr">
        <is>
          <t>boleto</t>
        </is>
      </c>
      <c r="J1122" t="n">
        <v>17</v>
      </c>
      <c r="K1122" t="inlineStr">
        <is>
          <t>On Time</t>
        </is>
      </c>
      <c r="L1122" t="n">
        <v>2</v>
      </c>
      <c r="M1122">
        <f>VLOOKUP(D1122,State_Lookup!$A$2:$B$28,2,FALSE)</f>
        <v/>
      </c>
    </row>
    <row r="1123">
      <c r="A1123" t="inlineStr">
        <is>
          <t>4e7994addb0e4622199601af5b9c9ed3</t>
        </is>
      </c>
      <c r="B1123" t="inlineStr">
        <is>
          <t>2017-08-25</t>
        </is>
      </c>
      <c r="C1123" t="inlineStr">
        <is>
          <t>2017-08</t>
        </is>
      </c>
      <c r="D1123" t="inlineStr">
        <is>
          <t>RJ</t>
        </is>
      </c>
      <c r="E1123" t="inlineStr">
        <is>
          <t>housewares</t>
        </is>
      </c>
      <c r="F1123" t="n">
        <v>1</v>
      </c>
      <c r="G1123" t="n">
        <v>34.9</v>
      </c>
      <c r="H1123" t="n">
        <v>14.1</v>
      </c>
      <c r="I1123" t="inlineStr">
        <is>
          <t>boleto</t>
        </is>
      </c>
      <c r="J1123" t="n">
        <v>12</v>
      </c>
      <c r="K1123" t="inlineStr">
        <is>
          <t>On Time</t>
        </is>
      </c>
      <c r="L1123" t="n">
        <v>5</v>
      </c>
      <c r="M1123">
        <f>VLOOKUP(D1123,State_Lookup!$A$2:$B$28,2,FALSE)</f>
        <v/>
      </c>
    </row>
    <row r="1124">
      <c r="A1124" t="inlineStr">
        <is>
          <t>18dd3f41a84cc95b6106008449cba262</t>
        </is>
      </c>
      <c r="B1124" t="inlineStr">
        <is>
          <t>2017-08-25</t>
        </is>
      </c>
      <c r="C1124" t="inlineStr">
        <is>
          <t>2017-08</t>
        </is>
      </c>
      <c r="D1124" t="inlineStr">
        <is>
          <t>MT</t>
        </is>
      </c>
      <c r="E1124" t="inlineStr">
        <is>
          <t>health_beauty</t>
        </is>
      </c>
      <c r="F1124" t="n">
        <v>1</v>
      </c>
      <c r="G1124" t="n">
        <v>84.98999999999999</v>
      </c>
      <c r="H1124" t="n">
        <v>17.03</v>
      </c>
      <c r="I1124" t="inlineStr">
        <is>
          <t>boleto</t>
        </is>
      </c>
      <c r="J1124" t="n">
        <v>26</v>
      </c>
      <c r="K1124" t="inlineStr">
        <is>
          <t>On Time</t>
        </is>
      </c>
      <c r="L1124" t="n">
        <v>4</v>
      </c>
      <c r="M1124">
        <f>VLOOKUP(D1124,State_Lookup!$A$2:$B$28,2,FALSE)</f>
        <v/>
      </c>
    </row>
    <row r="1125">
      <c r="A1125" t="inlineStr">
        <is>
          <t>aadd5a22c7d1dd16b1fe905a302d70e2</t>
        </is>
      </c>
      <c r="B1125" t="inlineStr">
        <is>
          <t>2017-08-25</t>
        </is>
      </c>
      <c r="C1125" t="inlineStr">
        <is>
          <t>2017-08</t>
        </is>
      </c>
      <c r="D1125" t="inlineStr">
        <is>
          <t>SP</t>
        </is>
      </c>
      <c r="E1125" t="inlineStr">
        <is>
          <t>bed_bath_table</t>
        </is>
      </c>
      <c r="F1125" t="n">
        <v>1</v>
      </c>
      <c r="G1125" t="n">
        <v>105.6</v>
      </c>
      <c r="H1125" t="n">
        <v>13.08</v>
      </c>
      <c r="I1125" t="inlineStr">
        <is>
          <t>boleto</t>
        </is>
      </c>
      <c r="J1125" t="n">
        <v>19</v>
      </c>
      <c r="K1125" t="inlineStr">
        <is>
          <t>On Time</t>
        </is>
      </c>
      <c r="L1125" t="n">
        <v>5</v>
      </c>
      <c r="M1125">
        <f>VLOOKUP(D1125,State_Lookup!$A$2:$B$28,2,FALSE)</f>
        <v/>
      </c>
    </row>
    <row r="1126">
      <c r="A1126" t="inlineStr">
        <is>
          <t>397e13bec7fab1213075383e4cdd11f7</t>
        </is>
      </c>
      <c r="B1126" t="inlineStr">
        <is>
          <t>2017-08-25</t>
        </is>
      </c>
      <c r="C1126" t="inlineStr">
        <is>
          <t>2017-08</t>
        </is>
      </c>
      <c r="D1126" t="inlineStr">
        <is>
          <t>PA</t>
        </is>
      </c>
      <c r="E1126" t="inlineStr">
        <is>
          <t>bed_bath_table</t>
        </is>
      </c>
      <c r="F1126" t="n">
        <v>1</v>
      </c>
      <c r="G1126" t="n">
        <v>395</v>
      </c>
      <c r="H1126" t="n">
        <v>28.05</v>
      </c>
      <c r="I1126" t="inlineStr">
        <is>
          <t>credit_card</t>
        </is>
      </c>
      <c r="J1126" t="n">
        <v>24</v>
      </c>
      <c r="K1126" t="inlineStr">
        <is>
          <t>On Time</t>
        </is>
      </c>
      <c r="L1126" t="n">
        <v>5</v>
      </c>
      <c r="M1126">
        <f>VLOOKUP(D1126,State_Lookup!$A$2:$B$28,2,FALSE)</f>
        <v/>
      </c>
    </row>
    <row r="1127">
      <c r="A1127" t="inlineStr">
        <is>
          <t>74d77b51e4f28bc2b7a17ec496e2dff6</t>
        </is>
      </c>
      <c r="B1127" t="inlineStr">
        <is>
          <t>2017-08-25</t>
        </is>
      </c>
      <c r="C1127" t="inlineStr">
        <is>
          <t>2017-08</t>
        </is>
      </c>
      <c r="D1127" t="inlineStr">
        <is>
          <t>MT</t>
        </is>
      </c>
      <c r="E1127" t="inlineStr">
        <is>
          <t>health_beauty</t>
        </is>
      </c>
      <c r="F1127" t="n">
        <v>1</v>
      </c>
      <c r="G1127" t="n">
        <v>67.90000000000001</v>
      </c>
      <c r="H1127" t="n">
        <v>19.72</v>
      </c>
      <c r="I1127" t="inlineStr">
        <is>
          <t>credit_card</t>
        </is>
      </c>
      <c r="J1127" t="n">
        <v>19</v>
      </c>
      <c r="K1127" t="inlineStr">
        <is>
          <t>On Time</t>
        </is>
      </c>
      <c r="L1127" t="n">
        <v>5</v>
      </c>
      <c r="M1127">
        <f>VLOOKUP(D1127,State_Lookup!$A$2:$B$28,2,FALSE)</f>
        <v/>
      </c>
    </row>
    <row r="1128">
      <c r="A1128" t="inlineStr">
        <is>
          <t>139dbedc84f28f9d9da423fb52a57f80</t>
        </is>
      </c>
      <c r="B1128" t="inlineStr">
        <is>
          <t>2017-08-26</t>
        </is>
      </c>
      <c r="C1128" t="inlineStr">
        <is>
          <t>2017-08</t>
        </is>
      </c>
      <c r="D1128" t="inlineStr">
        <is>
          <t>BA</t>
        </is>
      </c>
      <c r="E1128" t="inlineStr">
        <is>
          <t>perfumery</t>
        </is>
      </c>
      <c r="F1128" t="n">
        <v>1</v>
      </c>
      <c r="G1128" t="n">
        <v>129.9</v>
      </c>
      <c r="H1128" t="n">
        <v>23.78</v>
      </c>
      <c r="I1128" t="inlineStr">
        <is>
          <t>credit_card</t>
        </is>
      </c>
      <c r="J1128" t="n">
        <v>13</v>
      </c>
      <c r="K1128" t="inlineStr">
        <is>
          <t>On Time</t>
        </is>
      </c>
      <c r="L1128" t="n">
        <v>5</v>
      </c>
      <c r="M1128">
        <f>VLOOKUP(D1128,State_Lookup!$A$2:$B$28,2,FALSE)</f>
        <v/>
      </c>
    </row>
    <row r="1129">
      <c r="A1129" t="inlineStr">
        <is>
          <t>371f13dd168ce30a881e0db8cf3929fb</t>
        </is>
      </c>
      <c r="B1129" t="inlineStr">
        <is>
          <t>2017-08-26</t>
        </is>
      </c>
      <c r="C1129" t="inlineStr">
        <is>
          <t>2017-08</t>
        </is>
      </c>
      <c r="D1129" t="inlineStr">
        <is>
          <t>MA</t>
        </is>
      </c>
      <c r="E1129" t="inlineStr">
        <is>
          <t>home_confort</t>
        </is>
      </c>
      <c r="F1129" t="n">
        <v>1</v>
      </c>
      <c r="G1129" t="n">
        <v>599</v>
      </c>
      <c r="H1129" t="n">
        <v>66.87</v>
      </c>
      <c r="I1129" t="inlineStr">
        <is>
          <t>credit_card</t>
        </is>
      </c>
      <c r="J1129" t="n">
        <v>17</v>
      </c>
      <c r="K1129" t="inlineStr">
        <is>
          <t>On Time</t>
        </is>
      </c>
      <c r="L1129" t="n">
        <v>5</v>
      </c>
      <c r="M1129">
        <f>VLOOKUP(D1129,State_Lookup!$A$2:$B$28,2,FALSE)</f>
        <v/>
      </c>
    </row>
    <row r="1130">
      <c r="A1130" t="inlineStr">
        <is>
          <t>7d4bd3fbe5a300f9dc51aa3c63ad011e</t>
        </is>
      </c>
      <c r="B1130" t="inlineStr">
        <is>
          <t>2017-08-26</t>
        </is>
      </c>
      <c r="C1130" t="inlineStr">
        <is>
          <t>2017-08</t>
        </is>
      </c>
      <c r="D1130" t="inlineStr">
        <is>
          <t>SP</t>
        </is>
      </c>
      <c r="E1130" t="inlineStr">
        <is>
          <t>stationery</t>
        </is>
      </c>
      <c r="F1130" t="n">
        <v>1</v>
      </c>
      <c r="G1130" t="n">
        <v>59.9</v>
      </c>
      <c r="H1130" t="n">
        <v>25.26</v>
      </c>
      <c r="I1130" t="inlineStr">
        <is>
          <t>boleto</t>
        </is>
      </c>
      <c r="J1130" t="n">
        <v>6</v>
      </c>
      <c r="K1130" t="inlineStr">
        <is>
          <t>On Time</t>
        </is>
      </c>
      <c r="L1130" t="n">
        <v>5</v>
      </c>
      <c r="M1130">
        <f>VLOOKUP(D1130,State_Lookup!$A$2:$B$28,2,FALSE)</f>
        <v/>
      </c>
    </row>
    <row r="1131">
      <c r="A1131" t="inlineStr">
        <is>
          <t>b132b4c680aad57c36a5686db90d88d5</t>
        </is>
      </c>
      <c r="B1131" t="inlineStr">
        <is>
          <t>2017-08-26</t>
        </is>
      </c>
      <c r="C1131" t="inlineStr">
        <is>
          <t>2017-08</t>
        </is>
      </c>
      <c r="D1131" t="inlineStr">
        <is>
          <t>SP</t>
        </is>
      </c>
      <c r="E1131" t="inlineStr">
        <is>
          <t>cool_stuff</t>
        </is>
      </c>
      <c r="F1131" t="n">
        <v>1</v>
      </c>
      <c r="G1131" t="n">
        <v>129.99</v>
      </c>
      <c r="H1131" t="n">
        <v>12.11</v>
      </c>
      <c r="I1131" t="inlineStr">
        <is>
          <t>credit_card</t>
        </is>
      </c>
      <c r="J1131" t="n">
        <v>5</v>
      </c>
      <c r="K1131" t="inlineStr">
        <is>
          <t>On Time</t>
        </is>
      </c>
      <c r="L1131" t="n">
        <v>4</v>
      </c>
      <c r="M1131">
        <f>VLOOKUP(D1131,State_Lookup!$A$2:$B$28,2,FALSE)</f>
        <v/>
      </c>
    </row>
    <row r="1132">
      <c r="A1132" t="inlineStr">
        <is>
          <t>13506ea47f50a6c01fa3dce68138ee1f</t>
        </is>
      </c>
      <c r="B1132" t="inlineStr">
        <is>
          <t>2017-08-26</t>
        </is>
      </c>
      <c r="C1132" t="inlineStr">
        <is>
          <t>2017-08</t>
        </is>
      </c>
      <c r="D1132" t="inlineStr">
        <is>
          <t>AL</t>
        </is>
      </c>
      <c r="E1132" t="inlineStr">
        <is>
          <t>garden_tools</t>
        </is>
      </c>
      <c r="F1132" t="n">
        <v>1</v>
      </c>
      <c r="G1132" t="n">
        <v>59.9</v>
      </c>
      <c r="H1132" t="n">
        <v>37.97</v>
      </c>
      <c r="I1132" t="inlineStr">
        <is>
          <t>credit_card</t>
        </is>
      </c>
      <c r="J1132" t="n">
        <v>18</v>
      </c>
      <c r="K1132" t="inlineStr">
        <is>
          <t>On Time</t>
        </is>
      </c>
      <c r="L1132" t="n">
        <v>4</v>
      </c>
      <c r="M1132">
        <f>VLOOKUP(D1132,State_Lookup!$A$2:$B$28,2,FALSE)</f>
        <v/>
      </c>
    </row>
    <row r="1133">
      <c r="A1133" t="inlineStr">
        <is>
          <t>568e71250d146ee4bf4b6f85617c6843</t>
        </is>
      </c>
      <c r="B1133" t="inlineStr">
        <is>
          <t>2017-08-27</t>
        </is>
      </c>
      <c r="C1133" t="inlineStr">
        <is>
          <t>2017-08</t>
        </is>
      </c>
      <c r="D1133" t="inlineStr">
        <is>
          <t>SP</t>
        </is>
      </c>
      <c r="E1133" t="inlineStr">
        <is>
          <t>unknown</t>
        </is>
      </c>
      <c r="F1133" t="n">
        <v>1</v>
      </c>
      <c r="G1133" t="n">
        <v>39.9</v>
      </c>
      <c r="H1133" t="n">
        <v>14.1</v>
      </c>
      <c r="I1133" t="inlineStr">
        <is>
          <t>voucher</t>
        </is>
      </c>
      <c r="J1133" t="n">
        <v>7</v>
      </c>
      <c r="K1133" t="inlineStr">
        <is>
          <t>On Time</t>
        </is>
      </c>
      <c r="L1133" t="n">
        <v>5</v>
      </c>
      <c r="M1133">
        <f>VLOOKUP(D1133,State_Lookup!$A$2:$B$28,2,FALSE)</f>
        <v/>
      </c>
    </row>
    <row r="1134">
      <c r="A1134" t="inlineStr">
        <is>
          <t>db869ac5d1058a4b8528b9006d73ad06</t>
        </is>
      </c>
      <c r="B1134" t="inlineStr">
        <is>
          <t>2017-08-27</t>
        </is>
      </c>
      <c r="C1134" t="inlineStr">
        <is>
          <t>2017-08</t>
        </is>
      </c>
      <c r="D1134" t="inlineStr">
        <is>
          <t>BA</t>
        </is>
      </c>
      <c r="E1134" t="inlineStr">
        <is>
          <t>cool_stuff</t>
        </is>
      </c>
      <c r="F1134" t="n">
        <v>1</v>
      </c>
      <c r="G1134" t="n">
        <v>599</v>
      </c>
      <c r="H1134" t="n">
        <v>72.34</v>
      </c>
      <c r="I1134" t="inlineStr">
        <is>
          <t>credit_card</t>
        </is>
      </c>
      <c r="J1134" t="n">
        <v>24</v>
      </c>
      <c r="K1134" t="inlineStr">
        <is>
          <t>On Time</t>
        </is>
      </c>
      <c r="L1134" t="n">
        <v>5</v>
      </c>
      <c r="M1134">
        <f>VLOOKUP(D1134,State_Lookup!$A$2:$B$28,2,FALSE)</f>
        <v/>
      </c>
    </row>
    <row r="1135">
      <c r="A1135" t="inlineStr">
        <is>
          <t>241592e5920372dd08fcb5c8c6fbac75</t>
        </is>
      </c>
      <c r="B1135" t="inlineStr">
        <is>
          <t>2017-08-27</t>
        </is>
      </c>
      <c r="C1135" t="inlineStr">
        <is>
          <t>2017-08</t>
        </is>
      </c>
      <c r="D1135" t="inlineStr">
        <is>
          <t>MG</t>
        </is>
      </c>
      <c r="E1135" t="inlineStr">
        <is>
          <t>bed_bath_table</t>
        </is>
      </c>
      <c r="F1135" t="n">
        <v>1</v>
      </c>
      <c r="G1135" t="n">
        <v>67.09999999999999</v>
      </c>
      <c r="H1135" t="n">
        <v>15.22</v>
      </c>
      <c r="I1135" t="inlineStr">
        <is>
          <t>boleto</t>
        </is>
      </c>
      <c r="J1135" t="n">
        <v>15</v>
      </c>
      <c r="K1135" t="inlineStr">
        <is>
          <t>On Time</t>
        </is>
      </c>
      <c r="L1135" t="n">
        <v>3</v>
      </c>
      <c r="M1135">
        <f>VLOOKUP(D1135,State_Lookup!$A$2:$B$28,2,FALSE)</f>
        <v/>
      </c>
    </row>
    <row r="1136">
      <c r="A1136" t="inlineStr">
        <is>
          <t>c52d67553f681ea84724bf36d9fb13c8</t>
        </is>
      </c>
      <c r="B1136" t="inlineStr">
        <is>
          <t>2017-08-27</t>
        </is>
      </c>
      <c r="C1136" t="inlineStr">
        <is>
          <t>2017-08</t>
        </is>
      </c>
      <c r="D1136" t="inlineStr">
        <is>
          <t>SC</t>
        </is>
      </c>
      <c r="E1136" t="inlineStr">
        <is>
          <t>sports_leisure</t>
        </is>
      </c>
      <c r="F1136" t="n">
        <v>1</v>
      </c>
      <c r="G1136" t="n">
        <v>645</v>
      </c>
      <c r="H1136" t="n">
        <v>19.26</v>
      </c>
      <c r="I1136" t="inlineStr">
        <is>
          <t>credit_card</t>
        </is>
      </c>
      <c r="J1136" t="n">
        <v>24</v>
      </c>
      <c r="K1136" t="inlineStr">
        <is>
          <t>On Time</t>
        </is>
      </c>
      <c r="L1136" t="n">
        <v>3</v>
      </c>
      <c r="M1136">
        <f>VLOOKUP(D1136,State_Lookup!$A$2:$B$28,2,FALSE)</f>
        <v/>
      </c>
    </row>
    <row r="1137">
      <c r="A1137" t="inlineStr">
        <is>
          <t>15fc22aad8d1b227891ce61eff4128cd</t>
        </is>
      </c>
      <c r="B1137" t="inlineStr">
        <is>
          <t>2017-08-27</t>
        </is>
      </c>
      <c r="C1137" t="inlineStr">
        <is>
          <t>2017-08</t>
        </is>
      </c>
      <c r="D1137" t="inlineStr">
        <is>
          <t>RJ</t>
        </is>
      </c>
      <c r="E1137" t="inlineStr">
        <is>
          <t>furniture_decor</t>
        </is>
      </c>
      <c r="F1137" t="n">
        <v>1</v>
      </c>
      <c r="G1137" t="n">
        <v>160</v>
      </c>
      <c r="H1137" t="n">
        <v>14.87</v>
      </c>
      <c r="I1137" t="inlineStr">
        <is>
          <t>credit_card</t>
        </is>
      </c>
      <c r="J1137" t="n">
        <v>15</v>
      </c>
      <c r="K1137" t="inlineStr">
        <is>
          <t>On Time</t>
        </is>
      </c>
      <c r="L1137" t="n">
        <v>2</v>
      </c>
      <c r="M1137">
        <f>VLOOKUP(D1137,State_Lookup!$A$2:$B$28,2,FALSE)</f>
        <v/>
      </c>
    </row>
    <row r="1138">
      <c r="A1138" t="inlineStr">
        <is>
          <t>b8cfc70398c982df76df0917f55d96b9</t>
        </is>
      </c>
      <c r="B1138" t="inlineStr">
        <is>
          <t>2017-08-27</t>
        </is>
      </c>
      <c r="C1138" t="inlineStr">
        <is>
          <t>2017-08</t>
        </is>
      </c>
      <c r="D1138" t="inlineStr">
        <is>
          <t>MG</t>
        </is>
      </c>
      <c r="E1138" t="inlineStr">
        <is>
          <t>toys</t>
        </is>
      </c>
      <c r="F1138" t="n">
        <v>1</v>
      </c>
      <c r="G1138" t="n">
        <v>156.9</v>
      </c>
      <c r="H1138" t="n">
        <v>14.12</v>
      </c>
      <c r="I1138" t="inlineStr">
        <is>
          <t>credit_card</t>
        </is>
      </c>
      <c r="J1138" t="n">
        <v>5</v>
      </c>
      <c r="K1138" t="inlineStr">
        <is>
          <t>On Time</t>
        </is>
      </c>
      <c r="L1138" t="n">
        <v>5</v>
      </c>
      <c r="M1138">
        <f>VLOOKUP(D1138,State_Lookup!$A$2:$B$28,2,FALSE)</f>
        <v/>
      </c>
    </row>
    <row r="1139">
      <c r="A1139" t="inlineStr">
        <is>
          <t>60639cf6e21b03e84ac060960347b628</t>
        </is>
      </c>
      <c r="B1139" t="inlineStr">
        <is>
          <t>2017-08-27</t>
        </is>
      </c>
      <c r="C1139" t="inlineStr">
        <is>
          <t>2017-08</t>
        </is>
      </c>
      <c r="D1139" t="inlineStr">
        <is>
          <t>MG</t>
        </is>
      </c>
      <c r="E1139" t="inlineStr">
        <is>
          <t>pet_shop</t>
        </is>
      </c>
      <c r="F1139" t="n">
        <v>1</v>
      </c>
      <c r="G1139" t="n">
        <v>36.8</v>
      </c>
      <c r="H1139" t="n">
        <v>16.6</v>
      </c>
      <c r="I1139" t="inlineStr">
        <is>
          <t>credit_card</t>
        </is>
      </c>
      <c r="J1139" t="n">
        <v>13</v>
      </c>
      <c r="K1139" t="inlineStr">
        <is>
          <t>On Time</t>
        </is>
      </c>
      <c r="L1139" t="n">
        <v>3</v>
      </c>
      <c r="M1139">
        <f>VLOOKUP(D1139,State_Lookup!$A$2:$B$28,2,FALSE)</f>
        <v/>
      </c>
    </row>
    <row r="1140">
      <c r="A1140" t="inlineStr">
        <is>
          <t>9cd88e173978b7414b46e60ddc882ae2</t>
        </is>
      </c>
      <c r="B1140" t="inlineStr">
        <is>
          <t>2017-08-27</t>
        </is>
      </c>
      <c r="C1140" t="inlineStr">
        <is>
          <t>2017-08</t>
        </is>
      </c>
      <c r="D1140" t="inlineStr">
        <is>
          <t>RJ</t>
        </is>
      </c>
      <c r="E1140" t="inlineStr">
        <is>
          <t>garden_tools</t>
        </is>
      </c>
      <c r="F1140" t="n">
        <v>2</v>
      </c>
      <c r="G1140" t="n">
        <v>119.8</v>
      </c>
      <c r="H1140" t="n">
        <v>35.34</v>
      </c>
      <c r="I1140" t="inlineStr">
        <is>
          <t>credit_card</t>
        </is>
      </c>
      <c r="J1140" t="n">
        <v>9</v>
      </c>
      <c r="K1140" t="inlineStr">
        <is>
          <t>On Time</t>
        </is>
      </c>
      <c r="L1140" t="n">
        <v>5</v>
      </c>
      <c r="M1140">
        <f>VLOOKUP(D1140,State_Lookup!$A$2:$B$28,2,FALSE)</f>
        <v/>
      </c>
    </row>
    <row r="1141">
      <c r="A1141" t="inlineStr">
        <is>
          <t>26e05207defbabc549b477ecdd135e06</t>
        </is>
      </c>
      <c r="B1141" t="inlineStr">
        <is>
          <t>2017-08-28</t>
        </is>
      </c>
      <c r="C1141" t="inlineStr">
        <is>
          <t>2017-08</t>
        </is>
      </c>
      <c r="D1141" t="inlineStr">
        <is>
          <t>PE</t>
        </is>
      </c>
      <c r="E1141" t="inlineStr">
        <is>
          <t>pet_shop</t>
        </is>
      </c>
      <c r="F1141" t="n">
        <v>1</v>
      </c>
      <c r="G1141" t="n">
        <v>74.90000000000001</v>
      </c>
      <c r="H1141" t="n">
        <v>25.8</v>
      </c>
      <c r="I1141" t="inlineStr">
        <is>
          <t>credit_card</t>
        </is>
      </c>
      <c r="J1141" t="n">
        <v>7</v>
      </c>
      <c r="K1141" t="inlineStr">
        <is>
          <t>On Time</t>
        </is>
      </c>
      <c r="L1141" t="n">
        <v>3</v>
      </c>
      <c r="M1141">
        <f>VLOOKUP(D1141,State_Lookup!$A$2:$B$28,2,FALSE)</f>
        <v/>
      </c>
    </row>
    <row r="1142">
      <c r="A1142" t="inlineStr">
        <is>
          <t>e22a3e8048469ea68906f666d446c25c</t>
        </is>
      </c>
      <c r="B1142" t="inlineStr">
        <is>
          <t>2017-08-28</t>
        </is>
      </c>
      <c r="C1142" t="inlineStr">
        <is>
          <t>2017-08</t>
        </is>
      </c>
      <c r="D1142" t="inlineStr">
        <is>
          <t>SP</t>
        </is>
      </c>
      <c r="E1142" t="inlineStr">
        <is>
          <t>la_cuisine</t>
        </is>
      </c>
      <c r="F1142" t="n">
        <v>1</v>
      </c>
      <c r="G1142" t="n">
        <v>139</v>
      </c>
      <c r="H1142" t="n">
        <v>21.46</v>
      </c>
      <c r="I1142" t="inlineStr">
        <is>
          <t>credit_card</t>
        </is>
      </c>
      <c r="J1142" t="n">
        <v>8</v>
      </c>
      <c r="K1142" t="inlineStr">
        <is>
          <t>On Time</t>
        </is>
      </c>
      <c r="L1142" t="n">
        <v>5</v>
      </c>
      <c r="M1142">
        <f>VLOOKUP(D1142,State_Lookup!$A$2:$B$28,2,FALSE)</f>
        <v/>
      </c>
    </row>
    <row r="1143">
      <c r="A1143" t="inlineStr">
        <is>
          <t>bf61fe4ac0f160dc7067f5d0eb8e3bdb</t>
        </is>
      </c>
      <c r="B1143" t="inlineStr">
        <is>
          <t>2017-08-28</t>
        </is>
      </c>
      <c r="C1143" t="inlineStr">
        <is>
          <t>2017-08</t>
        </is>
      </c>
      <c r="D1143" t="inlineStr">
        <is>
          <t>SP</t>
        </is>
      </c>
      <c r="E1143" t="inlineStr">
        <is>
          <t>computers_accessories</t>
        </is>
      </c>
      <c r="F1143" t="n">
        <v>2</v>
      </c>
      <c r="G1143" t="n">
        <v>39.98</v>
      </c>
      <c r="H1143" t="n">
        <v>17.44</v>
      </c>
      <c r="I1143" t="inlineStr">
        <is>
          <t>credit_card</t>
        </is>
      </c>
      <c r="J1143" t="n">
        <v>1</v>
      </c>
      <c r="K1143" t="inlineStr">
        <is>
          <t>On Time</t>
        </is>
      </c>
      <c r="L1143" t="n">
        <v>5</v>
      </c>
      <c r="M1143">
        <f>VLOOKUP(D1143,State_Lookup!$A$2:$B$28,2,FALSE)</f>
        <v/>
      </c>
    </row>
    <row r="1144">
      <c r="A1144" t="inlineStr">
        <is>
          <t>e1f36f0422520d149a51a3e55d98b066</t>
        </is>
      </c>
      <c r="B1144" t="inlineStr">
        <is>
          <t>2017-08-28</t>
        </is>
      </c>
      <c r="C1144" t="inlineStr">
        <is>
          <t>2017-08</t>
        </is>
      </c>
      <c r="D1144" t="inlineStr">
        <is>
          <t>RJ</t>
        </is>
      </c>
      <c r="E1144" t="inlineStr">
        <is>
          <t>office_furniture</t>
        </is>
      </c>
      <c r="F1144" t="n">
        <v>1</v>
      </c>
      <c r="G1144" t="n">
        <v>135.9</v>
      </c>
      <c r="H1144" t="n">
        <v>25.79</v>
      </c>
      <c r="I1144" t="inlineStr">
        <is>
          <t>boleto</t>
        </is>
      </c>
      <c r="J1144" t="n">
        <v>9</v>
      </c>
      <c r="K1144" t="inlineStr">
        <is>
          <t>On Time</t>
        </is>
      </c>
      <c r="L1144" t="n">
        <v>5</v>
      </c>
      <c r="M1144">
        <f>VLOOKUP(D1144,State_Lookup!$A$2:$B$28,2,FALSE)</f>
        <v/>
      </c>
    </row>
    <row r="1145">
      <c r="A1145" t="inlineStr">
        <is>
          <t>15054f27c8947786f3ca73a3b74f33ad</t>
        </is>
      </c>
      <c r="B1145" t="inlineStr">
        <is>
          <t>2017-08-28</t>
        </is>
      </c>
      <c r="C1145" t="inlineStr">
        <is>
          <t>2017-08</t>
        </is>
      </c>
      <c r="D1145" t="inlineStr">
        <is>
          <t>SP</t>
        </is>
      </c>
      <c r="E1145" t="inlineStr">
        <is>
          <t>telephony</t>
        </is>
      </c>
      <c r="F1145" t="n">
        <v>1</v>
      </c>
      <c r="G1145" t="n">
        <v>39.9</v>
      </c>
      <c r="H1145" t="n">
        <v>15.1</v>
      </c>
      <c r="I1145" t="inlineStr">
        <is>
          <t>credit_card</t>
        </is>
      </c>
      <c r="J1145" t="n">
        <v>3</v>
      </c>
      <c r="K1145" t="inlineStr">
        <is>
          <t>On Time</t>
        </is>
      </c>
      <c r="L1145" t="n">
        <v>5</v>
      </c>
      <c r="M1145">
        <f>VLOOKUP(D1145,State_Lookup!$A$2:$B$28,2,FALSE)</f>
        <v/>
      </c>
    </row>
    <row r="1146">
      <c r="A1146" t="inlineStr">
        <is>
          <t>1a496064ceafeee379d9a37e8010e7e5</t>
        </is>
      </c>
      <c r="B1146" t="inlineStr">
        <is>
          <t>2017-08-28</t>
        </is>
      </c>
      <c r="C1146" t="inlineStr">
        <is>
          <t>2017-08</t>
        </is>
      </c>
      <c r="D1146" t="inlineStr">
        <is>
          <t>SP</t>
        </is>
      </c>
      <c r="E1146" t="inlineStr">
        <is>
          <t>furniture_decor</t>
        </is>
      </c>
      <c r="F1146" t="n">
        <v>1</v>
      </c>
      <c r="G1146" t="n">
        <v>45.9</v>
      </c>
      <c r="H1146" t="n">
        <v>12.69</v>
      </c>
      <c r="I1146" t="inlineStr">
        <is>
          <t>credit_card</t>
        </is>
      </c>
      <c r="J1146" t="n">
        <v>8</v>
      </c>
      <c r="K1146" t="inlineStr">
        <is>
          <t>On Time</t>
        </is>
      </c>
      <c r="L1146" t="inlineStr"/>
      <c r="M1146">
        <f>VLOOKUP(D1146,State_Lookup!$A$2:$B$28,2,FALSE)</f>
        <v/>
      </c>
    </row>
    <row r="1147">
      <c r="A1147" t="inlineStr">
        <is>
          <t>0b127810f86631fa896fd74a421045f8</t>
        </is>
      </c>
      <c r="B1147" t="inlineStr">
        <is>
          <t>2017-08-28</t>
        </is>
      </c>
      <c r="C1147" t="inlineStr">
        <is>
          <t>2017-08</t>
        </is>
      </c>
      <c r="D1147" t="inlineStr">
        <is>
          <t>RJ</t>
        </is>
      </c>
      <c r="E1147" t="inlineStr">
        <is>
          <t>garden_tools</t>
        </is>
      </c>
      <c r="F1147" t="n">
        <v>2</v>
      </c>
      <c r="G1147" t="n">
        <v>119.8</v>
      </c>
      <c r="H1147" t="n">
        <v>35.34</v>
      </c>
      <c r="I1147" t="inlineStr">
        <is>
          <t>credit_card</t>
        </is>
      </c>
      <c r="J1147" t="n">
        <v>8</v>
      </c>
      <c r="K1147" t="inlineStr">
        <is>
          <t>On Time</t>
        </is>
      </c>
      <c r="L1147" t="n">
        <v>5</v>
      </c>
      <c r="M1147">
        <f>VLOOKUP(D1147,State_Lookup!$A$2:$B$28,2,FALSE)</f>
        <v/>
      </c>
    </row>
    <row r="1148">
      <c r="A1148" t="inlineStr">
        <is>
          <t>c42e30b51c34dbcb30e27a10e1ab33bd</t>
        </is>
      </c>
      <c r="B1148" t="inlineStr">
        <is>
          <t>2017-08-28</t>
        </is>
      </c>
      <c r="C1148" t="inlineStr">
        <is>
          <t>2017-08</t>
        </is>
      </c>
      <c r="D1148" t="inlineStr">
        <is>
          <t>MS</t>
        </is>
      </c>
      <c r="E1148" t="inlineStr">
        <is>
          <t>cool_stuff</t>
        </is>
      </c>
      <c r="F1148" t="n">
        <v>1</v>
      </c>
      <c r="G1148" t="n">
        <v>99.98999999999999</v>
      </c>
      <c r="H1148" t="n">
        <v>16.95</v>
      </c>
      <c r="I1148" t="inlineStr">
        <is>
          <t>credit_card</t>
        </is>
      </c>
      <c r="J1148" t="n">
        <v>7</v>
      </c>
      <c r="K1148" t="inlineStr">
        <is>
          <t>On Time</t>
        </is>
      </c>
      <c r="L1148" t="n">
        <v>3</v>
      </c>
      <c r="M1148">
        <f>VLOOKUP(D1148,State_Lookup!$A$2:$B$28,2,FALSE)</f>
        <v/>
      </c>
    </row>
    <row r="1149">
      <c r="A1149" t="inlineStr">
        <is>
          <t>6490b668b6a0a9e14980564181095055</t>
        </is>
      </c>
      <c r="B1149" t="inlineStr">
        <is>
          <t>2017-08-28</t>
        </is>
      </c>
      <c r="C1149" t="inlineStr">
        <is>
          <t>2017-08</t>
        </is>
      </c>
      <c r="D1149" t="inlineStr">
        <is>
          <t>SC</t>
        </is>
      </c>
      <c r="E1149" t="inlineStr">
        <is>
          <t>perfumery</t>
        </is>
      </c>
      <c r="F1149" t="n">
        <v>1</v>
      </c>
      <c r="G1149" t="n">
        <v>15.9</v>
      </c>
      <c r="H1149" t="n">
        <v>15.1</v>
      </c>
      <c r="I1149" t="inlineStr">
        <is>
          <t>boleto</t>
        </is>
      </c>
      <c r="J1149" t="n">
        <v>11</v>
      </c>
      <c r="K1149" t="inlineStr">
        <is>
          <t>On Time</t>
        </is>
      </c>
      <c r="L1149" t="n">
        <v>3</v>
      </c>
      <c r="M1149">
        <f>VLOOKUP(D1149,State_Lookup!$A$2:$B$28,2,FALSE)</f>
        <v/>
      </c>
    </row>
    <row r="1150">
      <c r="A1150" t="inlineStr">
        <is>
          <t>7272b5bc978cef58523fad8731e5a12b</t>
        </is>
      </c>
      <c r="B1150" t="inlineStr">
        <is>
          <t>2017-08-28</t>
        </is>
      </c>
      <c r="C1150" t="inlineStr">
        <is>
          <t>2017-08</t>
        </is>
      </c>
      <c r="D1150" t="inlineStr">
        <is>
          <t>PR</t>
        </is>
      </c>
      <c r="E1150" t="inlineStr">
        <is>
          <t>sports_leisure</t>
        </is>
      </c>
      <c r="F1150" t="n">
        <v>1</v>
      </c>
      <c r="G1150" t="n">
        <v>139.9</v>
      </c>
      <c r="H1150" t="n">
        <v>17.42</v>
      </c>
      <c r="I1150" t="inlineStr">
        <is>
          <t>credit_card</t>
        </is>
      </c>
      <c r="J1150" t="n">
        <v>14</v>
      </c>
      <c r="K1150" t="inlineStr">
        <is>
          <t>On Time</t>
        </is>
      </c>
      <c r="L1150" t="n">
        <v>5</v>
      </c>
      <c r="M1150">
        <f>VLOOKUP(D1150,State_Lookup!$A$2:$B$28,2,FALSE)</f>
        <v/>
      </c>
    </row>
    <row r="1151">
      <c r="A1151" t="inlineStr">
        <is>
          <t>9fae83d9b8b2e49831f7017a29632728</t>
        </is>
      </c>
      <c r="B1151" t="inlineStr">
        <is>
          <t>2017-08-28</t>
        </is>
      </c>
      <c r="C1151" t="inlineStr">
        <is>
          <t>2017-08</t>
        </is>
      </c>
      <c r="D1151" t="inlineStr">
        <is>
          <t>SP</t>
        </is>
      </c>
      <c r="E1151" t="inlineStr">
        <is>
          <t>cool_stuff</t>
        </is>
      </c>
      <c r="F1151" t="n">
        <v>1</v>
      </c>
      <c r="G1151" t="n">
        <v>69.98999999999999</v>
      </c>
      <c r="H1151" t="n">
        <v>13.51</v>
      </c>
      <c r="I1151" t="inlineStr">
        <is>
          <t>credit_card</t>
        </is>
      </c>
      <c r="J1151" t="n">
        <v>4</v>
      </c>
      <c r="K1151" t="inlineStr">
        <is>
          <t>On Time</t>
        </is>
      </c>
      <c r="L1151" t="n">
        <v>4</v>
      </c>
      <c r="M1151">
        <f>VLOOKUP(D1151,State_Lookup!$A$2:$B$28,2,FALSE)</f>
        <v/>
      </c>
    </row>
    <row r="1152">
      <c r="A1152" t="inlineStr">
        <is>
          <t>273f82958d907705dde15be4062c6888</t>
        </is>
      </c>
      <c r="B1152" t="inlineStr">
        <is>
          <t>2017-08-28</t>
        </is>
      </c>
      <c r="C1152" t="inlineStr">
        <is>
          <t>2017-08</t>
        </is>
      </c>
      <c r="D1152" t="inlineStr">
        <is>
          <t>BA</t>
        </is>
      </c>
      <c r="E1152" t="inlineStr">
        <is>
          <t>health_beauty</t>
        </is>
      </c>
      <c r="F1152" t="n">
        <v>1</v>
      </c>
      <c r="G1152" t="n">
        <v>23.99</v>
      </c>
      <c r="H1152" t="n">
        <v>16.79</v>
      </c>
      <c r="I1152" t="inlineStr">
        <is>
          <t>credit_card</t>
        </is>
      </c>
      <c r="J1152" t="n">
        <v>8</v>
      </c>
      <c r="K1152" t="inlineStr">
        <is>
          <t>On Time</t>
        </is>
      </c>
      <c r="L1152" t="n">
        <v>5</v>
      </c>
      <c r="M1152">
        <f>VLOOKUP(D1152,State_Lookup!$A$2:$B$28,2,FALSE)</f>
        <v/>
      </c>
    </row>
    <row r="1153">
      <c r="A1153" t="inlineStr">
        <is>
          <t>84163f7d458a14345eac02a371e544de</t>
        </is>
      </c>
      <c r="B1153" t="inlineStr">
        <is>
          <t>2017-08-28</t>
        </is>
      </c>
      <c r="C1153" t="inlineStr">
        <is>
          <t>2017-08</t>
        </is>
      </c>
      <c r="D1153" t="inlineStr">
        <is>
          <t>MG</t>
        </is>
      </c>
      <c r="E1153" t="inlineStr">
        <is>
          <t>housewares</t>
        </is>
      </c>
      <c r="F1153" t="n">
        <v>1</v>
      </c>
      <c r="G1153" t="n">
        <v>89.90000000000001</v>
      </c>
      <c r="H1153" t="n">
        <v>16.39</v>
      </c>
      <c r="I1153" t="inlineStr">
        <is>
          <t>credit_card</t>
        </is>
      </c>
      <c r="J1153" t="n">
        <v>8</v>
      </c>
      <c r="K1153" t="inlineStr">
        <is>
          <t>On Time</t>
        </is>
      </c>
      <c r="L1153" t="n">
        <v>5</v>
      </c>
      <c r="M1153">
        <f>VLOOKUP(D1153,State_Lookup!$A$2:$B$28,2,FALSE)</f>
        <v/>
      </c>
    </row>
    <row r="1154">
      <c r="A1154" t="inlineStr">
        <is>
          <t>5ad7d897998f9bab0176a1c82b7437ea</t>
        </is>
      </c>
      <c r="B1154" t="inlineStr">
        <is>
          <t>2017-08-28</t>
        </is>
      </c>
      <c r="C1154" t="inlineStr">
        <is>
          <t>2017-08</t>
        </is>
      </c>
      <c r="D1154" t="inlineStr">
        <is>
          <t>SC</t>
        </is>
      </c>
      <c r="E1154" t="inlineStr">
        <is>
          <t>health_beauty</t>
        </is>
      </c>
      <c r="F1154" t="n">
        <v>1</v>
      </c>
      <c r="G1154" t="n">
        <v>76.98999999999999</v>
      </c>
      <c r="H1154" t="n">
        <v>14.29</v>
      </c>
      <c r="I1154" t="inlineStr">
        <is>
          <t>credit_card</t>
        </is>
      </c>
      <c r="J1154" t="n">
        <v>17</v>
      </c>
      <c r="K1154" t="inlineStr">
        <is>
          <t>On Time</t>
        </is>
      </c>
      <c r="L1154" t="n">
        <v>5</v>
      </c>
      <c r="M1154">
        <f>VLOOKUP(D1154,State_Lookup!$A$2:$B$28,2,FALSE)</f>
        <v/>
      </c>
    </row>
    <row r="1155">
      <c r="A1155" t="inlineStr">
        <is>
          <t>b8585b755e4a6d296c78133909d74022</t>
        </is>
      </c>
      <c r="B1155" t="inlineStr">
        <is>
          <t>2017-08-28</t>
        </is>
      </c>
      <c r="C1155" t="inlineStr">
        <is>
          <t>2017-08</t>
        </is>
      </c>
      <c r="D1155" t="inlineStr">
        <is>
          <t>SP</t>
        </is>
      </c>
      <c r="E1155" t="inlineStr">
        <is>
          <t>bed_bath_table</t>
        </is>
      </c>
      <c r="F1155" t="n">
        <v>1</v>
      </c>
      <c r="G1155" t="n">
        <v>24.9</v>
      </c>
      <c r="H1155" t="n">
        <v>11.85</v>
      </c>
      <c r="I1155" t="inlineStr">
        <is>
          <t>credit_card</t>
        </is>
      </c>
      <c r="J1155" t="n">
        <v>9</v>
      </c>
      <c r="K1155" t="inlineStr">
        <is>
          <t>On Time</t>
        </is>
      </c>
      <c r="L1155" t="n">
        <v>5</v>
      </c>
      <c r="M1155">
        <f>VLOOKUP(D1155,State_Lookup!$A$2:$B$28,2,FALSE)</f>
        <v/>
      </c>
    </row>
    <row r="1156">
      <c r="A1156" t="inlineStr">
        <is>
          <t>34636c8ebf156ff646392967b52f97af</t>
        </is>
      </c>
      <c r="B1156" t="inlineStr">
        <is>
          <t>2017-08-28</t>
        </is>
      </c>
      <c r="C1156" t="inlineStr">
        <is>
          <t>2017-08</t>
        </is>
      </c>
      <c r="D1156" t="inlineStr">
        <is>
          <t>RJ</t>
        </is>
      </c>
      <c r="E1156" t="inlineStr">
        <is>
          <t>cool_stuff</t>
        </is>
      </c>
      <c r="F1156" t="n">
        <v>1</v>
      </c>
      <c r="G1156" t="n">
        <v>610</v>
      </c>
      <c r="H1156" t="n">
        <v>65.01000000000001</v>
      </c>
      <c r="I1156" t="inlineStr">
        <is>
          <t>credit_card</t>
        </is>
      </c>
      <c r="J1156" t="n">
        <v>16</v>
      </c>
      <c r="K1156" t="inlineStr">
        <is>
          <t>On Time</t>
        </is>
      </c>
      <c r="L1156" t="n">
        <v>5</v>
      </c>
      <c r="M1156">
        <f>VLOOKUP(D1156,State_Lookup!$A$2:$B$28,2,FALSE)</f>
        <v/>
      </c>
    </row>
    <row r="1157">
      <c r="A1157" t="inlineStr">
        <is>
          <t>25df55b3cb298807a64158bf3b4d26d1</t>
        </is>
      </c>
      <c r="B1157" t="inlineStr">
        <is>
          <t>2017-08-29</t>
        </is>
      </c>
      <c r="C1157" t="inlineStr">
        <is>
          <t>2017-08</t>
        </is>
      </c>
      <c r="D1157" t="inlineStr">
        <is>
          <t>SP</t>
        </is>
      </c>
      <c r="E1157" t="inlineStr">
        <is>
          <t>health_beauty</t>
        </is>
      </c>
      <c r="F1157" t="n">
        <v>1</v>
      </c>
      <c r="G1157" t="n">
        <v>150</v>
      </c>
      <c r="H1157" t="n">
        <v>8.789999999999999</v>
      </c>
      <c r="I1157" t="inlineStr">
        <is>
          <t>credit_card</t>
        </is>
      </c>
      <c r="J1157" t="n">
        <v>3</v>
      </c>
      <c r="K1157" t="inlineStr">
        <is>
          <t>On Time</t>
        </is>
      </c>
      <c r="L1157" t="n">
        <v>4</v>
      </c>
      <c r="M1157">
        <f>VLOOKUP(D1157,State_Lookup!$A$2:$B$28,2,FALSE)</f>
        <v/>
      </c>
    </row>
    <row r="1158">
      <c r="A1158" t="inlineStr">
        <is>
          <t>a75d4b7463897480462a9e3f3f9ad8d2</t>
        </is>
      </c>
      <c r="B1158" t="inlineStr">
        <is>
          <t>2017-08-29</t>
        </is>
      </c>
      <c r="C1158" t="inlineStr">
        <is>
          <t>2017-08</t>
        </is>
      </c>
      <c r="D1158" t="inlineStr">
        <is>
          <t>SP</t>
        </is>
      </c>
      <c r="E1158" t="inlineStr">
        <is>
          <t>furniture_decor</t>
        </is>
      </c>
      <c r="F1158" t="n">
        <v>1</v>
      </c>
      <c r="G1158" t="n">
        <v>249.9</v>
      </c>
      <c r="H1158" t="n">
        <v>62.49</v>
      </c>
      <c r="I1158" t="inlineStr">
        <is>
          <t>credit_card</t>
        </is>
      </c>
      <c r="J1158" t="n">
        <v>13</v>
      </c>
      <c r="K1158" t="inlineStr">
        <is>
          <t>On Time</t>
        </is>
      </c>
      <c r="L1158" t="n">
        <v>5</v>
      </c>
      <c r="M1158">
        <f>VLOOKUP(D1158,State_Lookup!$A$2:$B$28,2,FALSE)</f>
        <v/>
      </c>
    </row>
    <row r="1159">
      <c r="A1159" t="inlineStr">
        <is>
          <t>03952349aca310eeba691019501388de</t>
        </is>
      </c>
      <c r="B1159" t="inlineStr">
        <is>
          <t>2017-08-29</t>
        </is>
      </c>
      <c r="C1159" t="inlineStr">
        <is>
          <t>2017-08</t>
        </is>
      </c>
      <c r="D1159" t="inlineStr">
        <is>
          <t>PR</t>
        </is>
      </c>
      <c r="E1159" t="inlineStr">
        <is>
          <t>fashion_shoes</t>
        </is>
      </c>
      <c r="F1159" t="n">
        <v>1</v>
      </c>
      <c r="G1159" t="n">
        <v>84.90000000000001</v>
      </c>
      <c r="H1159" t="n">
        <v>17.84</v>
      </c>
      <c r="I1159" t="inlineStr">
        <is>
          <t>boleto</t>
        </is>
      </c>
      <c r="J1159" t="n">
        <v>28</v>
      </c>
      <c r="K1159" t="inlineStr">
        <is>
          <t>On Time</t>
        </is>
      </c>
      <c r="L1159" t="n">
        <v>4</v>
      </c>
      <c r="M1159">
        <f>VLOOKUP(D1159,State_Lookup!$A$2:$B$28,2,FALSE)</f>
        <v/>
      </c>
    </row>
    <row r="1160">
      <c r="A1160" t="inlineStr">
        <is>
          <t>63773910895f35751c9a1eb0ba5530c9</t>
        </is>
      </c>
      <c r="B1160" t="inlineStr">
        <is>
          <t>2017-08-29</t>
        </is>
      </c>
      <c r="C1160" t="inlineStr">
        <is>
          <t>2017-08</t>
        </is>
      </c>
      <c r="D1160" t="inlineStr">
        <is>
          <t>SP</t>
        </is>
      </c>
      <c r="E1160" t="inlineStr">
        <is>
          <t>electronics</t>
        </is>
      </c>
      <c r="F1160" t="n">
        <v>1</v>
      </c>
      <c r="G1160" t="n">
        <v>18.9</v>
      </c>
      <c r="H1160" t="n">
        <v>12.48</v>
      </c>
      <c r="I1160" t="inlineStr">
        <is>
          <t>credit_card</t>
        </is>
      </c>
      <c r="J1160" t="n">
        <v>14</v>
      </c>
      <c r="K1160" t="inlineStr">
        <is>
          <t>On Time</t>
        </is>
      </c>
      <c r="L1160" t="n">
        <v>4</v>
      </c>
      <c r="M1160">
        <f>VLOOKUP(D1160,State_Lookup!$A$2:$B$28,2,FALSE)</f>
        <v/>
      </c>
    </row>
    <row r="1161">
      <c r="A1161" t="inlineStr">
        <is>
          <t>0121cfa7c946e6589f50d7012d3eb5eb</t>
        </is>
      </c>
      <c r="B1161" t="inlineStr">
        <is>
          <t>2017-08-30</t>
        </is>
      </c>
      <c r="C1161" t="inlineStr">
        <is>
          <t>2017-08</t>
        </is>
      </c>
      <c r="D1161" t="inlineStr">
        <is>
          <t>SP</t>
        </is>
      </c>
      <c r="E1161" t="inlineStr">
        <is>
          <t>baby</t>
        </is>
      </c>
      <c r="F1161" t="n">
        <v>1</v>
      </c>
      <c r="G1161" t="n">
        <v>29.99</v>
      </c>
      <c r="H1161" t="n">
        <v>16.79</v>
      </c>
      <c r="I1161" t="inlineStr">
        <is>
          <t>credit_card</t>
        </is>
      </c>
      <c r="J1161" t="n">
        <v>7</v>
      </c>
      <c r="K1161" t="inlineStr">
        <is>
          <t>On Time</t>
        </is>
      </c>
      <c r="L1161" t="n">
        <v>5</v>
      </c>
      <c r="M1161">
        <f>VLOOKUP(D1161,State_Lookup!$A$2:$B$28,2,FALSE)</f>
        <v/>
      </c>
    </row>
    <row r="1162">
      <c r="A1162" t="inlineStr">
        <is>
          <t>703028d4e0b49bc9632bb3b92150adb2</t>
        </is>
      </c>
      <c r="B1162" t="inlineStr">
        <is>
          <t>2017-08-30</t>
        </is>
      </c>
      <c r="C1162" t="inlineStr">
        <is>
          <t>2017-08</t>
        </is>
      </c>
      <c r="D1162" t="inlineStr">
        <is>
          <t>SP</t>
        </is>
      </c>
      <c r="E1162" t="inlineStr">
        <is>
          <t>cool_stuff</t>
        </is>
      </c>
      <c r="F1162" t="n">
        <v>2</v>
      </c>
      <c r="G1162" t="n">
        <v>77.8</v>
      </c>
      <c r="H1162" t="n">
        <v>30.2</v>
      </c>
      <c r="I1162" t="inlineStr">
        <is>
          <t>credit_card</t>
        </is>
      </c>
      <c r="J1162" t="n">
        <v>16</v>
      </c>
      <c r="K1162" t="inlineStr">
        <is>
          <t>On Time</t>
        </is>
      </c>
      <c r="L1162" t="n">
        <v>5</v>
      </c>
      <c r="M1162">
        <f>VLOOKUP(D1162,State_Lookup!$A$2:$B$28,2,FALSE)</f>
        <v/>
      </c>
    </row>
    <row r="1163">
      <c r="A1163" t="inlineStr">
        <is>
          <t>56f46fb5630f80cde51dfe4f07de78bb</t>
        </is>
      </c>
      <c r="B1163" t="inlineStr">
        <is>
          <t>2017-08-30</t>
        </is>
      </c>
      <c r="C1163" t="inlineStr">
        <is>
          <t>2017-08</t>
        </is>
      </c>
      <c r="D1163" t="inlineStr">
        <is>
          <t>MT</t>
        </is>
      </c>
      <c r="E1163" t="inlineStr">
        <is>
          <t>garden_tools</t>
        </is>
      </c>
      <c r="F1163" t="n">
        <v>1</v>
      </c>
      <c r="G1163" t="n">
        <v>59.9</v>
      </c>
      <c r="H1163" t="n">
        <v>19.66</v>
      </c>
      <c r="I1163" t="inlineStr">
        <is>
          <t>credit_card</t>
        </is>
      </c>
      <c r="J1163" t="n">
        <v>14</v>
      </c>
      <c r="K1163" t="inlineStr">
        <is>
          <t>On Time</t>
        </is>
      </c>
      <c r="L1163" t="n">
        <v>4</v>
      </c>
      <c r="M1163">
        <f>VLOOKUP(D1163,State_Lookup!$A$2:$B$28,2,FALSE)</f>
        <v/>
      </c>
    </row>
    <row r="1164">
      <c r="A1164" t="inlineStr">
        <is>
          <t>b7b6e52282e462db3a8fd56c2d27389c</t>
        </is>
      </c>
      <c r="B1164" t="inlineStr">
        <is>
          <t>2017-08-30</t>
        </is>
      </c>
      <c r="C1164" t="inlineStr">
        <is>
          <t>2017-08</t>
        </is>
      </c>
      <c r="D1164" t="inlineStr">
        <is>
          <t>SP</t>
        </is>
      </c>
      <c r="E1164" t="inlineStr">
        <is>
          <t>health_beauty</t>
        </is>
      </c>
      <c r="F1164" t="n">
        <v>1</v>
      </c>
      <c r="G1164" t="n">
        <v>15.48</v>
      </c>
      <c r="H1164" t="n">
        <v>11.85</v>
      </c>
      <c r="I1164" t="inlineStr">
        <is>
          <t>credit_card</t>
        </is>
      </c>
      <c r="J1164" t="n">
        <v>5</v>
      </c>
      <c r="K1164" t="inlineStr">
        <is>
          <t>On Time</t>
        </is>
      </c>
      <c r="L1164" t="n">
        <v>5</v>
      </c>
      <c r="M1164">
        <f>VLOOKUP(D1164,State_Lookup!$A$2:$B$28,2,FALSE)</f>
        <v/>
      </c>
    </row>
    <row r="1165">
      <c r="A1165" t="inlineStr">
        <is>
          <t>0899b756a6357ed330e0620ad548d70d</t>
        </is>
      </c>
      <c r="B1165" t="inlineStr">
        <is>
          <t>2017-08-30</t>
        </is>
      </c>
      <c r="C1165" t="inlineStr">
        <is>
          <t>2017-08</t>
        </is>
      </c>
      <c r="D1165" t="inlineStr">
        <is>
          <t>SP</t>
        </is>
      </c>
      <c r="E1165" t="inlineStr">
        <is>
          <t>auto</t>
        </is>
      </c>
      <c r="F1165" t="n">
        <v>1</v>
      </c>
      <c r="G1165" t="n">
        <v>117.99</v>
      </c>
      <c r="H1165" t="n">
        <v>9.640000000000001</v>
      </c>
      <c r="I1165" t="inlineStr">
        <is>
          <t>credit_card</t>
        </is>
      </c>
      <c r="J1165" t="n">
        <v>5</v>
      </c>
      <c r="K1165" t="inlineStr">
        <is>
          <t>On Time</t>
        </is>
      </c>
      <c r="L1165" t="n">
        <v>4</v>
      </c>
      <c r="M1165">
        <f>VLOOKUP(D1165,State_Lookup!$A$2:$B$28,2,FALSE)</f>
        <v/>
      </c>
    </row>
    <row r="1166">
      <c r="A1166" t="inlineStr">
        <is>
          <t>8756f67f8fca03ed9d9f098a2148c32d</t>
        </is>
      </c>
      <c r="B1166" t="inlineStr">
        <is>
          <t>2017-08-30</t>
        </is>
      </c>
      <c r="C1166" t="inlineStr">
        <is>
          <t>2017-08</t>
        </is>
      </c>
      <c r="D1166" t="inlineStr">
        <is>
          <t>PR</t>
        </is>
      </c>
      <c r="E1166" t="inlineStr">
        <is>
          <t>watches_gifts</t>
        </is>
      </c>
      <c r="F1166" t="n">
        <v>1</v>
      </c>
      <c r="G1166" t="n">
        <v>19.9</v>
      </c>
      <c r="H1166" t="n">
        <v>15.1</v>
      </c>
      <c r="I1166" t="inlineStr">
        <is>
          <t>credit_card</t>
        </is>
      </c>
      <c r="J1166" t="n">
        <v>13</v>
      </c>
      <c r="K1166" t="inlineStr">
        <is>
          <t>On Time</t>
        </is>
      </c>
      <c r="L1166" t="n">
        <v>5</v>
      </c>
      <c r="M1166">
        <f>VLOOKUP(D1166,State_Lookup!$A$2:$B$28,2,FALSE)</f>
        <v/>
      </c>
    </row>
    <row r="1167">
      <c r="A1167" t="inlineStr">
        <is>
          <t>1e1bb536916a9964978ee59e6d6d0cca</t>
        </is>
      </c>
      <c r="B1167" t="inlineStr">
        <is>
          <t>2017-08-30</t>
        </is>
      </c>
      <c r="C1167" t="inlineStr">
        <is>
          <t>2017-08</t>
        </is>
      </c>
      <c r="D1167" t="inlineStr">
        <is>
          <t>RN</t>
        </is>
      </c>
      <c r="E1167" t="inlineStr">
        <is>
          <t>toys</t>
        </is>
      </c>
      <c r="F1167" t="n">
        <v>2</v>
      </c>
      <c r="G1167" t="n">
        <v>99.98</v>
      </c>
      <c r="H1167" t="n">
        <v>42.3</v>
      </c>
      <c r="I1167" t="inlineStr">
        <is>
          <t>credit_card</t>
        </is>
      </c>
      <c r="J1167" t="n">
        <v>2</v>
      </c>
      <c r="K1167" t="inlineStr">
        <is>
          <t>On Time</t>
        </is>
      </c>
      <c r="L1167" t="n">
        <v>5</v>
      </c>
      <c r="M1167">
        <f>VLOOKUP(D1167,State_Lookup!$A$2:$B$28,2,FALSE)</f>
        <v/>
      </c>
    </row>
    <row r="1168">
      <c r="A1168" t="inlineStr">
        <is>
          <t>5d667669da71ab257891582b76d37194</t>
        </is>
      </c>
      <c r="B1168" t="inlineStr">
        <is>
          <t>2017-08-30</t>
        </is>
      </c>
      <c r="C1168" t="inlineStr">
        <is>
          <t>2017-08</t>
        </is>
      </c>
      <c r="D1168" t="inlineStr">
        <is>
          <t>SP</t>
        </is>
      </c>
      <c r="E1168" t="inlineStr">
        <is>
          <t>housewares</t>
        </is>
      </c>
      <c r="F1168" t="n">
        <v>1</v>
      </c>
      <c r="G1168" t="n">
        <v>139.9</v>
      </c>
      <c r="H1168" t="n">
        <v>21.47</v>
      </c>
      <c r="I1168" t="inlineStr">
        <is>
          <t>credit_card</t>
        </is>
      </c>
      <c r="J1168" t="n">
        <v>8</v>
      </c>
      <c r="K1168" t="inlineStr">
        <is>
          <t>On Time</t>
        </is>
      </c>
      <c r="L1168" t="n">
        <v>3</v>
      </c>
      <c r="M1168">
        <f>VLOOKUP(D1168,State_Lookup!$A$2:$B$28,2,FALSE)</f>
        <v/>
      </c>
    </row>
    <row r="1169">
      <c r="A1169" t="inlineStr">
        <is>
          <t>63abb9284ecee60580728402681f03eb</t>
        </is>
      </c>
      <c r="B1169" t="inlineStr">
        <is>
          <t>2017-08-31</t>
        </is>
      </c>
      <c r="C1169" t="inlineStr">
        <is>
          <t>2017-08</t>
        </is>
      </c>
      <c r="D1169" t="inlineStr">
        <is>
          <t>RJ</t>
        </is>
      </c>
      <c r="E1169" t="inlineStr">
        <is>
          <t>bed_bath_table</t>
        </is>
      </c>
      <c r="F1169" t="n">
        <v>1</v>
      </c>
      <c r="G1169" t="n">
        <v>130.99</v>
      </c>
      <c r="H1169" t="n">
        <v>18.17</v>
      </c>
      <c r="I1169" t="inlineStr">
        <is>
          <t>credit_card</t>
        </is>
      </c>
      <c r="J1169" t="n">
        <v>15</v>
      </c>
      <c r="K1169" t="inlineStr">
        <is>
          <t>On Time</t>
        </is>
      </c>
      <c r="L1169" t="n">
        <v>5</v>
      </c>
      <c r="M1169">
        <f>VLOOKUP(D1169,State_Lookup!$A$2:$B$28,2,FALSE)</f>
        <v/>
      </c>
    </row>
    <row r="1170">
      <c r="A1170" t="inlineStr">
        <is>
          <t>a8b34e4d3af0e20aff71bb5392bf8953</t>
        </is>
      </c>
      <c r="B1170" t="inlineStr">
        <is>
          <t>2017-08-31</t>
        </is>
      </c>
      <c r="C1170" t="inlineStr">
        <is>
          <t>2017-08</t>
        </is>
      </c>
      <c r="D1170" t="inlineStr">
        <is>
          <t>SP</t>
        </is>
      </c>
      <c r="E1170" t="inlineStr">
        <is>
          <t>computers_accessories</t>
        </is>
      </c>
      <c r="F1170" t="n">
        <v>1</v>
      </c>
      <c r="G1170" t="n">
        <v>269</v>
      </c>
      <c r="H1170" t="n">
        <v>10.7</v>
      </c>
      <c r="I1170" t="inlineStr">
        <is>
          <t>credit_card</t>
        </is>
      </c>
      <c r="J1170" t="n">
        <v>6</v>
      </c>
      <c r="K1170" t="inlineStr">
        <is>
          <t>On Time</t>
        </is>
      </c>
      <c r="L1170" t="n">
        <v>4</v>
      </c>
      <c r="M1170">
        <f>VLOOKUP(D1170,State_Lookup!$A$2:$B$28,2,FALSE)</f>
        <v/>
      </c>
    </row>
    <row r="1171">
      <c r="A1171" t="inlineStr">
        <is>
          <t>b5199c66306c07a949f9a9069f7fda57</t>
        </is>
      </c>
      <c r="B1171" t="inlineStr">
        <is>
          <t>2017-08-31</t>
        </is>
      </c>
      <c r="C1171" t="inlineStr">
        <is>
          <t>2017-08</t>
        </is>
      </c>
      <c r="D1171" t="inlineStr">
        <is>
          <t>MG</t>
        </is>
      </c>
      <c r="E1171" t="inlineStr">
        <is>
          <t>health_beauty</t>
        </is>
      </c>
      <c r="F1171" t="n">
        <v>1</v>
      </c>
      <c r="G1171" t="n">
        <v>325</v>
      </c>
      <c r="H1171" t="n">
        <v>17.02</v>
      </c>
      <c r="I1171" t="inlineStr">
        <is>
          <t>credit_card</t>
        </is>
      </c>
      <c r="J1171" t="n">
        <v>12</v>
      </c>
      <c r="K1171" t="inlineStr">
        <is>
          <t>On Time</t>
        </is>
      </c>
      <c r="L1171" t="n">
        <v>5</v>
      </c>
      <c r="M1171">
        <f>VLOOKUP(D1171,State_Lookup!$A$2:$B$28,2,FALSE)</f>
        <v/>
      </c>
    </row>
    <row r="1172">
      <c r="A1172" t="inlineStr">
        <is>
          <t>a3c476831ccceb4aace3b6e6e60a2f50</t>
        </is>
      </c>
      <c r="B1172" t="inlineStr">
        <is>
          <t>2017-08-31</t>
        </is>
      </c>
      <c r="C1172" t="inlineStr">
        <is>
          <t>2017-08</t>
        </is>
      </c>
      <c r="D1172" t="inlineStr">
        <is>
          <t>SP</t>
        </is>
      </c>
      <c r="E1172" t="inlineStr">
        <is>
          <t>sports_leisure</t>
        </is>
      </c>
      <c r="F1172" t="n">
        <v>1</v>
      </c>
      <c r="G1172" t="n">
        <v>14.9</v>
      </c>
      <c r="H1172" t="n">
        <v>7.78</v>
      </c>
      <c r="I1172" t="inlineStr">
        <is>
          <t>voucher</t>
        </is>
      </c>
      <c r="J1172" t="n">
        <v>4</v>
      </c>
      <c r="K1172" t="inlineStr">
        <is>
          <t>On Time</t>
        </is>
      </c>
      <c r="L1172" t="n">
        <v>5</v>
      </c>
      <c r="M1172">
        <f>VLOOKUP(D1172,State_Lookup!$A$2:$B$28,2,FALSE)</f>
        <v/>
      </c>
    </row>
    <row r="1173">
      <c r="A1173" t="inlineStr">
        <is>
          <t>889d953454eb01607e1ded9e6c9e1657</t>
        </is>
      </c>
      <c r="B1173" t="inlineStr">
        <is>
          <t>2017-08-31</t>
        </is>
      </c>
      <c r="C1173" t="inlineStr">
        <is>
          <t>2017-08</t>
        </is>
      </c>
      <c r="D1173" t="inlineStr">
        <is>
          <t>SP</t>
        </is>
      </c>
      <c r="E1173" t="inlineStr">
        <is>
          <t>perfumery</t>
        </is>
      </c>
      <c r="F1173" t="n">
        <v>1</v>
      </c>
      <c r="G1173" t="n">
        <v>56.99</v>
      </c>
      <c r="H1173" t="n">
        <v>8.720000000000001</v>
      </c>
      <c r="I1173" t="inlineStr">
        <is>
          <t>credit_card</t>
        </is>
      </c>
      <c r="J1173" t="n">
        <v>6</v>
      </c>
      <c r="K1173" t="inlineStr">
        <is>
          <t>On Time</t>
        </is>
      </c>
      <c r="L1173" t="n">
        <v>5</v>
      </c>
      <c r="M1173">
        <f>VLOOKUP(D1173,State_Lookup!$A$2:$B$28,2,FALSE)</f>
        <v/>
      </c>
    </row>
    <row r="1174">
      <c r="A1174" t="inlineStr">
        <is>
          <t>ed1a38eb0ec41e0051d7efc7552388dd</t>
        </is>
      </c>
      <c r="B1174" t="inlineStr">
        <is>
          <t>2017-08-31</t>
        </is>
      </c>
      <c r="C1174" t="inlineStr">
        <is>
          <t>2017-08</t>
        </is>
      </c>
      <c r="D1174" t="inlineStr">
        <is>
          <t>SP</t>
        </is>
      </c>
      <c r="E1174" t="inlineStr">
        <is>
          <t>kitchen_dining_laundry_garden_furniture</t>
        </is>
      </c>
      <c r="F1174" t="n">
        <v>1</v>
      </c>
      <c r="G1174" t="n">
        <v>18.5</v>
      </c>
      <c r="H1174" t="n">
        <v>7.78</v>
      </c>
      <c r="I1174" t="inlineStr">
        <is>
          <t>boleto</t>
        </is>
      </c>
      <c r="J1174" t="n">
        <v>11</v>
      </c>
      <c r="K1174" t="inlineStr">
        <is>
          <t>On Time</t>
        </is>
      </c>
      <c r="L1174" t="n">
        <v>4</v>
      </c>
      <c r="M1174">
        <f>VLOOKUP(D1174,State_Lookup!$A$2:$B$28,2,FALSE)</f>
        <v/>
      </c>
    </row>
    <row r="1175">
      <c r="A1175" t="inlineStr">
        <is>
          <t>334e118f51cc0e200822d5f117db5f19</t>
        </is>
      </c>
      <c r="B1175" t="inlineStr">
        <is>
          <t>2017-08-31</t>
        </is>
      </c>
      <c r="C1175" t="inlineStr">
        <is>
          <t>2017-08</t>
        </is>
      </c>
      <c r="D1175" t="inlineStr">
        <is>
          <t>SP</t>
        </is>
      </c>
      <c r="E1175" t="inlineStr">
        <is>
          <t>unknown</t>
        </is>
      </c>
      <c r="F1175" t="n">
        <v>2</v>
      </c>
      <c r="G1175" t="n">
        <v>39.8</v>
      </c>
      <c r="H1175" t="n">
        <v>23.7</v>
      </c>
      <c r="I1175" t="inlineStr">
        <is>
          <t>credit_card</t>
        </is>
      </c>
      <c r="J1175" t="n">
        <v>1</v>
      </c>
      <c r="K1175" t="inlineStr">
        <is>
          <t>On Time</t>
        </is>
      </c>
      <c r="L1175" t="n">
        <v>2</v>
      </c>
      <c r="M1175">
        <f>VLOOKUP(D1175,State_Lookup!$A$2:$B$28,2,FALSE)</f>
        <v/>
      </c>
    </row>
    <row r="1176">
      <c r="A1176" t="inlineStr">
        <is>
          <t>7e7854ea93e1ac916da1c6a44feef201</t>
        </is>
      </c>
      <c r="B1176" t="inlineStr">
        <is>
          <t>2017-08-31</t>
        </is>
      </c>
      <c r="C1176" t="inlineStr">
        <is>
          <t>2017-08</t>
        </is>
      </c>
      <c r="D1176" t="inlineStr">
        <is>
          <t>SP</t>
        </is>
      </c>
      <c r="E1176" t="inlineStr">
        <is>
          <t>bed_bath_table</t>
        </is>
      </c>
      <c r="F1176" t="n">
        <v>1</v>
      </c>
      <c r="G1176" t="n">
        <v>195</v>
      </c>
      <c r="H1176" t="n">
        <v>14.97</v>
      </c>
      <c r="I1176" t="inlineStr">
        <is>
          <t>credit_card</t>
        </is>
      </c>
      <c r="J1176" t="n">
        <v>5</v>
      </c>
      <c r="K1176" t="inlineStr">
        <is>
          <t>On Time</t>
        </is>
      </c>
      <c r="L1176" t="n">
        <v>5</v>
      </c>
      <c r="M1176">
        <f>VLOOKUP(D1176,State_Lookup!$A$2:$B$28,2,FALSE)</f>
        <v/>
      </c>
    </row>
    <row r="1177">
      <c r="A1177" t="inlineStr">
        <is>
          <t>cf72398d0690f841271b695bbfda82d2</t>
        </is>
      </c>
      <c r="B1177" t="inlineStr">
        <is>
          <t>2017-09-01</t>
        </is>
      </c>
      <c r="C1177" t="inlineStr">
        <is>
          <t>2017-09</t>
        </is>
      </c>
      <c r="D1177" t="inlineStr">
        <is>
          <t>SP</t>
        </is>
      </c>
      <c r="E1177" t="inlineStr">
        <is>
          <t>home_confort</t>
        </is>
      </c>
      <c r="F1177" t="n">
        <v>1</v>
      </c>
      <c r="G1177" t="n">
        <v>269</v>
      </c>
      <c r="H1177" t="n">
        <v>15.49</v>
      </c>
      <c r="I1177" t="inlineStr">
        <is>
          <t>credit_card</t>
        </is>
      </c>
      <c r="J1177" t="n">
        <v>9</v>
      </c>
      <c r="K1177" t="inlineStr">
        <is>
          <t>On Time</t>
        </is>
      </c>
      <c r="L1177" t="n">
        <v>5</v>
      </c>
      <c r="M1177">
        <f>VLOOKUP(D1177,State_Lookup!$A$2:$B$28,2,FALSE)</f>
        <v/>
      </c>
    </row>
    <row r="1178">
      <c r="A1178" t="inlineStr">
        <is>
          <t>2b37d2f506ce5ca2dfa10f9ba271e609</t>
        </is>
      </c>
      <c r="B1178" t="inlineStr">
        <is>
          <t>2017-09-01</t>
        </is>
      </c>
      <c r="C1178" t="inlineStr">
        <is>
          <t>2017-09</t>
        </is>
      </c>
      <c r="D1178" t="inlineStr">
        <is>
          <t>SP</t>
        </is>
      </c>
      <c r="E1178" t="inlineStr">
        <is>
          <t>garden_tools</t>
        </is>
      </c>
      <c r="F1178" t="n">
        <v>3</v>
      </c>
      <c r="G1178" t="n">
        <v>179.7</v>
      </c>
      <c r="H1178" t="n">
        <v>40.32</v>
      </c>
      <c r="I1178" t="inlineStr">
        <is>
          <t>credit_card</t>
        </is>
      </c>
      <c r="J1178" t="n">
        <v>11</v>
      </c>
      <c r="K1178" t="inlineStr">
        <is>
          <t>On Time</t>
        </is>
      </c>
      <c r="L1178" t="n">
        <v>3</v>
      </c>
      <c r="M1178">
        <f>VLOOKUP(D1178,State_Lookup!$A$2:$B$28,2,FALSE)</f>
        <v/>
      </c>
    </row>
    <row r="1179">
      <c r="A1179" t="inlineStr">
        <is>
          <t>1fab4ac9d85079b3da72a11475ae1685</t>
        </is>
      </c>
      <c r="B1179" t="inlineStr">
        <is>
          <t>2017-09-01</t>
        </is>
      </c>
      <c r="C1179" t="inlineStr">
        <is>
          <t>2017-09</t>
        </is>
      </c>
      <c r="D1179" t="inlineStr">
        <is>
          <t>SP</t>
        </is>
      </c>
      <c r="E1179" t="inlineStr">
        <is>
          <t>watches_gifts</t>
        </is>
      </c>
      <c r="F1179" t="n">
        <v>1</v>
      </c>
      <c r="G1179" t="n">
        <v>229.9</v>
      </c>
      <c r="H1179" t="n">
        <v>13.11</v>
      </c>
      <c r="I1179" t="inlineStr">
        <is>
          <t>credit_card</t>
        </is>
      </c>
      <c r="J1179" t="n">
        <v>7</v>
      </c>
      <c r="K1179" t="inlineStr">
        <is>
          <t>On Time</t>
        </is>
      </c>
      <c r="L1179" t="n">
        <v>5</v>
      </c>
      <c r="M1179">
        <f>VLOOKUP(D1179,State_Lookup!$A$2:$B$28,2,FALSE)</f>
        <v/>
      </c>
    </row>
    <row r="1180">
      <c r="A1180" t="inlineStr">
        <is>
          <t>5a211401338dee5fa1388f6b4b70b456</t>
        </is>
      </c>
      <c r="B1180" t="inlineStr">
        <is>
          <t>2017-09-01</t>
        </is>
      </c>
      <c r="C1180" t="inlineStr">
        <is>
          <t>2017-09</t>
        </is>
      </c>
      <c r="D1180" t="inlineStr">
        <is>
          <t>RS</t>
        </is>
      </c>
      <c r="E1180" t="inlineStr">
        <is>
          <t>computers_accessories</t>
        </is>
      </c>
      <c r="F1180" t="n">
        <v>1</v>
      </c>
      <c r="G1180" t="n">
        <v>42.79</v>
      </c>
      <c r="H1180" t="n">
        <v>25.63</v>
      </c>
      <c r="I1180" t="inlineStr">
        <is>
          <t>credit_card</t>
        </is>
      </c>
      <c r="J1180" t="n">
        <v>7</v>
      </c>
      <c r="K1180" t="inlineStr">
        <is>
          <t>On Time</t>
        </is>
      </c>
      <c r="L1180" t="n">
        <v>5</v>
      </c>
      <c r="M1180">
        <f>VLOOKUP(D1180,State_Lookup!$A$2:$B$28,2,FALSE)</f>
        <v/>
      </c>
    </row>
    <row r="1181">
      <c r="A1181" t="inlineStr">
        <is>
          <t>2346e1104a4b18a23e6dc6a87c2d1b8c</t>
        </is>
      </c>
      <c r="B1181" t="inlineStr">
        <is>
          <t>2017-09-01</t>
        </is>
      </c>
      <c r="C1181" t="inlineStr">
        <is>
          <t>2017-09</t>
        </is>
      </c>
      <c r="D1181" t="inlineStr">
        <is>
          <t>BA</t>
        </is>
      </c>
      <c r="E1181" t="inlineStr">
        <is>
          <t>baby</t>
        </is>
      </c>
      <c r="F1181" t="n">
        <v>1</v>
      </c>
      <c r="G1181" t="n">
        <v>89.90000000000001</v>
      </c>
      <c r="H1181" t="n">
        <v>17.07</v>
      </c>
      <c r="I1181" t="inlineStr">
        <is>
          <t>boleto</t>
        </is>
      </c>
      <c r="J1181" t="n">
        <v>13</v>
      </c>
      <c r="K1181" t="inlineStr">
        <is>
          <t>On Time</t>
        </is>
      </c>
      <c r="L1181" t="n">
        <v>5</v>
      </c>
      <c r="M1181">
        <f>VLOOKUP(D1181,State_Lookup!$A$2:$B$28,2,FALSE)</f>
        <v/>
      </c>
    </row>
    <row r="1182">
      <c r="A1182" t="inlineStr">
        <is>
          <t>db9458d0bbfff27cf6ff5b9342087fd0</t>
        </is>
      </c>
      <c r="B1182" t="inlineStr">
        <is>
          <t>2017-09-01</t>
        </is>
      </c>
      <c r="C1182" t="inlineStr">
        <is>
          <t>2017-09</t>
        </is>
      </c>
      <c r="D1182" t="inlineStr">
        <is>
          <t>RJ</t>
        </is>
      </c>
      <c r="E1182" t="inlineStr">
        <is>
          <t>sports_leisure</t>
        </is>
      </c>
      <c r="F1182" t="n">
        <v>2</v>
      </c>
      <c r="G1182" t="n">
        <v>119.8</v>
      </c>
      <c r="H1182" t="n">
        <v>33.72</v>
      </c>
      <c r="I1182" t="inlineStr">
        <is>
          <t>credit_card</t>
        </is>
      </c>
      <c r="J1182" t="n">
        <v>10</v>
      </c>
      <c r="K1182" t="inlineStr">
        <is>
          <t>On Time</t>
        </is>
      </c>
      <c r="L1182" t="n">
        <v>5</v>
      </c>
      <c r="M1182">
        <f>VLOOKUP(D1182,State_Lookup!$A$2:$B$28,2,FALSE)</f>
        <v/>
      </c>
    </row>
    <row r="1183">
      <c r="A1183" t="inlineStr">
        <is>
          <t>17ece7ee59d823d55795a356168275e4</t>
        </is>
      </c>
      <c r="B1183" t="inlineStr">
        <is>
          <t>2017-09-02</t>
        </is>
      </c>
      <c r="C1183" t="inlineStr">
        <is>
          <t>2017-09</t>
        </is>
      </c>
      <c r="D1183" t="inlineStr">
        <is>
          <t>SP</t>
        </is>
      </c>
      <c r="E1183" t="inlineStr">
        <is>
          <t>sports_leisure</t>
        </is>
      </c>
      <c r="F1183" t="n">
        <v>1</v>
      </c>
      <c r="G1183" t="n">
        <v>195.9</v>
      </c>
      <c r="H1183" t="n">
        <v>26.21</v>
      </c>
      <c r="I1183" t="inlineStr">
        <is>
          <t>credit_card</t>
        </is>
      </c>
      <c r="J1183" t="n">
        <v>9</v>
      </c>
      <c r="K1183" t="inlineStr">
        <is>
          <t>On Time</t>
        </is>
      </c>
      <c r="L1183" t="n">
        <v>5</v>
      </c>
      <c r="M1183">
        <f>VLOOKUP(D1183,State_Lookup!$A$2:$B$28,2,FALSE)</f>
        <v/>
      </c>
    </row>
    <row r="1184">
      <c r="A1184" t="inlineStr">
        <is>
          <t>14433250d2268548a917e1a0bdfd19c1</t>
        </is>
      </c>
      <c r="B1184" t="inlineStr">
        <is>
          <t>2017-09-02</t>
        </is>
      </c>
      <c r="C1184" t="inlineStr">
        <is>
          <t>2017-09</t>
        </is>
      </c>
      <c r="D1184" t="inlineStr">
        <is>
          <t>SP</t>
        </is>
      </c>
      <c r="E1184" t="inlineStr">
        <is>
          <t>housewares</t>
        </is>
      </c>
      <c r="F1184" t="n">
        <v>1</v>
      </c>
      <c r="G1184" t="n">
        <v>19.9</v>
      </c>
      <c r="H1184" t="n">
        <v>11.85</v>
      </c>
      <c r="I1184" t="inlineStr">
        <is>
          <t>credit_card</t>
        </is>
      </c>
      <c r="J1184" t="n">
        <v>12</v>
      </c>
      <c r="K1184" t="inlineStr">
        <is>
          <t>On Time</t>
        </is>
      </c>
      <c r="L1184" t="n">
        <v>5</v>
      </c>
      <c r="M1184">
        <f>VLOOKUP(D1184,State_Lookup!$A$2:$B$28,2,FALSE)</f>
        <v/>
      </c>
    </row>
    <row r="1185">
      <c r="A1185" t="inlineStr">
        <is>
          <t>6d7bfd3551f91299c7e4b7f0922e9e75</t>
        </is>
      </c>
      <c r="B1185" t="inlineStr">
        <is>
          <t>2017-09-02</t>
        </is>
      </c>
      <c r="C1185" t="inlineStr">
        <is>
          <t>2017-09</t>
        </is>
      </c>
      <c r="D1185" t="inlineStr">
        <is>
          <t>SP</t>
        </is>
      </c>
      <c r="E1185" t="inlineStr">
        <is>
          <t>cool_stuff</t>
        </is>
      </c>
      <c r="F1185" t="n">
        <v>1</v>
      </c>
      <c r="G1185" t="n">
        <v>610</v>
      </c>
      <c r="H1185" t="n">
        <v>37.54</v>
      </c>
      <c r="I1185" t="inlineStr">
        <is>
          <t>credit_card</t>
        </is>
      </c>
      <c r="J1185" t="n">
        <v>6</v>
      </c>
      <c r="K1185" t="inlineStr">
        <is>
          <t>On Time</t>
        </is>
      </c>
      <c r="L1185" t="n">
        <v>5</v>
      </c>
      <c r="M1185">
        <f>VLOOKUP(D1185,State_Lookup!$A$2:$B$28,2,FALSE)</f>
        <v/>
      </c>
    </row>
    <row r="1186">
      <c r="A1186" t="inlineStr">
        <is>
          <t>47420d7f7e141ae9974351d8a438f759</t>
        </is>
      </c>
      <c r="B1186" t="inlineStr">
        <is>
          <t>2017-09-02</t>
        </is>
      </c>
      <c r="C1186" t="inlineStr">
        <is>
          <t>2017-09</t>
        </is>
      </c>
      <c r="D1186" t="inlineStr">
        <is>
          <t>MG</t>
        </is>
      </c>
      <c r="E1186" t="inlineStr">
        <is>
          <t>baby</t>
        </is>
      </c>
      <c r="F1186" t="n">
        <v>1</v>
      </c>
      <c r="G1186" t="n">
        <v>49.9</v>
      </c>
      <c r="H1186" t="n">
        <v>15.1</v>
      </c>
      <c r="I1186" t="inlineStr">
        <is>
          <t>credit_card</t>
        </is>
      </c>
      <c r="J1186" t="n">
        <v>10</v>
      </c>
      <c r="K1186" t="inlineStr">
        <is>
          <t>On Time</t>
        </is>
      </c>
      <c r="L1186" t="n">
        <v>5</v>
      </c>
      <c r="M1186">
        <f>VLOOKUP(D1186,State_Lookup!$A$2:$B$28,2,FALSE)</f>
        <v/>
      </c>
    </row>
    <row r="1187">
      <c r="A1187" t="inlineStr">
        <is>
          <t>8bf12a5b441bd86a1edbccb6137c9b0b</t>
        </is>
      </c>
      <c r="B1187" t="inlineStr">
        <is>
          <t>2017-09-02</t>
        </is>
      </c>
      <c r="C1187" t="inlineStr">
        <is>
          <t>2017-09</t>
        </is>
      </c>
      <c r="D1187" t="inlineStr">
        <is>
          <t>SP</t>
        </is>
      </c>
      <c r="E1187" t="inlineStr">
        <is>
          <t>baby</t>
        </is>
      </c>
      <c r="F1187" t="n">
        <v>1</v>
      </c>
      <c r="G1187" t="n">
        <v>3.85</v>
      </c>
      <c r="H1187" t="n">
        <v>7.78</v>
      </c>
      <c r="I1187" t="inlineStr">
        <is>
          <t>credit_card</t>
        </is>
      </c>
      <c r="J1187" t="n">
        <v>11</v>
      </c>
      <c r="K1187" t="inlineStr">
        <is>
          <t>On Time</t>
        </is>
      </c>
      <c r="L1187" t="n">
        <v>5</v>
      </c>
      <c r="M1187">
        <f>VLOOKUP(D1187,State_Lookup!$A$2:$B$28,2,FALSE)</f>
        <v/>
      </c>
    </row>
    <row r="1188">
      <c r="A1188" t="inlineStr">
        <is>
          <t>d99e6849f7676dade195f20c26f0eb4f</t>
        </is>
      </c>
      <c r="B1188" t="inlineStr">
        <is>
          <t>2017-09-02</t>
        </is>
      </c>
      <c r="C1188" t="inlineStr">
        <is>
          <t>2017-09</t>
        </is>
      </c>
      <c r="D1188" t="inlineStr">
        <is>
          <t>MG</t>
        </is>
      </c>
      <c r="E1188" t="inlineStr">
        <is>
          <t>sports_leisure</t>
        </is>
      </c>
      <c r="F1188" t="n">
        <v>1</v>
      </c>
      <c r="G1188" t="n">
        <v>120</v>
      </c>
      <c r="H1188" t="n">
        <v>15.59</v>
      </c>
      <c r="I1188" t="inlineStr">
        <is>
          <t>credit_card</t>
        </is>
      </c>
      <c r="J1188" t="n">
        <v>5</v>
      </c>
      <c r="K1188" t="inlineStr">
        <is>
          <t>On Time</t>
        </is>
      </c>
      <c r="L1188" t="n">
        <v>5</v>
      </c>
      <c r="M1188">
        <f>VLOOKUP(D1188,State_Lookup!$A$2:$B$28,2,FALSE)</f>
        <v/>
      </c>
    </row>
    <row r="1189">
      <c r="A1189" t="inlineStr">
        <is>
          <t>5b87678fe5651f0c1e5ee9bb16108947</t>
        </is>
      </c>
      <c r="B1189" t="inlineStr">
        <is>
          <t>2017-09-03</t>
        </is>
      </c>
      <c r="C1189" t="inlineStr">
        <is>
          <t>2017-09</t>
        </is>
      </c>
      <c r="D1189" t="inlineStr">
        <is>
          <t>SP</t>
        </is>
      </c>
      <c r="E1189" t="inlineStr">
        <is>
          <t>luggage_accessories</t>
        </is>
      </c>
      <c r="F1189" t="n">
        <v>1</v>
      </c>
      <c r="G1189" t="n">
        <v>98.90000000000001</v>
      </c>
      <c r="H1189" t="n">
        <v>14.42</v>
      </c>
      <c r="I1189" t="inlineStr">
        <is>
          <t>boleto</t>
        </is>
      </c>
      <c r="J1189" t="n">
        <v>12</v>
      </c>
      <c r="K1189" t="inlineStr">
        <is>
          <t>On Time</t>
        </is>
      </c>
      <c r="L1189" t="n">
        <v>5</v>
      </c>
      <c r="M1189">
        <f>VLOOKUP(D1189,State_Lookup!$A$2:$B$28,2,FALSE)</f>
        <v/>
      </c>
    </row>
    <row r="1190">
      <c r="A1190" t="inlineStr">
        <is>
          <t>b708a78d59d407b8733f3f3e9b11596e</t>
        </is>
      </c>
      <c r="B1190" t="inlineStr">
        <is>
          <t>2017-09-03</t>
        </is>
      </c>
      <c r="C1190" t="inlineStr">
        <is>
          <t>2017-09</t>
        </is>
      </c>
      <c r="D1190" t="inlineStr">
        <is>
          <t>DF</t>
        </is>
      </c>
      <c r="E1190" t="inlineStr">
        <is>
          <t>sports_leisure</t>
        </is>
      </c>
      <c r="F1190" t="n">
        <v>1</v>
      </c>
      <c r="G1190" t="n">
        <v>199.9</v>
      </c>
      <c r="H1190" t="n">
        <v>21.89</v>
      </c>
      <c r="I1190" t="inlineStr">
        <is>
          <t>credit_card</t>
        </is>
      </c>
      <c r="J1190" t="n">
        <v>10</v>
      </c>
      <c r="K1190" t="inlineStr">
        <is>
          <t>On Time</t>
        </is>
      </c>
      <c r="L1190" t="n">
        <v>3</v>
      </c>
      <c r="M1190">
        <f>VLOOKUP(D1190,State_Lookup!$A$2:$B$28,2,FALSE)</f>
        <v/>
      </c>
    </row>
    <row r="1191">
      <c r="A1191" t="inlineStr">
        <is>
          <t>ff50008f24df5da8799bd7804c77686c</t>
        </is>
      </c>
      <c r="B1191" t="inlineStr">
        <is>
          <t>2017-09-03</t>
        </is>
      </c>
      <c r="C1191" t="inlineStr">
        <is>
          <t>2017-09</t>
        </is>
      </c>
      <c r="D1191" t="inlineStr">
        <is>
          <t>SC</t>
        </is>
      </c>
      <c r="E1191" t="inlineStr">
        <is>
          <t>auto</t>
        </is>
      </c>
      <c r="F1191" t="n">
        <v>1</v>
      </c>
      <c r="G1191" t="n">
        <v>18</v>
      </c>
      <c r="H1191" t="n">
        <v>15.1</v>
      </c>
      <c r="I1191" t="inlineStr">
        <is>
          <t>credit_card</t>
        </is>
      </c>
      <c r="J1191" t="n">
        <v>10</v>
      </c>
      <c r="K1191" t="inlineStr">
        <is>
          <t>On Time</t>
        </is>
      </c>
      <c r="L1191" t="n">
        <v>5</v>
      </c>
      <c r="M1191">
        <f>VLOOKUP(D1191,State_Lookup!$A$2:$B$28,2,FALSE)</f>
        <v/>
      </c>
    </row>
    <row r="1192">
      <c r="A1192" t="inlineStr">
        <is>
          <t>d891fcff7f5720b6a87ecd0a3dbf0c27</t>
        </is>
      </c>
      <c r="B1192" t="inlineStr">
        <is>
          <t>2017-09-03</t>
        </is>
      </c>
      <c r="C1192" t="inlineStr">
        <is>
          <t>2017-09</t>
        </is>
      </c>
      <c r="D1192" t="inlineStr">
        <is>
          <t>RS</t>
        </is>
      </c>
      <c r="E1192" t="inlineStr">
        <is>
          <t>furniture_decor</t>
        </is>
      </c>
      <c r="F1192" t="n">
        <v>1</v>
      </c>
      <c r="G1192" t="n">
        <v>89.90000000000001</v>
      </c>
      <c r="H1192" t="n">
        <v>15.39</v>
      </c>
      <c r="I1192" t="inlineStr">
        <is>
          <t>credit_card</t>
        </is>
      </c>
      <c r="J1192" t="n">
        <v>5</v>
      </c>
      <c r="K1192" t="inlineStr">
        <is>
          <t>On Time</t>
        </is>
      </c>
      <c r="L1192" t="n">
        <v>5</v>
      </c>
      <c r="M1192">
        <f>VLOOKUP(D1192,State_Lookup!$A$2:$B$28,2,FALSE)</f>
        <v/>
      </c>
    </row>
    <row r="1193">
      <c r="A1193" t="inlineStr">
        <is>
          <t>33481c8e76159f5a3318911105d58475</t>
        </is>
      </c>
      <c r="B1193" t="inlineStr">
        <is>
          <t>2017-09-03</t>
        </is>
      </c>
      <c r="C1193" t="inlineStr">
        <is>
          <t>2017-09</t>
        </is>
      </c>
      <c r="D1193" t="inlineStr">
        <is>
          <t>RS</t>
        </is>
      </c>
      <c r="E1193" t="inlineStr">
        <is>
          <t>consoles_games</t>
        </is>
      </c>
      <c r="F1193" t="n">
        <v>1</v>
      </c>
      <c r="G1193" t="n">
        <v>36.76</v>
      </c>
      <c r="H1193" t="n">
        <v>15.1</v>
      </c>
      <c r="I1193" t="inlineStr">
        <is>
          <t>credit_card</t>
        </is>
      </c>
      <c r="J1193" t="n">
        <v>16</v>
      </c>
      <c r="K1193" t="inlineStr">
        <is>
          <t>On Time</t>
        </is>
      </c>
      <c r="L1193" t="n">
        <v>1</v>
      </c>
      <c r="M1193">
        <f>VLOOKUP(D1193,State_Lookup!$A$2:$B$28,2,FALSE)</f>
        <v/>
      </c>
    </row>
    <row r="1194">
      <c r="A1194" t="inlineStr">
        <is>
          <t>98dc9b1a84fd406155ed39ab4027c61e</t>
        </is>
      </c>
      <c r="B1194" t="inlineStr">
        <is>
          <t>2017-09-03</t>
        </is>
      </c>
      <c r="C1194" t="inlineStr">
        <is>
          <t>2017-09</t>
        </is>
      </c>
      <c r="D1194" t="inlineStr">
        <is>
          <t>MG</t>
        </is>
      </c>
      <c r="E1194" t="inlineStr">
        <is>
          <t>telephony</t>
        </is>
      </c>
      <c r="F1194" t="n">
        <v>1</v>
      </c>
      <c r="G1194" t="n">
        <v>24.9</v>
      </c>
      <c r="H1194" t="n">
        <v>15.1</v>
      </c>
      <c r="I1194" t="inlineStr">
        <is>
          <t>credit_card</t>
        </is>
      </c>
      <c r="J1194" t="n">
        <v>5</v>
      </c>
      <c r="K1194" t="inlineStr">
        <is>
          <t>On Time</t>
        </is>
      </c>
      <c r="L1194" t="n">
        <v>4</v>
      </c>
      <c r="M1194">
        <f>VLOOKUP(D1194,State_Lookup!$A$2:$B$28,2,FALSE)</f>
        <v/>
      </c>
    </row>
    <row r="1195">
      <c r="A1195" t="inlineStr">
        <is>
          <t>eb79e3366c1e8ef5a331f96b5c73995f</t>
        </is>
      </c>
      <c r="B1195" t="inlineStr">
        <is>
          <t>2017-09-04</t>
        </is>
      </c>
      <c r="C1195" t="inlineStr">
        <is>
          <t>2017-09</t>
        </is>
      </c>
      <c r="D1195" t="inlineStr">
        <is>
          <t>RJ</t>
        </is>
      </c>
      <c r="E1195" t="inlineStr">
        <is>
          <t>garden_tools</t>
        </is>
      </c>
      <c r="F1195" t="n">
        <v>2</v>
      </c>
      <c r="G1195" t="n">
        <v>119.8</v>
      </c>
      <c r="H1195" t="n">
        <v>35.34</v>
      </c>
      <c r="I1195" t="inlineStr">
        <is>
          <t>boleto</t>
        </is>
      </c>
      <c r="J1195" t="n">
        <v>14</v>
      </c>
      <c r="K1195" t="inlineStr">
        <is>
          <t>On Time</t>
        </is>
      </c>
      <c r="L1195" t="n">
        <v>5</v>
      </c>
      <c r="M1195">
        <f>VLOOKUP(D1195,State_Lookup!$A$2:$B$28,2,FALSE)</f>
        <v/>
      </c>
    </row>
    <row r="1196">
      <c r="A1196" t="inlineStr">
        <is>
          <t>c465b4dc1929898adffb867fb70fbadd</t>
        </is>
      </c>
      <c r="B1196" t="inlineStr">
        <is>
          <t>2017-09-04</t>
        </is>
      </c>
      <c r="C1196" t="inlineStr">
        <is>
          <t>2017-09</t>
        </is>
      </c>
      <c r="D1196" t="inlineStr">
        <is>
          <t>SP</t>
        </is>
      </c>
      <c r="E1196" t="inlineStr">
        <is>
          <t>baby</t>
        </is>
      </c>
      <c r="F1196" t="n">
        <v>2</v>
      </c>
      <c r="G1196" t="n">
        <v>114.8</v>
      </c>
      <c r="H1196" t="n">
        <v>15.56</v>
      </c>
      <c r="I1196" t="inlineStr">
        <is>
          <t>boleto</t>
        </is>
      </c>
      <c r="J1196" t="n">
        <v>7</v>
      </c>
      <c r="K1196" t="inlineStr">
        <is>
          <t>On Time</t>
        </is>
      </c>
      <c r="L1196" t="n">
        <v>5</v>
      </c>
      <c r="M1196">
        <f>VLOOKUP(D1196,State_Lookup!$A$2:$B$28,2,FALSE)</f>
        <v/>
      </c>
    </row>
    <row r="1197">
      <c r="A1197" t="inlineStr">
        <is>
          <t>79ecc3e68b2d54e056223964de8bca98</t>
        </is>
      </c>
      <c r="B1197" t="inlineStr">
        <is>
          <t>2017-09-04</t>
        </is>
      </c>
      <c r="C1197" t="inlineStr">
        <is>
          <t>2017-09</t>
        </is>
      </c>
      <c r="D1197" t="inlineStr">
        <is>
          <t>RJ</t>
        </is>
      </c>
      <c r="E1197" t="inlineStr">
        <is>
          <t>health_beauty</t>
        </is>
      </c>
      <c r="F1197" t="n">
        <v>1</v>
      </c>
      <c r="G1197" t="n">
        <v>118.33</v>
      </c>
      <c r="H1197" t="n">
        <v>18.08</v>
      </c>
      <c r="I1197" t="inlineStr">
        <is>
          <t>voucher</t>
        </is>
      </c>
      <c r="J1197" t="n">
        <v>7</v>
      </c>
      <c r="K1197" t="inlineStr">
        <is>
          <t>On Time</t>
        </is>
      </c>
      <c r="L1197" t="n">
        <v>5</v>
      </c>
      <c r="M1197">
        <f>VLOOKUP(D1197,State_Lookup!$A$2:$B$28,2,FALSE)</f>
        <v/>
      </c>
    </row>
    <row r="1198">
      <c r="A1198" t="inlineStr">
        <is>
          <t>e0409d7f1bbf560cbc2472a046339c3c</t>
        </is>
      </c>
      <c r="B1198" t="inlineStr">
        <is>
          <t>2017-09-04</t>
        </is>
      </c>
      <c r="C1198" t="inlineStr">
        <is>
          <t>2017-09</t>
        </is>
      </c>
      <c r="D1198" t="inlineStr">
        <is>
          <t>MG</t>
        </is>
      </c>
      <c r="E1198" t="inlineStr">
        <is>
          <t>health_beauty</t>
        </is>
      </c>
      <c r="F1198" t="n">
        <v>1</v>
      </c>
      <c r="G1198" t="n">
        <v>119.9</v>
      </c>
      <c r="H1198" t="n">
        <v>18.09</v>
      </c>
      <c r="I1198" t="inlineStr">
        <is>
          <t>credit_card</t>
        </is>
      </c>
      <c r="J1198" t="n">
        <v>15</v>
      </c>
      <c r="K1198" t="inlineStr">
        <is>
          <t>On Time</t>
        </is>
      </c>
      <c r="L1198" t="n">
        <v>4</v>
      </c>
      <c r="M1198">
        <f>VLOOKUP(D1198,State_Lookup!$A$2:$B$28,2,FALSE)</f>
        <v/>
      </c>
    </row>
    <row r="1199">
      <c r="A1199" t="inlineStr">
        <is>
          <t>41a207671f292d00ffea01b171f2a30b</t>
        </is>
      </c>
      <c r="B1199" t="inlineStr">
        <is>
          <t>2017-09-04</t>
        </is>
      </c>
      <c r="C1199" t="inlineStr">
        <is>
          <t>2017-09</t>
        </is>
      </c>
      <c r="D1199" t="inlineStr">
        <is>
          <t>SP</t>
        </is>
      </c>
      <c r="E1199" t="inlineStr">
        <is>
          <t>watches_gifts</t>
        </is>
      </c>
      <c r="F1199" t="n">
        <v>2</v>
      </c>
      <c r="G1199" t="n">
        <v>84</v>
      </c>
      <c r="H1199" t="n">
        <v>15.56</v>
      </c>
      <c r="I1199" t="inlineStr">
        <is>
          <t>credit_card</t>
        </is>
      </c>
      <c r="J1199" t="n">
        <v>1</v>
      </c>
      <c r="K1199" t="inlineStr">
        <is>
          <t>On Time</t>
        </is>
      </c>
      <c r="L1199" t="n">
        <v>5</v>
      </c>
      <c r="M1199">
        <f>VLOOKUP(D1199,State_Lookup!$A$2:$B$28,2,FALSE)</f>
        <v/>
      </c>
    </row>
    <row r="1200">
      <c r="A1200" t="inlineStr">
        <is>
          <t>281f470497aa1a0af6a1d6024b3eba93</t>
        </is>
      </c>
      <c r="B1200" t="inlineStr">
        <is>
          <t>2017-09-05</t>
        </is>
      </c>
      <c r="C1200" t="inlineStr">
        <is>
          <t>2017-09</t>
        </is>
      </c>
      <c r="D1200" t="inlineStr">
        <is>
          <t>RJ</t>
        </is>
      </c>
      <c r="E1200" t="inlineStr">
        <is>
          <t>health_beauty</t>
        </is>
      </c>
      <c r="F1200" t="n">
        <v>1</v>
      </c>
      <c r="G1200" t="n">
        <v>199</v>
      </c>
      <c r="H1200" t="n">
        <v>26.23</v>
      </c>
      <c r="I1200" t="inlineStr">
        <is>
          <t>credit_card</t>
        </is>
      </c>
      <c r="J1200" t="n">
        <v>9</v>
      </c>
      <c r="K1200" t="inlineStr">
        <is>
          <t>On Time</t>
        </is>
      </c>
      <c r="L1200" t="n">
        <v>5</v>
      </c>
      <c r="M1200">
        <f>VLOOKUP(D1200,State_Lookup!$A$2:$B$28,2,FALSE)</f>
        <v/>
      </c>
    </row>
    <row r="1201">
      <c r="A1201" t="inlineStr">
        <is>
          <t>0334c2700a7e8ac0f3efeb36b4a91e68</t>
        </is>
      </c>
      <c r="B1201" t="inlineStr">
        <is>
          <t>2017-09-06</t>
        </is>
      </c>
      <c r="C1201" t="inlineStr">
        <is>
          <t>2017-09</t>
        </is>
      </c>
      <c r="D1201" t="inlineStr">
        <is>
          <t>RS</t>
        </is>
      </c>
      <c r="E1201" t="inlineStr">
        <is>
          <t>toys</t>
        </is>
      </c>
      <c r="F1201" t="n">
        <v>1</v>
      </c>
      <c r="G1201" t="n">
        <v>55</v>
      </c>
      <c r="H1201" t="n">
        <v>16.15</v>
      </c>
      <c r="I1201" t="inlineStr">
        <is>
          <t>credit_card</t>
        </is>
      </c>
      <c r="J1201" t="n">
        <v>12</v>
      </c>
      <c r="K1201" t="inlineStr">
        <is>
          <t>On Time</t>
        </is>
      </c>
      <c r="L1201" t="n">
        <v>3</v>
      </c>
      <c r="M1201">
        <f>VLOOKUP(D1201,State_Lookup!$A$2:$B$28,2,FALSE)</f>
        <v/>
      </c>
    </row>
    <row r="1202">
      <c r="A1202" t="inlineStr">
        <is>
          <t>3517c4c24184e3c518a1c8319dc60765</t>
        </is>
      </c>
      <c r="B1202" t="inlineStr">
        <is>
          <t>2017-09-06</t>
        </is>
      </c>
      <c r="C1202" t="inlineStr">
        <is>
          <t>2017-09</t>
        </is>
      </c>
      <c r="D1202" t="inlineStr">
        <is>
          <t>SP</t>
        </is>
      </c>
      <c r="E1202" t="inlineStr">
        <is>
          <t>perfumery</t>
        </is>
      </c>
      <c r="F1202" t="n">
        <v>1</v>
      </c>
      <c r="G1202" t="n">
        <v>119.9</v>
      </c>
      <c r="H1202" t="n">
        <v>21.33</v>
      </c>
      <c r="I1202" t="inlineStr">
        <is>
          <t>credit_card</t>
        </is>
      </c>
      <c r="J1202" t="n">
        <v>13</v>
      </c>
      <c r="K1202" t="inlineStr">
        <is>
          <t>On Time</t>
        </is>
      </c>
      <c r="L1202" t="n">
        <v>5</v>
      </c>
      <c r="M1202">
        <f>VLOOKUP(D1202,State_Lookup!$A$2:$B$28,2,FALSE)</f>
        <v/>
      </c>
    </row>
    <row r="1203">
      <c r="A1203" t="inlineStr">
        <is>
          <t>e5c4134a422573e560cba643f9318bc1</t>
        </is>
      </c>
      <c r="B1203" t="inlineStr">
        <is>
          <t>2017-09-06</t>
        </is>
      </c>
      <c r="C1203" t="inlineStr">
        <is>
          <t>2017-09</t>
        </is>
      </c>
      <c r="D1203" t="inlineStr">
        <is>
          <t>MT</t>
        </is>
      </c>
      <c r="E1203" t="inlineStr">
        <is>
          <t>cool_stuff</t>
        </is>
      </c>
      <c r="F1203" t="n">
        <v>1</v>
      </c>
      <c r="G1203" t="n">
        <v>105</v>
      </c>
      <c r="H1203" t="n">
        <v>22.6</v>
      </c>
      <c r="I1203" t="inlineStr">
        <is>
          <t>credit_card</t>
        </is>
      </c>
      <c r="J1203" t="n">
        <v>7</v>
      </c>
      <c r="K1203" t="inlineStr">
        <is>
          <t>On Time</t>
        </is>
      </c>
      <c r="L1203" t="n">
        <v>5</v>
      </c>
      <c r="M1203">
        <f>VLOOKUP(D1203,State_Lookup!$A$2:$B$28,2,FALSE)</f>
        <v/>
      </c>
    </row>
    <row r="1204">
      <c r="A1204" t="inlineStr">
        <is>
          <t>6eec08eba397611760a7ccd3cd4aa98b</t>
        </is>
      </c>
      <c r="B1204" t="inlineStr">
        <is>
          <t>2017-09-06</t>
        </is>
      </c>
      <c r="C1204" t="inlineStr">
        <is>
          <t>2017-09</t>
        </is>
      </c>
      <c r="D1204" t="inlineStr">
        <is>
          <t>SP</t>
        </is>
      </c>
      <c r="E1204" t="inlineStr">
        <is>
          <t>baby</t>
        </is>
      </c>
      <c r="F1204" t="n">
        <v>1</v>
      </c>
      <c r="G1204" t="n">
        <v>25</v>
      </c>
      <c r="H1204" t="n">
        <v>7.78</v>
      </c>
      <c r="I1204" t="inlineStr">
        <is>
          <t>boleto</t>
        </is>
      </c>
      <c r="J1204" t="n">
        <v>6</v>
      </c>
      <c r="K1204" t="inlineStr">
        <is>
          <t>On Time</t>
        </is>
      </c>
      <c r="L1204" t="n">
        <v>3</v>
      </c>
      <c r="M1204">
        <f>VLOOKUP(D1204,State_Lookup!$A$2:$B$28,2,FALSE)</f>
        <v/>
      </c>
    </row>
    <row r="1205">
      <c r="A1205" t="inlineStr">
        <is>
          <t>6c77310ef232ed3cc83889e26f3b5159</t>
        </is>
      </c>
      <c r="B1205" t="inlineStr">
        <is>
          <t>2017-09-06</t>
        </is>
      </c>
      <c r="C1205" t="inlineStr">
        <is>
          <t>2017-09</t>
        </is>
      </c>
      <c r="D1205" t="inlineStr">
        <is>
          <t>RJ</t>
        </is>
      </c>
      <c r="E1205" t="inlineStr">
        <is>
          <t>health_beauty</t>
        </is>
      </c>
      <c r="F1205" t="n">
        <v>1</v>
      </c>
      <c r="G1205" t="n">
        <v>58.99</v>
      </c>
      <c r="H1205" t="n">
        <v>16.66</v>
      </c>
      <c r="I1205" t="inlineStr">
        <is>
          <t>credit_card</t>
        </is>
      </c>
      <c r="J1205" t="n">
        <v>11</v>
      </c>
      <c r="K1205" t="inlineStr">
        <is>
          <t>On Time</t>
        </is>
      </c>
      <c r="L1205" t="n">
        <v>1</v>
      </c>
      <c r="M1205">
        <f>VLOOKUP(D1205,State_Lookup!$A$2:$B$28,2,FALSE)</f>
        <v/>
      </c>
    </row>
    <row r="1206">
      <c r="A1206" t="inlineStr">
        <is>
          <t>09e3a74fe474342885a70d1b2452c1e2</t>
        </is>
      </c>
      <c r="B1206" t="inlineStr">
        <is>
          <t>2017-09-06</t>
        </is>
      </c>
      <c r="C1206" t="inlineStr">
        <is>
          <t>2017-09</t>
        </is>
      </c>
      <c r="D1206" t="inlineStr">
        <is>
          <t>BA</t>
        </is>
      </c>
      <c r="E1206" t="inlineStr">
        <is>
          <t>housewares</t>
        </is>
      </c>
      <c r="F1206" t="n">
        <v>1</v>
      </c>
      <c r="G1206" t="n">
        <v>50</v>
      </c>
      <c r="H1206" t="n">
        <v>47.79</v>
      </c>
      <c r="I1206" t="inlineStr">
        <is>
          <t>boleto</t>
        </is>
      </c>
      <c r="J1206" t="n">
        <v>35</v>
      </c>
      <c r="K1206" t="inlineStr">
        <is>
          <t>Late</t>
        </is>
      </c>
      <c r="L1206" t="n">
        <v>1</v>
      </c>
      <c r="M1206">
        <f>VLOOKUP(D1206,State_Lookup!$A$2:$B$28,2,FALSE)</f>
        <v/>
      </c>
    </row>
    <row r="1207">
      <c r="A1207" t="inlineStr">
        <is>
          <t>56d8f7fb6d7398024039c2b7dff3fd0d</t>
        </is>
      </c>
      <c r="B1207" t="inlineStr">
        <is>
          <t>2017-09-06</t>
        </is>
      </c>
      <c r="C1207" t="inlineStr">
        <is>
          <t>2017-09</t>
        </is>
      </c>
      <c r="D1207" t="inlineStr">
        <is>
          <t>RJ</t>
        </is>
      </c>
      <c r="E1207" t="inlineStr">
        <is>
          <t>health_beauty</t>
        </is>
      </c>
      <c r="F1207" t="n">
        <v>1</v>
      </c>
      <c r="G1207" t="n">
        <v>59</v>
      </c>
      <c r="H1207" t="n">
        <v>105.33</v>
      </c>
      <c r="I1207" t="inlineStr">
        <is>
          <t>credit_card</t>
        </is>
      </c>
      <c r="J1207" t="n">
        <v>6</v>
      </c>
      <c r="K1207" t="inlineStr">
        <is>
          <t>On Time</t>
        </is>
      </c>
      <c r="L1207" t="n">
        <v>1</v>
      </c>
      <c r="M1207">
        <f>VLOOKUP(D1207,State_Lookup!$A$2:$B$28,2,FALSE)</f>
        <v/>
      </c>
    </row>
    <row r="1208">
      <c r="A1208" t="inlineStr">
        <is>
          <t>7672a59c69b073e25dba933ef431d182</t>
        </is>
      </c>
      <c r="B1208" t="inlineStr">
        <is>
          <t>2017-09-06</t>
        </is>
      </c>
      <c r="C1208" t="inlineStr">
        <is>
          <t>2017-09</t>
        </is>
      </c>
      <c r="D1208" t="inlineStr">
        <is>
          <t>MG</t>
        </is>
      </c>
      <c r="E1208" t="inlineStr">
        <is>
          <t>baby</t>
        </is>
      </c>
      <c r="F1208" t="n">
        <v>1</v>
      </c>
      <c r="G1208" t="n">
        <v>151.2</v>
      </c>
      <c r="H1208" t="n">
        <v>18.31</v>
      </c>
      <c r="I1208" t="inlineStr">
        <is>
          <t>credit_card</t>
        </is>
      </c>
      <c r="J1208" t="n">
        <v>13</v>
      </c>
      <c r="K1208" t="inlineStr">
        <is>
          <t>On Time</t>
        </is>
      </c>
      <c r="L1208" t="n">
        <v>5</v>
      </c>
      <c r="M1208">
        <f>VLOOKUP(D1208,State_Lookup!$A$2:$B$28,2,FALSE)</f>
        <v/>
      </c>
    </row>
    <row r="1209">
      <c r="A1209" t="inlineStr">
        <is>
          <t>4638df545f7ab35cb2e4ed4bcb490e17</t>
        </is>
      </c>
      <c r="B1209" t="inlineStr">
        <is>
          <t>2017-09-07</t>
        </is>
      </c>
      <c r="C1209" t="inlineStr">
        <is>
          <t>2017-09</t>
        </is>
      </c>
      <c r="D1209" t="inlineStr">
        <is>
          <t>RJ</t>
        </is>
      </c>
      <c r="E1209" t="inlineStr">
        <is>
          <t>health_beauty</t>
        </is>
      </c>
      <c r="F1209" t="n">
        <v>1</v>
      </c>
      <c r="G1209" t="n">
        <v>760</v>
      </c>
      <c r="H1209" t="n">
        <v>142.35</v>
      </c>
      <c r="I1209" t="inlineStr">
        <is>
          <t>credit_card</t>
        </is>
      </c>
      <c r="J1209" t="n">
        <v>29</v>
      </c>
      <c r="K1209" t="inlineStr">
        <is>
          <t>Late</t>
        </is>
      </c>
      <c r="L1209" t="n">
        <v>4</v>
      </c>
      <c r="M1209">
        <f>VLOOKUP(D1209,State_Lookup!$A$2:$B$28,2,FALSE)</f>
        <v/>
      </c>
    </row>
    <row r="1210">
      <c r="A1210" t="inlineStr">
        <is>
          <t>7ed7d32f98587cf0d5aee4ccec43e11e</t>
        </is>
      </c>
      <c r="B1210" t="inlineStr">
        <is>
          <t>2017-09-07</t>
        </is>
      </c>
      <c r="C1210" t="inlineStr">
        <is>
          <t>2017-09</t>
        </is>
      </c>
      <c r="D1210" t="inlineStr">
        <is>
          <t>SP</t>
        </is>
      </c>
      <c r="E1210" t="inlineStr">
        <is>
          <t>furniture_decor</t>
        </is>
      </c>
      <c r="F1210" t="n">
        <v>1</v>
      </c>
      <c r="G1210" t="n">
        <v>31</v>
      </c>
      <c r="H1210" t="n">
        <v>7.78</v>
      </c>
      <c r="I1210" t="inlineStr">
        <is>
          <t>credit_card</t>
        </is>
      </c>
      <c r="J1210" t="n">
        <v>4</v>
      </c>
      <c r="K1210" t="inlineStr">
        <is>
          <t>On Time</t>
        </is>
      </c>
      <c r="L1210" t="n">
        <v>4</v>
      </c>
      <c r="M1210">
        <f>VLOOKUP(D1210,State_Lookup!$A$2:$B$28,2,FALSE)</f>
        <v/>
      </c>
    </row>
    <row r="1211">
      <c r="A1211" t="inlineStr">
        <is>
          <t>71400888e53ed1698734799716d213f8</t>
        </is>
      </c>
      <c r="B1211" t="inlineStr">
        <is>
          <t>2017-09-07</t>
        </is>
      </c>
      <c r="C1211" t="inlineStr">
        <is>
          <t>2017-09</t>
        </is>
      </c>
      <c r="D1211" t="inlineStr">
        <is>
          <t>PR</t>
        </is>
      </c>
      <c r="E1211" t="inlineStr">
        <is>
          <t>health_beauty</t>
        </is>
      </c>
      <c r="F1211" t="n">
        <v>1</v>
      </c>
      <c r="G1211" t="n">
        <v>109.99</v>
      </c>
      <c r="H1211" t="n">
        <v>16.53</v>
      </c>
      <c r="I1211" t="inlineStr">
        <is>
          <t>credit_card</t>
        </is>
      </c>
      <c r="J1211" t="n">
        <v>11</v>
      </c>
      <c r="K1211" t="inlineStr">
        <is>
          <t>On Time</t>
        </is>
      </c>
      <c r="L1211" t="n">
        <v>5</v>
      </c>
      <c r="M1211">
        <f>VLOOKUP(D1211,State_Lookup!$A$2:$B$28,2,FALSE)</f>
        <v/>
      </c>
    </row>
    <row r="1212">
      <c r="A1212" t="inlineStr">
        <is>
          <t>81e4c4d7594a8111a17da1f1b399ba07</t>
        </is>
      </c>
      <c r="B1212" t="inlineStr">
        <is>
          <t>2017-09-07</t>
        </is>
      </c>
      <c r="C1212" t="inlineStr">
        <is>
          <t>2017-09</t>
        </is>
      </c>
      <c r="D1212" t="inlineStr">
        <is>
          <t>RS</t>
        </is>
      </c>
      <c r="E1212" t="inlineStr">
        <is>
          <t>pet_shop</t>
        </is>
      </c>
      <c r="F1212" t="n">
        <v>1</v>
      </c>
      <c r="G1212" t="n">
        <v>89.98999999999999</v>
      </c>
      <c r="H1212" t="n">
        <v>16.39</v>
      </c>
      <c r="I1212" t="inlineStr">
        <is>
          <t>credit_card</t>
        </is>
      </c>
      <c r="J1212" t="n">
        <v>18</v>
      </c>
      <c r="K1212" t="inlineStr">
        <is>
          <t>On Time</t>
        </is>
      </c>
      <c r="L1212" t="n">
        <v>5</v>
      </c>
      <c r="M1212">
        <f>VLOOKUP(D1212,State_Lookup!$A$2:$B$28,2,FALSE)</f>
        <v/>
      </c>
    </row>
    <row r="1213">
      <c r="A1213" t="inlineStr">
        <is>
          <t>eeee28417bb0a24c511c9b96a03fb29b</t>
        </is>
      </c>
      <c r="B1213" t="inlineStr">
        <is>
          <t>2017-09-07</t>
        </is>
      </c>
      <c r="C1213" t="inlineStr">
        <is>
          <t>2017-09</t>
        </is>
      </c>
      <c r="D1213" t="inlineStr">
        <is>
          <t>SP</t>
        </is>
      </c>
      <c r="E1213" t="inlineStr">
        <is>
          <t>cool_stuff</t>
        </is>
      </c>
      <c r="F1213" t="n">
        <v>1</v>
      </c>
      <c r="G1213" t="n">
        <v>119.99</v>
      </c>
      <c r="H1213" t="n">
        <v>12.04</v>
      </c>
      <c r="I1213" t="inlineStr">
        <is>
          <t>credit_card</t>
        </is>
      </c>
      <c r="J1213" t="n">
        <v>5</v>
      </c>
      <c r="K1213" t="inlineStr">
        <is>
          <t>On Time</t>
        </is>
      </c>
      <c r="L1213" t="n">
        <v>4</v>
      </c>
      <c r="M1213">
        <f>VLOOKUP(D1213,State_Lookup!$A$2:$B$28,2,FALSE)</f>
        <v/>
      </c>
    </row>
    <row r="1214">
      <c r="A1214" t="inlineStr">
        <is>
          <t>bc23a8b8a743eb2f2b66eb86a77f8740</t>
        </is>
      </c>
      <c r="B1214" t="inlineStr">
        <is>
          <t>2017-09-07</t>
        </is>
      </c>
      <c r="C1214" t="inlineStr">
        <is>
          <t>2017-09</t>
        </is>
      </c>
      <c r="D1214" t="inlineStr">
        <is>
          <t>RJ</t>
        </is>
      </c>
      <c r="E1214" t="inlineStr">
        <is>
          <t>computers_accessories</t>
        </is>
      </c>
      <c r="F1214" t="n">
        <v>1</v>
      </c>
      <c r="G1214" t="n">
        <v>98</v>
      </c>
      <c r="H1214" t="n">
        <v>17.97</v>
      </c>
      <c r="I1214" t="inlineStr">
        <is>
          <t>credit_card</t>
        </is>
      </c>
      <c r="J1214" t="n">
        <v>10</v>
      </c>
      <c r="K1214" t="inlineStr">
        <is>
          <t>On Time</t>
        </is>
      </c>
      <c r="L1214" t="n">
        <v>4</v>
      </c>
      <c r="M1214">
        <f>VLOOKUP(D1214,State_Lookup!$A$2:$B$28,2,FALSE)</f>
        <v/>
      </c>
    </row>
    <row r="1215">
      <c r="A1215" t="inlineStr">
        <is>
          <t>a2a3400730e376777caa534221041eff</t>
        </is>
      </c>
      <c r="B1215" t="inlineStr">
        <is>
          <t>2017-09-07</t>
        </is>
      </c>
      <c r="C1215" t="inlineStr">
        <is>
          <t>2017-09</t>
        </is>
      </c>
      <c r="D1215" t="inlineStr">
        <is>
          <t>ES</t>
        </is>
      </c>
      <c r="E1215" t="inlineStr">
        <is>
          <t>unknown</t>
        </is>
      </c>
      <c r="F1215" t="n">
        <v>1</v>
      </c>
      <c r="G1215" t="n">
        <v>279.99</v>
      </c>
      <c r="H1215" t="n">
        <v>19.21</v>
      </c>
      <c r="I1215" t="inlineStr">
        <is>
          <t>credit_card</t>
        </is>
      </c>
      <c r="J1215" t="n">
        <v>11</v>
      </c>
      <c r="K1215" t="inlineStr">
        <is>
          <t>On Time</t>
        </is>
      </c>
      <c r="L1215" t="n">
        <v>4</v>
      </c>
      <c r="M1215">
        <f>VLOOKUP(D1215,State_Lookup!$A$2:$B$28,2,FALSE)</f>
        <v/>
      </c>
    </row>
    <row r="1216">
      <c r="A1216" t="inlineStr">
        <is>
          <t>a9514842c946fff73632509db47cc683</t>
        </is>
      </c>
      <c r="B1216" t="inlineStr">
        <is>
          <t>2017-09-07</t>
        </is>
      </c>
      <c r="C1216" t="inlineStr">
        <is>
          <t>2017-09</t>
        </is>
      </c>
      <c r="D1216" t="inlineStr">
        <is>
          <t>DF</t>
        </is>
      </c>
      <c r="E1216" t="inlineStr">
        <is>
          <t>furniture_decor</t>
        </is>
      </c>
      <c r="F1216" t="n">
        <v>1</v>
      </c>
      <c r="G1216" t="n">
        <v>69.90000000000001</v>
      </c>
      <c r="H1216" t="n">
        <v>16.74</v>
      </c>
      <c r="I1216" t="inlineStr">
        <is>
          <t>credit_card</t>
        </is>
      </c>
      <c r="J1216" t="n">
        <v>15</v>
      </c>
      <c r="K1216" t="inlineStr">
        <is>
          <t>On Time</t>
        </is>
      </c>
      <c r="L1216" t="n">
        <v>3</v>
      </c>
      <c r="M1216">
        <f>VLOOKUP(D1216,State_Lookup!$A$2:$B$28,2,FALSE)</f>
        <v/>
      </c>
    </row>
    <row r="1217">
      <c r="A1217" t="inlineStr">
        <is>
          <t>11c601407b62dd629716ee3ff3efa95b</t>
        </is>
      </c>
      <c r="B1217" t="inlineStr">
        <is>
          <t>2017-09-08</t>
        </is>
      </c>
      <c r="C1217" t="inlineStr">
        <is>
          <t>2017-09</t>
        </is>
      </c>
      <c r="D1217" t="inlineStr">
        <is>
          <t>RN</t>
        </is>
      </c>
      <c r="E1217" t="inlineStr">
        <is>
          <t>health_beauty</t>
        </is>
      </c>
      <c r="F1217" t="n">
        <v>1</v>
      </c>
      <c r="G1217" t="n">
        <v>53</v>
      </c>
      <c r="H1217" t="n">
        <v>21.17</v>
      </c>
      <c r="I1217" t="inlineStr">
        <is>
          <t>credit_card</t>
        </is>
      </c>
      <c r="J1217" t="n">
        <v>24</v>
      </c>
      <c r="K1217" t="inlineStr">
        <is>
          <t>On Time</t>
        </is>
      </c>
      <c r="L1217" t="n">
        <v>5</v>
      </c>
      <c r="M1217">
        <f>VLOOKUP(D1217,State_Lookup!$A$2:$B$28,2,FALSE)</f>
        <v/>
      </c>
    </row>
    <row r="1218">
      <c r="A1218" t="inlineStr">
        <is>
          <t>ee72cc3828a08dc0672d88d212db3452</t>
        </is>
      </c>
      <c r="B1218" t="inlineStr">
        <is>
          <t>2017-09-08</t>
        </is>
      </c>
      <c r="C1218" t="inlineStr">
        <is>
          <t>2017-09</t>
        </is>
      </c>
      <c r="D1218" t="inlineStr">
        <is>
          <t>RS</t>
        </is>
      </c>
      <c r="E1218" t="inlineStr">
        <is>
          <t>furniture_decor</t>
        </is>
      </c>
      <c r="F1218" t="n">
        <v>1</v>
      </c>
      <c r="G1218" t="n">
        <v>23.9</v>
      </c>
      <c r="H1218" t="n">
        <v>42.38</v>
      </c>
      <c r="I1218" t="inlineStr">
        <is>
          <t>credit_card</t>
        </is>
      </c>
      <c r="J1218" t="n">
        <v>27</v>
      </c>
      <c r="K1218" t="inlineStr">
        <is>
          <t>On Time</t>
        </is>
      </c>
      <c r="L1218" t="n">
        <v>5</v>
      </c>
      <c r="M1218">
        <f>VLOOKUP(D1218,State_Lookup!$A$2:$B$28,2,FALSE)</f>
        <v/>
      </c>
    </row>
    <row r="1219">
      <c r="A1219" t="inlineStr">
        <is>
          <t>2d41f565da57c810b338c40361477c5f</t>
        </is>
      </c>
      <c r="B1219" t="inlineStr">
        <is>
          <t>2017-09-08</t>
        </is>
      </c>
      <c r="C1219" t="inlineStr">
        <is>
          <t>2017-09</t>
        </is>
      </c>
      <c r="D1219" t="inlineStr">
        <is>
          <t>SC</t>
        </is>
      </c>
      <c r="E1219" t="inlineStr">
        <is>
          <t>pet_shop</t>
        </is>
      </c>
      <c r="F1219" t="n">
        <v>1</v>
      </c>
      <c r="G1219" t="n">
        <v>189.99</v>
      </c>
      <c r="H1219" t="n">
        <v>18.58</v>
      </c>
      <c r="I1219" t="inlineStr">
        <is>
          <t>credit_card</t>
        </is>
      </c>
      <c r="J1219" t="n">
        <v>20</v>
      </c>
      <c r="K1219" t="inlineStr">
        <is>
          <t>On Time</t>
        </is>
      </c>
      <c r="L1219" t="n">
        <v>5</v>
      </c>
      <c r="M1219">
        <f>VLOOKUP(D1219,State_Lookup!$A$2:$B$28,2,FALSE)</f>
        <v/>
      </c>
    </row>
    <row r="1220">
      <c r="A1220" t="inlineStr">
        <is>
          <t>adcb2eeef370c9bf98f5d1e975397950</t>
        </is>
      </c>
      <c r="B1220" t="inlineStr">
        <is>
          <t>2017-09-08</t>
        </is>
      </c>
      <c r="C1220" t="inlineStr">
        <is>
          <t>2017-09</t>
        </is>
      </c>
      <c r="D1220" t="inlineStr">
        <is>
          <t>SP</t>
        </is>
      </c>
      <c r="E1220" t="inlineStr">
        <is>
          <t>electronics</t>
        </is>
      </c>
      <c r="F1220" t="n">
        <v>1</v>
      </c>
      <c r="G1220" t="n">
        <v>17.9</v>
      </c>
      <c r="H1220" t="n">
        <v>12.48</v>
      </c>
      <c r="I1220" t="inlineStr">
        <is>
          <t>boleto</t>
        </is>
      </c>
      <c r="J1220" t="n">
        <v>13</v>
      </c>
      <c r="K1220" t="inlineStr">
        <is>
          <t>On Time</t>
        </is>
      </c>
      <c r="L1220" t="n">
        <v>5</v>
      </c>
      <c r="M1220">
        <f>VLOOKUP(D1220,State_Lookup!$A$2:$B$28,2,FALSE)</f>
        <v/>
      </c>
    </row>
    <row r="1221">
      <c r="A1221" t="inlineStr">
        <is>
          <t>81d6162a00e7332a42e9f26375953d74</t>
        </is>
      </c>
      <c r="B1221" t="inlineStr">
        <is>
          <t>2017-09-08</t>
        </is>
      </c>
      <c r="C1221" t="inlineStr">
        <is>
          <t>2017-09</t>
        </is>
      </c>
      <c r="D1221" t="inlineStr">
        <is>
          <t>DF</t>
        </is>
      </c>
      <c r="E1221" t="inlineStr">
        <is>
          <t>health_beauty</t>
        </is>
      </c>
      <c r="F1221" t="n">
        <v>1</v>
      </c>
      <c r="G1221" t="n">
        <v>89.90000000000001</v>
      </c>
      <c r="H1221" t="n">
        <v>15.38</v>
      </c>
      <c r="I1221" t="inlineStr">
        <is>
          <t>credit_card</t>
        </is>
      </c>
      <c r="J1221" t="n">
        <v>6</v>
      </c>
      <c r="K1221" t="inlineStr">
        <is>
          <t>On Time</t>
        </is>
      </c>
      <c r="L1221" t="n">
        <v>5</v>
      </c>
      <c r="M1221">
        <f>VLOOKUP(D1221,State_Lookup!$A$2:$B$28,2,FALSE)</f>
        <v/>
      </c>
    </row>
    <row r="1222">
      <c r="A1222" t="inlineStr">
        <is>
          <t>f6974499820661b92dd1922750d6f0d0</t>
        </is>
      </c>
      <c r="B1222" t="inlineStr">
        <is>
          <t>2017-09-09</t>
        </is>
      </c>
      <c r="C1222" t="inlineStr">
        <is>
          <t>2017-09</t>
        </is>
      </c>
      <c r="D1222" t="inlineStr">
        <is>
          <t>SP</t>
        </is>
      </c>
      <c r="E1222" t="inlineStr">
        <is>
          <t>furniture_decor</t>
        </is>
      </c>
      <c r="F1222" t="n">
        <v>1</v>
      </c>
      <c r="G1222" t="n">
        <v>49.9</v>
      </c>
      <c r="H1222" t="n">
        <v>8.720000000000001</v>
      </c>
      <c r="I1222" t="inlineStr">
        <is>
          <t>credit_card</t>
        </is>
      </c>
      <c r="J1222" t="n">
        <v>3</v>
      </c>
      <c r="K1222" t="inlineStr">
        <is>
          <t>On Time</t>
        </is>
      </c>
      <c r="L1222" t="n">
        <v>5</v>
      </c>
      <c r="M1222">
        <f>VLOOKUP(D1222,State_Lookup!$A$2:$B$28,2,FALSE)</f>
        <v/>
      </c>
    </row>
    <row r="1223">
      <c r="A1223" t="inlineStr">
        <is>
          <t>6779036ed0ba358b53a569a733f3e408</t>
        </is>
      </c>
      <c r="B1223" t="inlineStr">
        <is>
          <t>2017-09-09</t>
        </is>
      </c>
      <c r="C1223" t="inlineStr">
        <is>
          <t>2017-09</t>
        </is>
      </c>
      <c r="D1223" t="inlineStr">
        <is>
          <t>MA</t>
        </is>
      </c>
      <c r="E1223" t="inlineStr">
        <is>
          <t>furniture_decor</t>
        </is>
      </c>
      <c r="F1223" t="n">
        <v>1</v>
      </c>
      <c r="G1223" t="n">
        <v>299</v>
      </c>
      <c r="H1223" t="n">
        <v>54.45</v>
      </c>
      <c r="I1223" t="inlineStr">
        <is>
          <t>boleto</t>
        </is>
      </c>
      <c r="J1223" t="n">
        <v>30</v>
      </c>
      <c r="K1223" t="inlineStr">
        <is>
          <t>Late</t>
        </is>
      </c>
      <c r="L1223" t="n">
        <v>3</v>
      </c>
      <c r="M1223">
        <f>VLOOKUP(D1223,State_Lookup!$A$2:$B$28,2,FALSE)</f>
        <v/>
      </c>
    </row>
    <row r="1224">
      <c r="A1224" t="inlineStr">
        <is>
          <t>59ff850287c170ca0c5844a659a456a0</t>
        </is>
      </c>
      <c r="B1224" t="inlineStr">
        <is>
          <t>2017-09-09</t>
        </is>
      </c>
      <c r="C1224" t="inlineStr">
        <is>
          <t>2017-09</t>
        </is>
      </c>
      <c r="D1224" t="inlineStr">
        <is>
          <t>SP</t>
        </is>
      </c>
      <c r="E1224" t="inlineStr">
        <is>
          <t>sports_leisure</t>
        </is>
      </c>
      <c r="F1224" t="n">
        <v>2</v>
      </c>
      <c r="G1224" t="n">
        <v>59.8</v>
      </c>
      <c r="H1224" t="n">
        <v>23.7</v>
      </c>
      <c r="I1224" t="inlineStr">
        <is>
          <t>credit_card</t>
        </is>
      </c>
      <c r="J1224" t="n">
        <v>10</v>
      </c>
      <c r="K1224" t="inlineStr">
        <is>
          <t>On Time</t>
        </is>
      </c>
      <c r="L1224" t="n">
        <v>5</v>
      </c>
      <c r="M1224">
        <f>VLOOKUP(D1224,State_Lookup!$A$2:$B$28,2,FALSE)</f>
        <v/>
      </c>
    </row>
    <row r="1225">
      <c r="A1225" t="inlineStr">
        <is>
          <t>23923af7b4df1da5db096c921e728325</t>
        </is>
      </c>
      <c r="B1225" t="inlineStr">
        <is>
          <t>2017-09-09</t>
        </is>
      </c>
      <c r="C1225" t="inlineStr">
        <is>
          <t>2017-09</t>
        </is>
      </c>
      <c r="D1225" t="inlineStr">
        <is>
          <t>SP</t>
        </is>
      </c>
      <c r="E1225" t="inlineStr">
        <is>
          <t>computers_accessories</t>
        </is>
      </c>
      <c r="F1225" t="n">
        <v>1</v>
      </c>
      <c r="G1225" t="n">
        <v>15</v>
      </c>
      <c r="H1225" t="n">
        <v>11.85</v>
      </c>
      <c r="I1225" t="inlineStr">
        <is>
          <t>credit_card</t>
        </is>
      </c>
      <c r="J1225" t="n">
        <v>5</v>
      </c>
      <c r="K1225" t="inlineStr">
        <is>
          <t>On Time</t>
        </is>
      </c>
      <c r="L1225" t="n">
        <v>5</v>
      </c>
      <c r="M1225">
        <f>VLOOKUP(D1225,State_Lookup!$A$2:$B$28,2,FALSE)</f>
        <v/>
      </c>
    </row>
    <row r="1226">
      <c r="A1226" t="inlineStr">
        <is>
          <t>0e905ed8f17c6568a12cad104c041e34</t>
        </is>
      </c>
      <c r="B1226" t="inlineStr">
        <is>
          <t>2017-09-09</t>
        </is>
      </c>
      <c r="C1226" t="inlineStr">
        <is>
          <t>2017-09</t>
        </is>
      </c>
      <c r="D1226" t="inlineStr">
        <is>
          <t>RJ</t>
        </is>
      </c>
      <c r="E1226" t="inlineStr">
        <is>
          <t>bed_bath_table</t>
        </is>
      </c>
      <c r="F1226" t="n">
        <v>1</v>
      </c>
      <c r="G1226" t="n">
        <v>45.95</v>
      </c>
      <c r="H1226" t="n">
        <v>15.1</v>
      </c>
      <c r="I1226" t="inlineStr">
        <is>
          <t>credit_card</t>
        </is>
      </c>
      <c r="J1226" t="n">
        <v>16</v>
      </c>
      <c r="K1226" t="inlineStr">
        <is>
          <t>On Time</t>
        </is>
      </c>
      <c r="L1226" t="n">
        <v>3</v>
      </c>
      <c r="M1226">
        <f>VLOOKUP(D1226,State_Lookup!$A$2:$B$28,2,FALSE)</f>
        <v/>
      </c>
    </row>
    <row r="1227">
      <c r="A1227" t="inlineStr">
        <is>
          <t>b9222683e55758e925b1931565b4f343</t>
        </is>
      </c>
      <c r="B1227" t="inlineStr">
        <is>
          <t>2017-09-09</t>
        </is>
      </c>
      <c r="C1227" t="inlineStr">
        <is>
          <t>2017-09</t>
        </is>
      </c>
      <c r="D1227" t="inlineStr">
        <is>
          <t>SP</t>
        </is>
      </c>
      <c r="E1227" t="inlineStr">
        <is>
          <t>telephony</t>
        </is>
      </c>
      <c r="F1227" t="n">
        <v>1</v>
      </c>
      <c r="G1227" t="n">
        <v>299.99</v>
      </c>
      <c r="H1227" t="n">
        <v>22.9</v>
      </c>
      <c r="I1227" t="inlineStr">
        <is>
          <t>credit_card</t>
        </is>
      </c>
      <c r="J1227" t="n">
        <v>6</v>
      </c>
      <c r="K1227" t="inlineStr">
        <is>
          <t>On Time</t>
        </is>
      </c>
      <c r="L1227" t="n">
        <v>3</v>
      </c>
      <c r="M1227">
        <f>VLOOKUP(D1227,State_Lookup!$A$2:$B$28,2,FALSE)</f>
        <v/>
      </c>
    </row>
    <row r="1228">
      <c r="A1228" t="inlineStr">
        <is>
          <t>d01892cabdc79c6a7592dbe80c5d7192</t>
        </is>
      </c>
      <c r="B1228" t="inlineStr">
        <is>
          <t>2017-09-10</t>
        </is>
      </c>
      <c r="C1228" t="inlineStr">
        <is>
          <t>2017-09</t>
        </is>
      </c>
      <c r="D1228" t="inlineStr">
        <is>
          <t>SP</t>
        </is>
      </c>
      <c r="E1228" t="inlineStr">
        <is>
          <t>sports_leisure</t>
        </is>
      </c>
      <c r="F1228" t="n">
        <v>1</v>
      </c>
      <c r="G1228" t="n">
        <v>159.9</v>
      </c>
      <c r="H1228" t="n">
        <v>14.14</v>
      </c>
      <c r="I1228" t="inlineStr">
        <is>
          <t>credit_card</t>
        </is>
      </c>
      <c r="J1228" t="n">
        <v>9</v>
      </c>
      <c r="K1228" t="inlineStr">
        <is>
          <t>On Time</t>
        </is>
      </c>
      <c r="L1228" t="n">
        <v>5</v>
      </c>
      <c r="M1228">
        <f>VLOOKUP(D1228,State_Lookup!$A$2:$B$28,2,FALSE)</f>
        <v/>
      </c>
    </row>
    <row r="1229">
      <c r="A1229" t="inlineStr">
        <is>
          <t>9b1d71b20edcf15ab15e0bb4a932f23f</t>
        </is>
      </c>
      <c r="B1229" t="inlineStr">
        <is>
          <t>2017-09-10</t>
        </is>
      </c>
      <c r="C1229" t="inlineStr">
        <is>
          <t>2017-09</t>
        </is>
      </c>
      <c r="D1229" t="inlineStr">
        <is>
          <t>DF</t>
        </is>
      </c>
      <c r="E1229" t="inlineStr">
        <is>
          <t>audio</t>
        </is>
      </c>
      <c r="F1229" t="n">
        <v>1</v>
      </c>
      <c r="G1229" t="n">
        <v>79</v>
      </c>
      <c r="H1229" t="n">
        <v>16.31</v>
      </c>
      <c r="I1229" t="inlineStr">
        <is>
          <t>credit_card</t>
        </is>
      </c>
      <c r="J1229" t="n">
        <v>25</v>
      </c>
      <c r="K1229" t="inlineStr">
        <is>
          <t>Late</t>
        </is>
      </c>
      <c r="L1229" t="n">
        <v>1</v>
      </c>
      <c r="M1229">
        <f>VLOOKUP(D1229,State_Lookup!$A$2:$B$28,2,FALSE)</f>
        <v/>
      </c>
    </row>
    <row r="1230">
      <c r="A1230" t="inlineStr">
        <is>
          <t>5251ac9886fbf2953b24c9f45364837e</t>
        </is>
      </c>
      <c r="B1230" t="inlineStr">
        <is>
          <t>2017-09-10</t>
        </is>
      </c>
      <c r="C1230" t="inlineStr">
        <is>
          <t>2017-09</t>
        </is>
      </c>
      <c r="D1230" t="inlineStr">
        <is>
          <t>SC</t>
        </is>
      </c>
      <c r="E1230" t="inlineStr">
        <is>
          <t>perfumery</t>
        </is>
      </c>
      <c r="F1230" t="n">
        <v>1</v>
      </c>
      <c r="G1230" t="n">
        <v>39.5</v>
      </c>
      <c r="H1230" t="n">
        <v>15.1</v>
      </c>
      <c r="I1230" t="inlineStr">
        <is>
          <t>credit_card</t>
        </is>
      </c>
      <c r="J1230" t="n">
        <v>5</v>
      </c>
      <c r="K1230" t="inlineStr">
        <is>
          <t>On Time</t>
        </is>
      </c>
      <c r="L1230" t="n">
        <v>5</v>
      </c>
      <c r="M1230">
        <f>VLOOKUP(D1230,State_Lookup!$A$2:$B$28,2,FALSE)</f>
        <v/>
      </c>
    </row>
    <row r="1231">
      <c r="A1231" t="inlineStr">
        <is>
          <t>0cda834be88c6e549a9895efe5e0b49f</t>
        </is>
      </c>
      <c r="B1231" t="inlineStr">
        <is>
          <t>2017-09-10</t>
        </is>
      </c>
      <c r="C1231" t="inlineStr">
        <is>
          <t>2017-09</t>
        </is>
      </c>
      <c r="D1231" t="inlineStr">
        <is>
          <t>SP</t>
        </is>
      </c>
      <c r="E1231" t="inlineStr">
        <is>
          <t>home_appliances_2</t>
        </is>
      </c>
      <c r="F1231" t="n">
        <v>2</v>
      </c>
      <c r="G1231" t="n">
        <v>190.9</v>
      </c>
      <c r="H1231" t="n">
        <v>52.22</v>
      </c>
      <c r="I1231" t="inlineStr">
        <is>
          <t>credit_card</t>
        </is>
      </c>
      <c r="J1231" t="n">
        <v>15</v>
      </c>
      <c r="K1231" t="inlineStr">
        <is>
          <t>On Time</t>
        </is>
      </c>
      <c r="L1231" t="n">
        <v>3</v>
      </c>
      <c r="M1231">
        <f>VLOOKUP(D1231,State_Lookup!$A$2:$B$28,2,FALSE)</f>
        <v/>
      </c>
    </row>
    <row r="1232">
      <c r="A1232" t="inlineStr">
        <is>
          <t>c2376b3688a7b2bad91daeccb5097ffc</t>
        </is>
      </c>
      <c r="B1232" t="inlineStr">
        <is>
          <t>2017-09-10</t>
        </is>
      </c>
      <c r="C1232" t="inlineStr">
        <is>
          <t>2017-09</t>
        </is>
      </c>
      <c r="D1232" t="inlineStr">
        <is>
          <t>BA</t>
        </is>
      </c>
      <c r="E1232" t="inlineStr">
        <is>
          <t>cool_stuff</t>
        </is>
      </c>
      <c r="F1232" t="n">
        <v>1</v>
      </c>
      <c r="G1232" t="n">
        <v>99.98999999999999</v>
      </c>
      <c r="H1232" t="n">
        <v>19.94</v>
      </c>
      <c r="I1232" t="inlineStr">
        <is>
          <t>boleto</t>
        </is>
      </c>
      <c r="J1232" t="n">
        <v>16</v>
      </c>
      <c r="K1232" t="inlineStr">
        <is>
          <t>On Time</t>
        </is>
      </c>
      <c r="L1232" t="n">
        <v>5</v>
      </c>
      <c r="M1232">
        <f>VLOOKUP(D1232,State_Lookup!$A$2:$B$28,2,FALSE)</f>
        <v/>
      </c>
    </row>
    <row r="1233">
      <c r="A1233" t="inlineStr">
        <is>
          <t>06a07c0ad4e1811f48e86d2c56c7b705</t>
        </is>
      </c>
      <c r="B1233" t="inlineStr">
        <is>
          <t>2017-09-10</t>
        </is>
      </c>
      <c r="C1233" t="inlineStr">
        <is>
          <t>2017-09</t>
        </is>
      </c>
      <c r="D1233" t="inlineStr">
        <is>
          <t>SP</t>
        </is>
      </c>
      <c r="E1233" t="inlineStr">
        <is>
          <t>sports_leisure</t>
        </is>
      </c>
      <c r="F1233" t="n">
        <v>1</v>
      </c>
      <c r="G1233" t="n">
        <v>205</v>
      </c>
      <c r="H1233" t="n">
        <v>14.45</v>
      </c>
      <c r="I1233" t="inlineStr">
        <is>
          <t>credit_card</t>
        </is>
      </c>
      <c r="J1233" t="n">
        <v>8</v>
      </c>
      <c r="K1233" t="inlineStr">
        <is>
          <t>On Time</t>
        </is>
      </c>
      <c r="L1233" t="n">
        <v>5</v>
      </c>
      <c r="M1233">
        <f>VLOOKUP(D1233,State_Lookup!$A$2:$B$28,2,FALSE)</f>
        <v/>
      </c>
    </row>
    <row r="1234">
      <c r="A1234" t="inlineStr">
        <is>
          <t>a23760b9274db6304cc3cc0085583693</t>
        </is>
      </c>
      <c r="B1234" t="inlineStr">
        <is>
          <t>2017-09-10</t>
        </is>
      </c>
      <c r="C1234" t="inlineStr">
        <is>
          <t>2017-09</t>
        </is>
      </c>
      <c r="D1234" t="inlineStr">
        <is>
          <t>BA</t>
        </is>
      </c>
      <c r="E1234" t="inlineStr">
        <is>
          <t>watches_gifts</t>
        </is>
      </c>
      <c r="F1234" t="n">
        <v>2</v>
      </c>
      <c r="G1234" t="n">
        <v>300</v>
      </c>
      <c r="H1234" t="n">
        <v>34.98</v>
      </c>
      <c r="I1234" t="inlineStr">
        <is>
          <t>credit_card</t>
        </is>
      </c>
      <c r="J1234" t="n">
        <v>36</v>
      </c>
      <c r="K1234" t="inlineStr">
        <is>
          <t>Late</t>
        </is>
      </c>
      <c r="L1234" t="n">
        <v>4</v>
      </c>
      <c r="M1234">
        <f>VLOOKUP(D1234,State_Lookup!$A$2:$B$28,2,FALSE)</f>
        <v/>
      </c>
    </row>
    <row r="1235">
      <c r="A1235" t="inlineStr">
        <is>
          <t>810c5451b24e7565d14608ed85dd3624</t>
        </is>
      </c>
      <c r="B1235" t="inlineStr">
        <is>
          <t>2017-09-10</t>
        </is>
      </c>
      <c r="C1235" t="inlineStr">
        <is>
          <t>2017-09</t>
        </is>
      </c>
      <c r="D1235" t="inlineStr">
        <is>
          <t>SP</t>
        </is>
      </c>
      <c r="E1235" t="inlineStr">
        <is>
          <t>luggage_accessories</t>
        </is>
      </c>
      <c r="F1235" t="n">
        <v>1</v>
      </c>
      <c r="G1235" t="n">
        <v>43.9</v>
      </c>
      <c r="H1235" t="n">
        <v>16.11</v>
      </c>
      <c r="I1235" t="inlineStr">
        <is>
          <t>voucher</t>
        </is>
      </c>
      <c r="J1235" t="n">
        <v>8</v>
      </c>
      <c r="K1235" t="inlineStr">
        <is>
          <t>On Time</t>
        </is>
      </c>
      <c r="L1235" t="n">
        <v>3</v>
      </c>
      <c r="M1235">
        <f>VLOOKUP(D1235,State_Lookup!$A$2:$B$28,2,FALSE)</f>
        <v/>
      </c>
    </row>
    <row r="1236">
      <c r="A1236" t="inlineStr">
        <is>
          <t>81c277d38bfc8beca560a53fac3646f5</t>
        </is>
      </c>
      <c r="B1236" t="inlineStr">
        <is>
          <t>2017-09-11</t>
        </is>
      </c>
      <c r="C1236" t="inlineStr">
        <is>
          <t>2017-09</t>
        </is>
      </c>
      <c r="D1236" t="inlineStr">
        <is>
          <t>SP</t>
        </is>
      </c>
      <c r="E1236" t="inlineStr">
        <is>
          <t>sports_leisure</t>
        </is>
      </c>
      <c r="F1236" t="n">
        <v>1</v>
      </c>
      <c r="G1236" t="n">
        <v>24.99</v>
      </c>
      <c r="H1236" t="n">
        <v>8.720000000000001</v>
      </c>
      <c r="I1236" t="inlineStr">
        <is>
          <t>voucher</t>
        </is>
      </c>
      <c r="J1236" t="n">
        <v>2</v>
      </c>
      <c r="K1236" t="inlineStr">
        <is>
          <t>On Time</t>
        </is>
      </c>
      <c r="L1236" t="n">
        <v>5</v>
      </c>
      <c r="M1236">
        <f>VLOOKUP(D1236,State_Lookup!$A$2:$B$28,2,FALSE)</f>
        <v/>
      </c>
    </row>
    <row r="1237">
      <c r="A1237" t="inlineStr">
        <is>
          <t>3ca5fa29d024e3690f532e492d590cc1</t>
        </is>
      </c>
      <c r="B1237" t="inlineStr">
        <is>
          <t>2017-09-11</t>
        </is>
      </c>
      <c r="C1237" t="inlineStr">
        <is>
          <t>2017-09</t>
        </is>
      </c>
      <c r="D1237" t="inlineStr">
        <is>
          <t>RJ</t>
        </is>
      </c>
      <c r="E1237" t="inlineStr">
        <is>
          <t>cool_stuff</t>
        </is>
      </c>
      <c r="F1237" t="n">
        <v>1</v>
      </c>
      <c r="G1237" t="n">
        <v>99.98999999999999</v>
      </c>
      <c r="H1237" t="n">
        <v>16.95</v>
      </c>
      <c r="I1237" t="inlineStr">
        <is>
          <t>credit_card</t>
        </is>
      </c>
      <c r="J1237" t="n">
        <v>22</v>
      </c>
      <c r="K1237" t="inlineStr">
        <is>
          <t>Late</t>
        </is>
      </c>
      <c r="L1237" t="n">
        <v>1</v>
      </c>
      <c r="M1237">
        <f>VLOOKUP(D1237,State_Lookup!$A$2:$B$28,2,FALSE)</f>
        <v/>
      </c>
    </row>
    <row r="1238">
      <c r="A1238" t="inlineStr">
        <is>
          <t>91a3c41404860e70eb6fbca545645af0</t>
        </is>
      </c>
      <c r="B1238" t="inlineStr">
        <is>
          <t>2017-09-11</t>
        </is>
      </c>
      <c r="C1238" t="inlineStr">
        <is>
          <t>2017-09</t>
        </is>
      </c>
      <c r="D1238" t="inlineStr">
        <is>
          <t>CE</t>
        </is>
      </c>
      <c r="E1238" t="inlineStr">
        <is>
          <t>small_appliances</t>
        </is>
      </c>
      <c r="F1238" t="n">
        <v>1</v>
      </c>
      <c r="G1238" t="n">
        <v>890</v>
      </c>
      <c r="H1238" t="n">
        <v>92.84999999999999</v>
      </c>
      <c r="I1238" t="inlineStr">
        <is>
          <t>boleto</t>
        </is>
      </c>
      <c r="J1238" t="n">
        <v>18</v>
      </c>
      <c r="K1238" t="inlineStr">
        <is>
          <t>On Time</t>
        </is>
      </c>
      <c r="L1238" t="n">
        <v>4</v>
      </c>
      <c r="M1238">
        <f>VLOOKUP(D1238,State_Lookup!$A$2:$B$28,2,FALSE)</f>
        <v/>
      </c>
    </row>
    <row r="1239">
      <c r="A1239" t="inlineStr">
        <is>
          <t>a92334f188d0def0f230671c7dec9b0e</t>
        </is>
      </c>
      <c r="B1239" t="inlineStr">
        <is>
          <t>2017-09-11</t>
        </is>
      </c>
      <c r="C1239" t="inlineStr">
        <is>
          <t>2017-09</t>
        </is>
      </c>
      <c r="D1239" t="inlineStr">
        <is>
          <t>RS</t>
        </is>
      </c>
      <c r="E1239" t="inlineStr">
        <is>
          <t>health_beauty</t>
        </is>
      </c>
      <c r="F1239" t="n">
        <v>2</v>
      </c>
      <c r="G1239" t="n">
        <v>273.8</v>
      </c>
      <c r="H1239" t="n">
        <v>54.74</v>
      </c>
      <c r="I1239" t="inlineStr">
        <is>
          <t>credit_card</t>
        </is>
      </c>
      <c r="J1239" t="n">
        <v>3</v>
      </c>
      <c r="K1239" t="inlineStr">
        <is>
          <t>On Time</t>
        </is>
      </c>
      <c r="L1239" t="n">
        <v>2</v>
      </c>
      <c r="M1239">
        <f>VLOOKUP(D1239,State_Lookup!$A$2:$B$28,2,FALSE)</f>
        <v/>
      </c>
    </row>
    <row r="1240">
      <c r="A1240" t="inlineStr">
        <is>
          <t>5e9b8f318db11da788bebae8b16069f0</t>
        </is>
      </c>
      <c r="B1240" t="inlineStr">
        <is>
          <t>2017-09-12</t>
        </is>
      </c>
      <c r="C1240" t="inlineStr">
        <is>
          <t>2017-09</t>
        </is>
      </c>
      <c r="D1240" t="inlineStr">
        <is>
          <t>SP</t>
        </is>
      </c>
      <c r="E1240" t="inlineStr">
        <is>
          <t>electronics</t>
        </is>
      </c>
      <c r="F1240" t="n">
        <v>1</v>
      </c>
      <c r="G1240" t="n">
        <v>27.9</v>
      </c>
      <c r="H1240" t="n">
        <v>15.1</v>
      </c>
      <c r="I1240" t="inlineStr">
        <is>
          <t>credit_card</t>
        </is>
      </c>
      <c r="J1240" t="n">
        <v>2</v>
      </c>
      <c r="K1240" t="inlineStr">
        <is>
          <t>On Time</t>
        </is>
      </c>
      <c r="L1240" t="n">
        <v>5</v>
      </c>
      <c r="M1240">
        <f>VLOOKUP(D1240,State_Lookup!$A$2:$B$28,2,FALSE)</f>
        <v/>
      </c>
    </row>
    <row r="1241">
      <c r="A1241" t="inlineStr">
        <is>
          <t>260ae6dba7f42f9c5e74b4e76a922f08</t>
        </is>
      </c>
      <c r="B1241" t="inlineStr">
        <is>
          <t>2017-09-12</t>
        </is>
      </c>
      <c r="C1241" t="inlineStr">
        <is>
          <t>2017-09</t>
        </is>
      </c>
      <c r="D1241" t="inlineStr">
        <is>
          <t>SP</t>
        </is>
      </c>
      <c r="E1241" t="inlineStr">
        <is>
          <t>sports_leisure</t>
        </is>
      </c>
      <c r="F1241" t="n">
        <v>2</v>
      </c>
      <c r="G1241" t="n">
        <v>319.98</v>
      </c>
      <c r="H1241" t="n">
        <v>26.92</v>
      </c>
      <c r="I1241" t="inlineStr">
        <is>
          <t>credit_card</t>
        </is>
      </c>
      <c r="J1241" t="n">
        <v>6</v>
      </c>
      <c r="K1241" t="inlineStr">
        <is>
          <t>On Time</t>
        </is>
      </c>
      <c r="L1241" t="n">
        <v>3</v>
      </c>
      <c r="M1241">
        <f>VLOOKUP(D1241,State_Lookup!$A$2:$B$28,2,FALSE)</f>
        <v/>
      </c>
    </row>
    <row r="1242">
      <c r="A1242" t="inlineStr">
        <is>
          <t>0a18d00cb652fc5698d4e3c3e01e7da0</t>
        </is>
      </c>
      <c r="B1242" t="inlineStr">
        <is>
          <t>2017-09-12</t>
        </is>
      </c>
      <c r="C1242" t="inlineStr">
        <is>
          <t>2017-09</t>
        </is>
      </c>
      <c r="D1242" t="inlineStr">
        <is>
          <t>SP</t>
        </is>
      </c>
      <c r="E1242" t="inlineStr">
        <is>
          <t>furniture_decor</t>
        </is>
      </c>
      <c r="F1242" t="n">
        <v>1</v>
      </c>
      <c r="G1242" t="n">
        <v>89.90000000000001</v>
      </c>
      <c r="H1242" t="n">
        <v>9.44</v>
      </c>
      <c r="I1242" t="inlineStr">
        <is>
          <t>credit_card</t>
        </is>
      </c>
      <c r="J1242" t="n">
        <v>2</v>
      </c>
      <c r="K1242" t="inlineStr">
        <is>
          <t>On Time</t>
        </is>
      </c>
      <c r="L1242" t="n">
        <v>3</v>
      </c>
      <c r="M1242">
        <f>VLOOKUP(D1242,State_Lookup!$A$2:$B$28,2,FALSE)</f>
        <v/>
      </c>
    </row>
    <row r="1243">
      <c r="A1243" t="inlineStr">
        <is>
          <t>acec051085be2d0f06efc5fd2f9037c9</t>
        </is>
      </c>
      <c r="B1243" t="inlineStr">
        <is>
          <t>2017-09-12</t>
        </is>
      </c>
      <c r="C1243" t="inlineStr">
        <is>
          <t>2017-09</t>
        </is>
      </c>
      <c r="D1243" t="inlineStr">
        <is>
          <t>SP</t>
        </is>
      </c>
      <c r="E1243" t="inlineStr">
        <is>
          <t>watches_gifts</t>
        </is>
      </c>
      <c r="F1243" t="n">
        <v>1</v>
      </c>
      <c r="G1243" t="n">
        <v>55</v>
      </c>
      <c r="H1243" t="n">
        <v>11.89</v>
      </c>
      <c r="I1243" t="inlineStr">
        <is>
          <t>credit_card</t>
        </is>
      </c>
      <c r="J1243" t="n">
        <v>8</v>
      </c>
      <c r="K1243" t="inlineStr">
        <is>
          <t>On Time</t>
        </is>
      </c>
      <c r="L1243" t="n">
        <v>5</v>
      </c>
      <c r="M1243">
        <f>VLOOKUP(D1243,State_Lookup!$A$2:$B$28,2,FALSE)</f>
        <v/>
      </c>
    </row>
    <row r="1244">
      <c r="A1244" t="inlineStr">
        <is>
          <t>f80549a97eb203e1566e026ab66f045b</t>
        </is>
      </c>
      <c r="B1244" t="inlineStr">
        <is>
          <t>2017-09-12</t>
        </is>
      </c>
      <c r="C1244" t="inlineStr">
        <is>
          <t>2017-09</t>
        </is>
      </c>
      <c r="D1244" t="inlineStr">
        <is>
          <t>SP</t>
        </is>
      </c>
      <c r="E1244" t="inlineStr">
        <is>
          <t>computers_accessories</t>
        </is>
      </c>
      <c r="F1244" t="n">
        <v>10</v>
      </c>
      <c r="G1244" t="n">
        <v>1379</v>
      </c>
      <c r="H1244" t="n">
        <v>388.1</v>
      </c>
      <c r="I1244" t="inlineStr">
        <is>
          <t>boleto</t>
        </is>
      </c>
      <c r="J1244" t="n">
        <v>14</v>
      </c>
      <c r="K1244" t="inlineStr">
        <is>
          <t>On Time</t>
        </is>
      </c>
      <c r="L1244" t="n">
        <v>1</v>
      </c>
      <c r="M1244">
        <f>VLOOKUP(D1244,State_Lookup!$A$2:$B$28,2,FALSE)</f>
        <v/>
      </c>
    </row>
    <row r="1245">
      <c r="A1245" t="inlineStr">
        <is>
          <t>7989e2c3bb311324f824d365b87fa0cf</t>
        </is>
      </c>
      <c r="B1245" t="inlineStr">
        <is>
          <t>2017-09-12</t>
        </is>
      </c>
      <c r="C1245" t="inlineStr">
        <is>
          <t>2017-09</t>
        </is>
      </c>
      <c r="D1245" t="inlineStr">
        <is>
          <t>BA</t>
        </is>
      </c>
      <c r="E1245" t="inlineStr">
        <is>
          <t>telephony</t>
        </is>
      </c>
      <c r="F1245" t="n">
        <v>2</v>
      </c>
      <c r="G1245" t="n">
        <v>51.98</v>
      </c>
      <c r="H1245" t="n">
        <v>31.58</v>
      </c>
      <c r="I1245" t="inlineStr">
        <is>
          <t>boleto</t>
        </is>
      </c>
      <c r="J1245" t="n">
        <v>27</v>
      </c>
      <c r="K1245" t="inlineStr">
        <is>
          <t>Late</t>
        </is>
      </c>
      <c r="L1245" t="n">
        <v>1</v>
      </c>
      <c r="M1245">
        <f>VLOOKUP(D1245,State_Lookup!$A$2:$B$28,2,FALSE)</f>
        <v/>
      </c>
    </row>
    <row r="1246">
      <c r="A1246" t="inlineStr">
        <is>
          <t>633f4fc75774571fccaef584dfce5a7b</t>
        </is>
      </c>
      <c r="B1246" t="inlineStr">
        <is>
          <t>2017-09-12</t>
        </is>
      </c>
      <c r="C1246" t="inlineStr">
        <is>
          <t>2017-09</t>
        </is>
      </c>
      <c r="D1246" t="inlineStr">
        <is>
          <t>PB</t>
        </is>
      </c>
      <c r="E1246" t="inlineStr">
        <is>
          <t>garden_tools</t>
        </is>
      </c>
      <c r="F1246" t="n">
        <v>1</v>
      </c>
      <c r="G1246" t="n">
        <v>59.9</v>
      </c>
      <c r="H1246" t="n">
        <v>37.97</v>
      </c>
      <c r="I1246" t="inlineStr">
        <is>
          <t>credit_card</t>
        </is>
      </c>
      <c r="J1246" t="n">
        <v>102</v>
      </c>
      <c r="K1246" t="inlineStr">
        <is>
          <t>Late</t>
        </is>
      </c>
      <c r="L1246" t="inlineStr"/>
      <c r="M1246">
        <f>VLOOKUP(D1246,State_Lookup!$A$2:$B$28,2,FALSE)</f>
        <v/>
      </c>
    </row>
    <row r="1247">
      <c r="A1247" t="inlineStr">
        <is>
          <t>3d782e9c655f398bd57fc44d3f02b515</t>
        </is>
      </c>
      <c r="B1247" t="inlineStr">
        <is>
          <t>2017-09-12</t>
        </is>
      </c>
      <c r="C1247" t="inlineStr">
        <is>
          <t>2017-09</t>
        </is>
      </c>
      <c r="D1247" t="inlineStr">
        <is>
          <t>SP</t>
        </is>
      </c>
      <c r="E1247" t="inlineStr">
        <is>
          <t>housewares</t>
        </is>
      </c>
      <c r="F1247" t="n">
        <v>1</v>
      </c>
      <c r="G1247" t="n">
        <v>55</v>
      </c>
      <c r="H1247" t="n">
        <v>11.89</v>
      </c>
      <c r="I1247" t="inlineStr">
        <is>
          <t>credit_card</t>
        </is>
      </c>
      <c r="J1247" t="n">
        <v>8</v>
      </c>
      <c r="K1247" t="inlineStr">
        <is>
          <t>On Time</t>
        </is>
      </c>
      <c r="L1247" t="n">
        <v>5</v>
      </c>
      <c r="M1247">
        <f>VLOOKUP(D1247,State_Lookup!$A$2:$B$28,2,FALSE)</f>
        <v/>
      </c>
    </row>
    <row r="1248">
      <c r="A1248" t="inlineStr">
        <is>
          <t>fc34a24a0463d8668b0c6e270eb71358</t>
        </is>
      </c>
      <c r="B1248" t="inlineStr">
        <is>
          <t>2017-09-12</t>
        </is>
      </c>
      <c r="C1248" t="inlineStr">
        <is>
          <t>2017-09</t>
        </is>
      </c>
      <c r="D1248" t="inlineStr">
        <is>
          <t>PR</t>
        </is>
      </c>
      <c r="E1248" t="inlineStr">
        <is>
          <t>health_beauty</t>
        </is>
      </c>
      <c r="F1248" t="n">
        <v>1</v>
      </c>
      <c r="G1248" t="n">
        <v>79.90000000000001</v>
      </c>
      <c r="H1248" t="n">
        <v>15.31</v>
      </c>
      <c r="I1248" t="inlineStr">
        <is>
          <t>credit_card</t>
        </is>
      </c>
      <c r="J1248" t="n">
        <v>6</v>
      </c>
      <c r="K1248" t="inlineStr">
        <is>
          <t>On Time</t>
        </is>
      </c>
      <c r="L1248" t="n">
        <v>5</v>
      </c>
      <c r="M1248">
        <f>VLOOKUP(D1248,State_Lookup!$A$2:$B$28,2,FALSE)</f>
        <v/>
      </c>
    </row>
    <row r="1249">
      <c r="A1249" t="inlineStr">
        <is>
          <t>4ba950df08c74788b24c665c7e40d4ae</t>
        </is>
      </c>
      <c r="B1249" t="inlineStr">
        <is>
          <t>2017-09-12</t>
        </is>
      </c>
      <c r="C1249" t="inlineStr">
        <is>
          <t>2017-09</t>
        </is>
      </c>
      <c r="D1249" t="inlineStr">
        <is>
          <t>SP</t>
        </is>
      </c>
      <c r="E1249" t="inlineStr">
        <is>
          <t>baby</t>
        </is>
      </c>
      <c r="F1249" t="n">
        <v>1</v>
      </c>
      <c r="G1249" t="n">
        <v>172.33</v>
      </c>
      <c r="H1249" t="n">
        <v>18.49</v>
      </c>
      <c r="I1249" t="inlineStr">
        <is>
          <t>credit_card</t>
        </is>
      </c>
      <c r="J1249" t="n">
        <v>10</v>
      </c>
      <c r="K1249" t="inlineStr">
        <is>
          <t>On Time</t>
        </is>
      </c>
      <c r="L1249" t="n">
        <v>5</v>
      </c>
      <c r="M1249">
        <f>VLOOKUP(D1249,State_Lookup!$A$2:$B$28,2,FALSE)</f>
        <v/>
      </c>
    </row>
    <row r="1250">
      <c r="A1250" t="inlineStr">
        <is>
          <t>d9eb574d9db751d3a86c7bf179ec2853</t>
        </is>
      </c>
      <c r="B1250" t="inlineStr">
        <is>
          <t>2017-09-12</t>
        </is>
      </c>
      <c r="C1250" t="inlineStr">
        <is>
          <t>2017-09</t>
        </is>
      </c>
      <c r="D1250" t="inlineStr">
        <is>
          <t>CE</t>
        </is>
      </c>
      <c r="E1250" t="inlineStr">
        <is>
          <t>furniture_decor</t>
        </is>
      </c>
      <c r="F1250" t="n">
        <v>1</v>
      </c>
      <c r="G1250" t="n">
        <v>99.98999999999999</v>
      </c>
      <c r="H1250" t="n">
        <v>25.15</v>
      </c>
      <c r="I1250" t="inlineStr">
        <is>
          <t>credit_card</t>
        </is>
      </c>
      <c r="J1250" t="n">
        <v>14</v>
      </c>
      <c r="K1250" t="inlineStr">
        <is>
          <t>On Time</t>
        </is>
      </c>
      <c r="L1250" t="n">
        <v>1</v>
      </c>
      <c r="M1250">
        <f>VLOOKUP(D1250,State_Lookup!$A$2:$B$28,2,FALSE)</f>
        <v/>
      </c>
    </row>
    <row r="1251">
      <c r="A1251" t="inlineStr">
        <is>
          <t>4574345c7d99730212061b6152f81928</t>
        </is>
      </c>
      <c r="B1251" t="inlineStr">
        <is>
          <t>2017-09-12</t>
        </is>
      </c>
      <c r="C1251" t="inlineStr">
        <is>
          <t>2017-09</t>
        </is>
      </c>
      <c r="D1251" t="inlineStr">
        <is>
          <t>SP</t>
        </is>
      </c>
      <c r="E1251" t="inlineStr">
        <is>
          <t>fashion_bags_accessories</t>
        </is>
      </c>
      <c r="F1251" t="n">
        <v>4</v>
      </c>
      <c r="G1251" t="n">
        <v>919.6</v>
      </c>
      <c r="H1251" t="n">
        <v>68.2</v>
      </c>
      <c r="I1251" t="inlineStr">
        <is>
          <t>credit_card</t>
        </is>
      </c>
      <c r="J1251" t="n">
        <v>10</v>
      </c>
      <c r="K1251" t="inlineStr">
        <is>
          <t>On Time</t>
        </is>
      </c>
      <c r="L1251" t="n">
        <v>1</v>
      </c>
      <c r="M1251">
        <f>VLOOKUP(D1251,State_Lookup!$A$2:$B$28,2,FALSE)</f>
        <v/>
      </c>
    </row>
    <row r="1252">
      <c r="A1252" t="inlineStr">
        <is>
          <t>6d781e62fc99f1af77ad37974cb0a1b4</t>
        </is>
      </c>
      <c r="B1252" t="inlineStr">
        <is>
          <t>2017-09-12</t>
        </is>
      </c>
      <c r="C1252" t="inlineStr">
        <is>
          <t>2017-09</t>
        </is>
      </c>
      <c r="D1252" t="inlineStr">
        <is>
          <t>MG</t>
        </is>
      </c>
      <c r="E1252" t="inlineStr">
        <is>
          <t>toys</t>
        </is>
      </c>
      <c r="F1252" t="n">
        <v>1</v>
      </c>
      <c r="G1252" t="n">
        <v>74.8</v>
      </c>
      <c r="H1252" t="n">
        <v>17.77</v>
      </c>
      <c r="I1252" t="inlineStr">
        <is>
          <t>credit_card</t>
        </is>
      </c>
      <c r="J1252" t="n">
        <v>10</v>
      </c>
      <c r="K1252" t="inlineStr">
        <is>
          <t>On Time</t>
        </is>
      </c>
      <c r="L1252" t="n">
        <v>5</v>
      </c>
      <c r="M1252">
        <f>VLOOKUP(D1252,State_Lookup!$A$2:$B$28,2,FALSE)</f>
        <v/>
      </c>
    </row>
    <row r="1253">
      <c r="A1253" t="inlineStr">
        <is>
          <t>9c983856364a24ce56bf39aea9bb118a</t>
        </is>
      </c>
      <c r="B1253" t="inlineStr">
        <is>
          <t>2017-09-13</t>
        </is>
      </c>
      <c r="C1253" t="inlineStr">
        <is>
          <t>2017-09</t>
        </is>
      </c>
      <c r="D1253" t="inlineStr">
        <is>
          <t>BA</t>
        </is>
      </c>
      <c r="E1253" t="inlineStr">
        <is>
          <t>sports_leisure</t>
        </is>
      </c>
      <c r="F1253" t="n">
        <v>2</v>
      </c>
      <c r="G1253" t="n">
        <v>119.8</v>
      </c>
      <c r="H1253" t="n">
        <v>33.72</v>
      </c>
      <c r="I1253" t="inlineStr">
        <is>
          <t>boleto</t>
        </is>
      </c>
      <c r="J1253" t="n">
        <v>20</v>
      </c>
      <c r="K1253" t="inlineStr">
        <is>
          <t>On Time</t>
        </is>
      </c>
      <c r="L1253" t="n">
        <v>5</v>
      </c>
      <c r="M1253">
        <f>VLOOKUP(D1253,State_Lookup!$A$2:$B$28,2,FALSE)</f>
        <v/>
      </c>
    </row>
    <row r="1254">
      <c r="A1254" t="inlineStr">
        <is>
          <t>e1c58cc2bf1f241d4ab2e557f7ab52a6</t>
        </is>
      </c>
      <c r="B1254" t="inlineStr">
        <is>
          <t>2017-09-13</t>
        </is>
      </c>
      <c r="C1254" t="inlineStr">
        <is>
          <t>2017-09</t>
        </is>
      </c>
      <c r="D1254" t="inlineStr">
        <is>
          <t>SP</t>
        </is>
      </c>
      <c r="E1254" t="inlineStr">
        <is>
          <t>housewares</t>
        </is>
      </c>
      <c r="F1254" t="n">
        <v>1</v>
      </c>
      <c r="G1254" t="n">
        <v>82.59</v>
      </c>
      <c r="H1254" t="n">
        <v>13.6</v>
      </c>
      <c r="I1254" t="inlineStr">
        <is>
          <t>boleto</t>
        </is>
      </c>
      <c r="J1254" t="n">
        <v>6</v>
      </c>
      <c r="K1254" t="inlineStr">
        <is>
          <t>On Time</t>
        </is>
      </c>
      <c r="L1254" t="n">
        <v>5</v>
      </c>
      <c r="M1254">
        <f>VLOOKUP(D1254,State_Lookup!$A$2:$B$28,2,FALSE)</f>
        <v/>
      </c>
    </row>
    <row r="1255">
      <c r="A1255" t="inlineStr">
        <is>
          <t>a6aeb116d2cb5013eb8a94585b71ffef</t>
        </is>
      </c>
      <c r="B1255" t="inlineStr">
        <is>
          <t>2017-09-13</t>
        </is>
      </c>
      <c r="C1255" t="inlineStr">
        <is>
          <t>2017-09</t>
        </is>
      </c>
      <c r="D1255" t="inlineStr">
        <is>
          <t>SP</t>
        </is>
      </c>
      <c r="E1255" t="inlineStr">
        <is>
          <t>baby</t>
        </is>
      </c>
      <c r="F1255" t="n">
        <v>1</v>
      </c>
      <c r="G1255" t="n">
        <v>50</v>
      </c>
      <c r="H1255" t="n">
        <v>9.34</v>
      </c>
      <c r="I1255" t="inlineStr">
        <is>
          <t>credit_card</t>
        </is>
      </c>
      <c r="J1255" t="n">
        <v>3</v>
      </c>
      <c r="K1255" t="inlineStr">
        <is>
          <t>On Time</t>
        </is>
      </c>
      <c r="L1255" t="n">
        <v>5</v>
      </c>
      <c r="M1255">
        <f>VLOOKUP(D1255,State_Lookup!$A$2:$B$28,2,FALSE)</f>
        <v/>
      </c>
    </row>
    <row r="1256">
      <c r="A1256" t="inlineStr">
        <is>
          <t>0aeb0613e8d42e1a7f122908bee18eca</t>
        </is>
      </c>
      <c r="B1256" t="inlineStr">
        <is>
          <t>2017-09-13</t>
        </is>
      </c>
      <c r="C1256" t="inlineStr">
        <is>
          <t>2017-09</t>
        </is>
      </c>
      <c r="D1256" t="inlineStr">
        <is>
          <t>AL</t>
        </is>
      </c>
      <c r="E1256" t="inlineStr">
        <is>
          <t>perfumery</t>
        </is>
      </c>
      <c r="F1256" t="n">
        <v>1</v>
      </c>
      <c r="G1256" t="n">
        <v>56.99</v>
      </c>
      <c r="H1256" t="n">
        <v>21.2</v>
      </c>
      <c r="I1256" t="inlineStr">
        <is>
          <t>credit_card</t>
        </is>
      </c>
      <c r="J1256" t="n">
        <v>43</v>
      </c>
      <c r="K1256" t="inlineStr">
        <is>
          <t>Late</t>
        </is>
      </c>
      <c r="L1256" t="n">
        <v>1</v>
      </c>
      <c r="M1256">
        <f>VLOOKUP(D1256,State_Lookup!$A$2:$B$28,2,FALSE)</f>
        <v/>
      </c>
    </row>
    <row r="1257">
      <c r="A1257" t="inlineStr">
        <is>
          <t>ba6e041bd3e8e33cf1c2f2db99db6673</t>
        </is>
      </c>
      <c r="B1257" t="inlineStr">
        <is>
          <t>2017-09-13</t>
        </is>
      </c>
      <c r="C1257" t="inlineStr">
        <is>
          <t>2017-09</t>
        </is>
      </c>
      <c r="D1257" t="inlineStr">
        <is>
          <t>PE</t>
        </is>
      </c>
      <c r="E1257" t="inlineStr">
        <is>
          <t>furniture_decor</t>
        </is>
      </c>
      <c r="F1257" t="n">
        <v>1</v>
      </c>
      <c r="G1257" t="n">
        <v>89.90000000000001</v>
      </c>
      <c r="H1257" t="n">
        <v>27.17</v>
      </c>
      <c r="I1257" t="inlineStr">
        <is>
          <t>credit_card</t>
        </is>
      </c>
      <c r="J1257" t="n">
        <v>15</v>
      </c>
      <c r="K1257" t="inlineStr">
        <is>
          <t>On Time</t>
        </is>
      </c>
      <c r="L1257" t="n">
        <v>5</v>
      </c>
      <c r="M1257">
        <f>VLOOKUP(D1257,State_Lookup!$A$2:$B$28,2,FALSE)</f>
        <v/>
      </c>
    </row>
    <row r="1258">
      <c r="A1258" t="inlineStr">
        <is>
          <t>6fc329fc5cf04756f90764baf31daa17</t>
        </is>
      </c>
      <c r="B1258" t="inlineStr">
        <is>
          <t>2017-09-14</t>
        </is>
      </c>
      <c r="C1258" t="inlineStr">
        <is>
          <t>2017-09</t>
        </is>
      </c>
      <c r="D1258" t="inlineStr">
        <is>
          <t>RS</t>
        </is>
      </c>
      <c r="E1258" t="inlineStr">
        <is>
          <t>perfumery</t>
        </is>
      </c>
      <c r="F1258" t="n">
        <v>1</v>
      </c>
      <c r="G1258" t="n">
        <v>56.99</v>
      </c>
      <c r="H1258" t="n">
        <v>14.15</v>
      </c>
      <c r="I1258" t="inlineStr">
        <is>
          <t>credit_card</t>
        </is>
      </c>
      <c r="J1258" t="n">
        <v>15</v>
      </c>
      <c r="K1258" t="inlineStr">
        <is>
          <t>On Time</t>
        </is>
      </c>
      <c r="L1258" t="n">
        <v>5</v>
      </c>
      <c r="M1258">
        <f>VLOOKUP(D1258,State_Lookup!$A$2:$B$28,2,FALSE)</f>
        <v/>
      </c>
    </row>
    <row r="1259">
      <c r="A1259" t="inlineStr">
        <is>
          <t>fdc4c75dff7c1545dd19c597436d6f1e</t>
        </is>
      </c>
      <c r="B1259" t="inlineStr">
        <is>
          <t>2017-09-14</t>
        </is>
      </c>
      <c r="C1259" t="inlineStr">
        <is>
          <t>2017-09</t>
        </is>
      </c>
      <c r="D1259" t="inlineStr">
        <is>
          <t>SP</t>
        </is>
      </c>
      <c r="E1259" t="inlineStr">
        <is>
          <t>toys</t>
        </is>
      </c>
      <c r="F1259" t="n">
        <v>2</v>
      </c>
      <c r="G1259" t="n">
        <v>109.9</v>
      </c>
      <c r="H1259" t="n">
        <v>25.44</v>
      </c>
      <c r="I1259" t="inlineStr">
        <is>
          <t>credit_card</t>
        </is>
      </c>
      <c r="J1259" t="n">
        <v>27</v>
      </c>
      <c r="K1259" t="inlineStr">
        <is>
          <t>Late</t>
        </is>
      </c>
      <c r="L1259" t="n">
        <v>1</v>
      </c>
      <c r="M1259">
        <f>VLOOKUP(D1259,State_Lookup!$A$2:$B$28,2,FALSE)</f>
        <v/>
      </c>
    </row>
    <row r="1260">
      <c r="A1260" t="inlineStr">
        <is>
          <t>31a8fcbeaa65f2a7dec1abee188ffcc9</t>
        </is>
      </c>
      <c r="B1260" t="inlineStr">
        <is>
          <t>2017-09-14</t>
        </is>
      </c>
      <c r="C1260" t="inlineStr">
        <is>
          <t>2017-09</t>
        </is>
      </c>
      <c r="D1260" t="inlineStr">
        <is>
          <t>MG</t>
        </is>
      </c>
      <c r="E1260" t="inlineStr">
        <is>
          <t>housewares</t>
        </is>
      </c>
      <c r="F1260" t="n">
        <v>1</v>
      </c>
      <c r="G1260" t="n">
        <v>156.89</v>
      </c>
      <c r="H1260" t="n">
        <v>31.85</v>
      </c>
      <c r="I1260" t="inlineStr">
        <is>
          <t>boleto</t>
        </is>
      </c>
      <c r="J1260" t="n">
        <v>13</v>
      </c>
      <c r="K1260" t="inlineStr">
        <is>
          <t>On Time</t>
        </is>
      </c>
      <c r="L1260" t="n">
        <v>4</v>
      </c>
      <c r="M1260">
        <f>VLOOKUP(D1260,State_Lookup!$A$2:$B$28,2,FALSE)</f>
        <v/>
      </c>
    </row>
    <row r="1261">
      <c r="A1261" t="inlineStr">
        <is>
          <t>a8f60b9282c2f8e193d23d668bb74fa3</t>
        </is>
      </c>
      <c r="B1261" t="inlineStr">
        <is>
          <t>2017-09-14</t>
        </is>
      </c>
      <c r="C1261" t="inlineStr">
        <is>
          <t>2017-09</t>
        </is>
      </c>
      <c r="D1261" t="inlineStr">
        <is>
          <t>DF</t>
        </is>
      </c>
      <c r="E1261" t="inlineStr">
        <is>
          <t>christmas_supplies</t>
        </is>
      </c>
      <c r="F1261" t="n">
        <v>2</v>
      </c>
      <c r="G1261" t="n">
        <v>117.8</v>
      </c>
      <c r="H1261" t="n">
        <v>32.34</v>
      </c>
      <c r="I1261" t="inlineStr">
        <is>
          <t>credit_card</t>
        </is>
      </c>
      <c r="J1261" t="n">
        <v>13</v>
      </c>
      <c r="K1261" t="inlineStr">
        <is>
          <t>On Time</t>
        </is>
      </c>
      <c r="L1261" t="n">
        <v>5</v>
      </c>
      <c r="M1261">
        <f>VLOOKUP(D1261,State_Lookup!$A$2:$B$28,2,FALSE)</f>
        <v/>
      </c>
    </row>
    <row r="1262">
      <c r="A1262" t="inlineStr">
        <is>
          <t>d1a10e07647c7845b8590cec57d589c1</t>
        </is>
      </c>
      <c r="B1262" t="inlineStr">
        <is>
          <t>2017-09-14</t>
        </is>
      </c>
      <c r="C1262" t="inlineStr">
        <is>
          <t>2017-09</t>
        </is>
      </c>
      <c r="D1262" t="inlineStr">
        <is>
          <t>RJ</t>
        </is>
      </c>
      <c r="E1262" t="inlineStr">
        <is>
          <t>watches_gifts</t>
        </is>
      </c>
      <c r="F1262" t="n">
        <v>1</v>
      </c>
      <c r="G1262" t="n">
        <v>499.9</v>
      </c>
      <c r="H1262" t="n">
        <v>17.25</v>
      </c>
      <c r="I1262" t="inlineStr">
        <is>
          <t>credit_card</t>
        </is>
      </c>
      <c r="J1262" t="n">
        <v>12</v>
      </c>
      <c r="K1262" t="inlineStr">
        <is>
          <t>On Time</t>
        </is>
      </c>
      <c r="L1262" t="n">
        <v>5</v>
      </c>
      <c r="M1262">
        <f>VLOOKUP(D1262,State_Lookup!$A$2:$B$28,2,FALSE)</f>
        <v/>
      </c>
    </row>
    <row r="1263">
      <c r="A1263" t="inlineStr">
        <is>
          <t>edde00d72b1354fd951171a2c702f5ae</t>
        </is>
      </c>
      <c r="B1263" t="inlineStr">
        <is>
          <t>2017-09-14</t>
        </is>
      </c>
      <c r="C1263" t="inlineStr">
        <is>
          <t>2017-09</t>
        </is>
      </c>
      <c r="D1263" t="inlineStr">
        <is>
          <t>RJ</t>
        </is>
      </c>
      <c r="E1263" t="inlineStr">
        <is>
          <t>watches_gifts</t>
        </is>
      </c>
      <c r="F1263" t="n">
        <v>2</v>
      </c>
      <c r="G1263" t="n">
        <v>62.89</v>
      </c>
      <c r="H1263" t="n">
        <v>34.71</v>
      </c>
      <c r="I1263" t="inlineStr">
        <is>
          <t>boleto</t>
        </is>
      </c>
      <c r="J1263" t="n">
        <v>11</v>
      </c>
      <c r="K1263" t="inlineStr">
        <is>
          <t>On Time</t>
        </is>
      </c>
      <c r="L1263" t="n">
        <v>5</v>
      </c>
      <c r="M1263">
        <f>VLOOKUP(D1263,State_Lookup!$A$2:$B$28,2,FALSE)</f>
        <v/>
      </c>
    </row>
    <row r="1264">
      <c r="A1264" t="inlineStr">
        <is>
          <t>c6c26ee904fd7f85a965423bec883fe6</t>
        </is>
      </c>
      <c r="B1264" t="inlineStr">
        <is>
          <t>2017-09-15</t>
        </is>
      </c>
      <c r="C1264" t="inlineStr">
        <is>
          <t>2017-09</t>
        </is>
      </c>
      <c r="D1264" t="inlineStr">
        <is>
          <t>SP</t>
        </is>
      </c>
      <c r="E1264" t="inlineStr">
        <is>
          <t>fashion_underwear_beach</t>
        </is>
      </c>
      <c r="F1264" t="n">
        <v>1</v>
      </c>
      <c r="G1264" t="n">
        <v>89.90000000000001</v>
      </c>
      <c r="H1264" t="n">
        <v>9.44</v>
      </c>
      <c r="I1264" t="inlineStr">
        <is>
          <t>credit_card</t>
        </is>
      </c>
      <c r="J1264" t="inlineStr"/>
      <c r="K1264" t="inlineStr">
        <is>
          <t>Not Delivered</t>
        </is>
      </c>
      <c r="L1264" t="n">
        <v>2</v>
      </c>
      <c r="M1264">
        <f>VLOOKUP(D1264,State_Lookup!$A$2:$B$28,2,FALSE)</f>
        <v/>
      </c>
    </row>
    <row r="1265">
      <c r="A1265" t="inlineStr">
        <is>
          <t>057e5b8975ad03882989369de7b803ff</t>
        </is>
      </c>
      <c r="B1265" t="inlineStr">
        <is>
          <t>2017-09-15</t>
        </is>
      </c>
      <c r="C1265" t="inlineStr">
        <is>
          <t>2017-09</t>
        </is>
      </c>
      <c r="D1265" t="inlineStr">
        <is>
          <t>SP</t>
        </is>
      </c>
      <c r="E1265" t="inlineStr">
        <is>
          <t>stationery</t>
        </is>
      </c>
      <c r="F1265" t="n">
        <v>1</v>
      </c>
      <c r="G1265" t="n">
        <v>69</v>
      </c>
      <c r="H1265" t="n">
        <v>13.5</v>
      </c>
      <c r="I1265" t="inlineStr">
        <is>
          <t>boleto</t>
        </is>
      </c>
      <c r="J1265" t="n">
        <v>7</v>
      </c>
      <c r="K1265" t="inlineStr">
        <is>
          <t>On Time</t>
        </is>
      </c>
      <c r="L1265" t="n">
        <v>4</v>
      </c>
      <c r="M1265">
        <f>VLOOKUP(D1265,State_Lookup!$A$2:$B$28,2,FALSE)</f>
        <v/>
      </c>
    </row>
    <row r="1266">
      <c r="A1266" t="inlineStr">
        <is>
          <t>7cf741fd7bc734654dac45dbc67a998e</t>
        </is>
      </c>
      <c r="B1266" t="inlineStr">
        <is>
          <t>2017-09-15</t>
        </is>
      </c>
      <c r="C1266" t="inlineStr">
        <is>
          <t>2017-09</t>
        </is>
      </c>
      <c r="D1266" t="inlineStr">
        <is>
          <t>PB</t>
        </is>
      </c>
      <c r="E1266" t="inlineStr">
        <is>
          <t>sports_leisure</t>
        </is>
      </c>
      <c r="F1266" t="n">
        <v>1</v>
      </c>
      <c r="G1266" t="n">
        <v>42.9</v>
      </c>
      <c r="H1266" t="n">
        <v>22.67</v>
      </c>
      <c r="I1266" t="inlineStr">
        <is>
          <t>boleto</t>
        </is>
      </c>
      <c r="J1266" t="n">
        <v>19</v>
      </c>
      <c r="K1266" t="inlineStr">
        <is>
          <t>On Time</t>
        </is>
      </c>
      <c r="L1266" t="n">
        <v>5</v>
      </c>
      <c r="M1266">
        <f>VLOOKUP(D1266,State_Lookup!$A$2:$B$28,2,FALSE)</f>
        <v/>
      </c>
    </row>
    <row r="1267">
      <c r="A1267" t="inlineStr">
        <is>
          <t>9afd9ae98cb2fcc3bc5b893594ccf663</t>
        </is>
      </c>
      <c r="B1267" t="inlineStr">
        <is>
          <t>2017-09-15</t>
        </is>
      </c>
      <c r="C1267" t="inlineStr">
        <is>
          <t>2017-09</t>
        </is>
      </c>
      <c r="D1267" t="inlineStr">
        <is>
          <t>RJ</t>
        </is>
      </c>
      <c r="E1267" t="inlineStr">
        <is>
          <t>housewares</t>
        </is>
      </c>
      <c r="F1267" t="n">
        <v>3</v>
      </c>
      <c r="G1267" t="n">
        <v>39.69</v>
      </c>
      <c r="H1267" t="n">
        <v>45.3</v>
      </c>
      <c r="I1267" t="inlineStr">
        <is>
          <t>credit_card</t>
        </is>
      </c>
      <c r="J1267" t="n">
        <v>10</v>
      </c>
      <c r="K1267" t="inlineStr">
        <is>
          <t>On Time</t>
        </is>
      </c>
      <c r="L1267" t="n">
        <v>3</v>
      </c>
      <c r="M1267">
        <f>VLOOKUP(D1267,State_Lookup!$A$2:$B$28,2,FALSE)</f>
        <v/>
      </c>
    </row>
    <row r="1268">
      <c r="A1268" t="inlineStr">
        <is>
          <t>4cca039d4d51fb8f0e1e302327c30de5</t>
        </is>
      </c>
      <c r="B1268" t="inlineStr">
        <is>
          <t>2017-09-15</t>
        </is>
      </c>
      <c r="C1268" t="inlineStr">
        <is>
          <t>2017-09</t>
        </is>
      </c>
      <c r="D1268" t="inlineStr">
        <is>
          <t>PR</t>
        </is>
      </c>
      <c r="E1268" t="inlineStr">
        <is>
          <t>telephony</t>
        </is>
      </c>
      <c r="F1268" t="n">
        <v>1</v>
      </c>
      <c r="G1268" t="n">
        <v>18.99</v>
      </c>
      <c r="H1268" t="n">
        <v>15.1</v>
      </c>
      <c r="I1268" t="inlineStr">
        <is>
          <t>boleto</t>
        </is>
      </c>
      <c r="J1268" t="n">
        <v>12</v>
      </c>
      <c r="K1268" t="inlineStr">
        <is>
          <t>On Time</t>
        </is>
      </c>
      <c r="L1268" t="n">
        <v>1</v>
      </c>
      <c r="M1268">
        <f>VLOOKUP(D1268,State_Lookup!$A$2:$B$28,2,FALSE)</f>
        <v/>
      </c>
    </row>
    <row r="1269">
      <c r="A1269" t="inlineStr">
        <is>
          <t>12788af294f51dd5ba2aaed208a45969</t>
        </is>
      </c>
      <c r="B1269" t="inlineStr">
        <is>
          <t>2017-09-15</t>
        </is>
      </c>
      <c r="C1269" t="inlineStr">
        <is>
          <t>2017-09</t>
        </is>
      </c>
      <c r="D1269" t="inlineStr">
        <is>
          <t>RJ</t>
        </is>
      </c>
      <c r="E1269" t="inlineStr">
        <is>
          <t>sports_leisure</t>
        </is>
      </c>
      <c r="F1269" t="n">
        <v>1</v>
      </c>
      <c r="G1269" t="n">
        <v>59.9</v>
      </c>
      <c r="H1269" t="n">
        <v>17.99</v>
      </c>
      <c r="I1269" t="inlineStr">
        <is>
          <t>credit_card</t>
        </is>
      </c>
      <c r="J1269" t="n">
        <v>17</v>
      </c>
      <c r="K1269" t="inlineStr">
        <is>
          <t>On Time</t>
        </is>
      </c>
      <c r="L1269" t="n">
        <v>5</v>
      </c>
      <c r="M1269">
        <f>VLOOKUP(D1269,State_Lookup!$A$2:$B$28,2,FALSE)</f>
        <v/>
      </c>
    </row>
    <row r="1270">
      <c r="A1270" t="inlineStr">
        <is>
          <t>a9eff8f70def39eb9133c1861c49ee76</t>
        </is>
      </c>
      <c r="B1270" t="inlineStr">
        <is>
          <t>2017-09-15</t>
        </is>
      </c>
      <c r="C1270" t="inlineStr">
        <is>
          <t>2017-09</t>
        </is>
      </c>
      <c r="D1270" t="inlineStr">
        <is>
          <t>SP</t>
        </is>
      </c>
      <c r="E1270" t="inlineStr">
        <is>
          <t>cine_photo</t>
        </is>
      </c>
      <c r="F1270" t="n">
        <v>1</v>
      </c>
      <c r="G1270" t="n">
        <v>69</v>
      </c>
      <c r="H1270" t="n">
        <v>33.84</v>
      </c>
      <c r="I1270" t="inlineStr">
        <is>
          <t>credit_card</t>
        </is>
      </c>
      <c r="J1270" t="n">
        <v>14</v>
      </c>
      <c r="K1270" t="inlineStr">
        <is>
          <t>On Time</t>
        </is>
      </c>
      <c r="L1270" t="n">
        <v>5</v>
      </c>
      <c r="M1270">
        <f>VLOOKUP(D1270,State_Lookup!$A$2:$B$28,2,FALSE)</f>
        <v/>
      </c>
    </row>
    <row r="1271">
      <c r="A1271" t="inlineStr">
        <is>
          <t>09f8cd8a102b3f3fa2d5db0c6aee489a</t>
        </is>
      </c>
      <c r="B1271" t="inlineStr">
        <is>
          <t>2017-09-15</t>
        </is>
      </c>
      <c r="C1271" t="inlineStr">
        <is>
          <t>2017-09</t>
        </is>
      </c>
      <c r="D1271" t="inlineStr">
        <is>
          <t>PI</t>
        </is>
      </c>
      <c r="E1271" t="inlineStr">
        <is>
          <t>computers</t>
        </is>
      </c>
      <c r="F1271" t="n">
        <v>1</v>
      </c>
      <c r="G1271" t="n">
        <v>730</v>
      </c>
      <c r="H1271" t="n">
        <v>80.13</v>
      </c>
      <c r="I1271" t="inlineStr">
        <is>
          <t>credit_card</t>
        </is>
      </c>
      <c r="J1271" t="n">
        <v>13</v>
      </c>
      <c r="K1271" t="inlineStr">
        <is>
          <t>On Time</t>
        </is>
      </c>
      <c r="L1271" t="n">
        <v>5</v>
      </c>
      <c r="M1271">
        <f>VLOOKUP(D1271,State_Lookup!$A$2:$B$28,2,FALSE)</f>
        <v/>
      </c>
    </row>
    <row r="1272">
      <c r="A1272" t="inlineStr">
        <is>
          <t>e2b405ccb5839931cae6f89767eada9b</t>
        </is>
      </c>
      <c r="B1272" t="inlineStr">
        <is>
          <t>2017-09-15</t>
        </is>
      </c>
      <c r="C1272" t="inlineStr">
        <is>
          <t>2017-09</t>
        </is>
      </c>
      <c r="D1272" t="inlineStr">
        <is>
          <t>BA</t>
        </is>
      </c>
      <c r="E1272" t="inlineStr">
        <is>
          <t>computers_accessories</t>
        </is>
      </c>
      <c r="F1272" t="n">
        <v>1</v>
      </c>
      <c r="G1272" t="n">
        <v>47.7</v>
      </c>
      <c r="H1272" t="n">
        <v>15.79</v>
      </c>
      <c r="I1272" t="inlineStr">
        <is>
          <t>credit_card</t>
        </is>
      </c>
      <c r="J1272" t="n">
        <v>11</v>
      </c>
      <c r="K1272" t="inlineStr">
        <is>
          <t>On Time</t>
        </is>
      </c>
      <c r="L1272" t="n">
        <v>5</v>
      </c>
      <c r="M1272">
        <f>VLOOKUP(D1272,State_Lookup!$A$2:$B$28,2,FALSE)</f>
        <v/>
      </c>
    </row>
    <row r="1273">
      <c r="A1273" t="inlineStr">
        <is>
          <t>3e83b4493a5781b84799b5516cb2667c</t>
        </is>
      </c>
      <c r="B1273" t="inlineStr">
        <is>
          <t>2017-09-15</t>
        </is>
      </c>
      <c r="C1273" t="inlineStr">
        <is>
          <t>2017-09</t>
        </is>
      </c>
      <c r="D1273" t="inlineStr">
        <is>
          <t>SP</t>
        </is>
      </c>
      <c r="E1273" t="inlineStr">
        <is>
          <t>bed_bath_table</t>
        </is>
      </c>
      <c r="F1273" t="n">
        <v>1</v>
      </c>
      <c r="G1273" t="n">
        <v>69.98999999999999</v>
      </c>
      <c r="H1273" t="n">
        <v>12.83</v>
      </c>
      <c r="I1273" t="inlineStr">
        <is>
          <t>credit_card</t>
        </is>
      </c>
      <c r="J1273" t="n">
        <v>11</v>
      </c>
      <c r="K1273" t="inlineStr">
        <is>
          <t>On Time</t>
        </is>
      </c>
      <c r="L1273" t="n">
        <v>4</v>
      </c>
      <c r="M1273">
        <f>VLOOKUP(D1273,State_Lookup!$A$2:$B$28,2,FALSE)</f>
        <v/>
      </c>
    </row>
    <row r="1274">
      <c r="A1274" t="inlineStr">
        <is>
          <t>8a9da308d726841021141d81dea615b1</t>
        </is>
      </c>
      <c r="B1274" t="inlineStr">
        <is>
          <t>2017-09-15</t>
        </is>
      </c>
      <c r="C1274" t="inlineStr">
        <is>
          <t>2017-09</t>
        </is>
      </c>
      <c r="D1274" t="inlineStr">
        <is>
          <t>SP</t>
        </is>
      </c>
      <c r="E1274" t="inlineStr">
        <is>
          <t>pet_shop</t>
        </is>
      </c>
      <c r="F1274" t="n">
        <v>1</v>
      </c>
      <c r="G1274" t="n">
        <v>94.90000000000001</v>
      </c>
      <c r="H1274" t="n">
        <v>11.87</v>
      </c>
      <c r="I1274" t="inlineStr">
        <is>
          <t>credit_card</t>
        </is>
      </c>
      <c r="J1274" t="n">
        <v>13</v>
      </c>
      <c r="K1274" t="inlineStr">
        <is>
          <t>Late</t>
        </is>
      </c>
      <c r="L1274" t="n">
        <v>3</v>
      </c>
      <c r="M1274">
        <f>VLOOKUP(D1274,State_Lookup!$A$2:$B$28,2,FALSE)</f>
        <v/>
      </c>
    </row>
    <row r="1275">
      <c r="A1275" t="inlineStr">
        <is>
          <t>441e21387d52f5f2e85249669881fc79</t>
        </is>
      </c>
      <c r="B1275" t="inlineStr">
        <is>
          <t>2017-09-16</t>
        </is>
      </c>
      <c r="C1275" t="inlineStr">
        <is>
          <t>2017-09</t>
        </is>
      </c>
      <c r="D1275" t="inlineStr">
        <is>
          <t>SP</t>
        </is>
      </c>
      <c r="E1275" t="inlineStr">
        <is>
          <t>bed_bath_table</t>
        </is>
      </c>
      <c r="F1275" t="n">
        <v>1</v>
      </c>
      <c r="G1275" t="n">
        <v>209.9</v>
      </c>
      <c r="H1275" t="n">
        <v>15.22</v>
      </c>
      <c r="I1275" t="inlineStr">
        <is>
          <t>credit_card</t>
        </is>
      </c>
      <c r="J1275" t="n">
        <v>5</v>
      </c>
      <c r="K1275" t="inlineStr">
        <is>
          <t>On Time</t>
        </is>
      </c>
      <c r="L1275" t="inlineStr"/>
      <c r="M1275">
        <f>VLOOKUP(D1275,State_Lookup!$A$2:$B$28,2,FALSE)</f>
        <v/>
      </c>
    </row>
    <row r="1276">
      <c r="A1276" t="inlineStr">
        <is>
          <t>aac15589b232e9722429d3a06a547b6d</t>
        </is>
      </c>
      <c r="B1276" t="inlineStr">
        <is>
          <t>2017-09-16</t>
        </is>
      </c>
      <c r="C1276" t="inlineStr">
        <is>
          <t>2017-09</t>
        </is>
      </c>
      <c r="D1276" t="inlineStr">
        <is>
          <t>SC</t>
        </is>
      </c>
      <c r="E1276" t="inlineStr">
        <is>
          <t>bed_bath_table</t>
        </is>
      </c>
      <c r="F1276" t="n">
        <v>1</v>
      </c>
      <c r="G1276" t="n">
        <v>158</v>
      </c>
      <c r="H1276" t="n">
        <v>25.95</v>
      </c>
      <c r="I1276" t="inlineStr">
        <is>
          <t>credit_card</t>
        </is>
      </c>
      <c r="J1276" t="n">
        <v>11</v>
      </c>
      <c r="K1276" t="inlineStr">
        <is>
          <t>On Time</t>
        </is>
      </c>
      <c r="L1276" t="n">
        <v>4</v>
      </c>
      <c r="M1276">
        <f>VLOOKUP(D1276,State_Lookup!$A$2:$B$28,2,FALSE)</f>
        <v/>
      </c>
    </row>
    <row r="1277">
      <c r="A1277" t="inlineStr">
        <is>
          <t>225f6489f45108e98290969c71097baf</t>
        </is>
      </c>
      <c r="B1277" t="inlineStr">
        <is>
          <t>2017-09-16</t>
        </is>
      </c>
      <c r="C1277" t="inlineStr">
        <is>
          <t>2017-09</t>
        </is>
      </c>
      <c r="D1277" t="inlineStr">
        <is>
          <t>SP</t>
        </is>
      </c>
      <c r="E1277" t="inlineStr">
        <is>
          <t>bed_bath_table</t>
        </is>
      </c>
      <c r="F1277" t="n">
        <v>1</v>
      </c>
      <c r="G1277" t="n">
        <v>157</v>
      </c>
      <c r="H1277" t="n">
        <v>17.81</v>
      </c>
      <c r="I1277" t="inlineStr">
        <is>
          <t>boleto</t>
        </is>
      </c>
      <c r="J1277" t="n">
        <v>8</v>
      </c>
      <c r="K1277" t="inlineStr">
        <is>
          <t>On Time</t>
        </is>
      </c>
      <c r="L1277" t="n">
        <v>5</v>
      </c>
      <c r="M1277">
        <f>VLOOKUP(D1277,State_Lookup!$A$2:$B$28,2,FALSE)</f>
        <v/>
      </c>
    </row>
    <row r="1278">
      <c r="A1278" t="inlineStr">
        <is>
          <t>6b5a2cfa488fc5324f22cafe995bd8eb</t>
        </is>
      </c>
      <c r="B1278" t="inlineStr">
        <is>
          <t>2017-09-16</t>
        </is>
      </c>
      <c r="C1278" t="inlineStr">
        <is>
          <t>2017-09</t>
        </is>
      </c>
      <c r="D1278" t="inlineStr">
        <is>
          <t>SP</t>
        </is>
      </c>
      <c r="E1278" t="inlineStr">
        <is>
          <t>bed_bath_table</t>
        </is>
      </c>
      <c r="F1278" t="n">
        <v>1</v>
      </c>
      <c r="G1278" t="n">
        <v>157</v>
      </c>
      <c r="H1278" t="n">
        <v>14.7</v>
      </c>
      <c r="I1278" t="inlineStr">
        <is>
          <t>credit_card</t>
        </is>
      </c>
      <c r="J1278" t="n">
        <v>4</v>
      </c>
      <c r="K1278" t="inlineStr">
        <is>
          <t>On Time</t>
        </is>
      </c>
      <c r="L1278" t="n">
        <v>4</v>
      </c>
      <c r="M1278">
        <f>VLOOKUP(D1278,State_Lookup!$A$2:$B$28,2,FALSE)</f>
        <v/>
      </c>
    </row>
    <row r="1279">
      <c r="A1279" t="inlineStr">
        <is>
          <t>cc5a504c7761122bceafca452e63c2de</t>
        </is>
      </c>
      <c r="B1279" t="inlineStr">
        <is>
          <t>2017-09-16</t>
        </is>
      </c>
      <c r="C1279" t="inlineStr">
        <is>
          <t>2017-09</t>
        </is>
      </c>
      <c r="D1279" t="inlineStr">
        <is>
          <t>PE</t>
        </is>
      </c>
      <c r="E1279" t="inlineStr">
        <is>
          <t>fashion_shoes</t>
        </is>
      </c>
      <c r="F1279" t="n">
        <v>1</v>
      </c>
      <c r="G1279" t="n">
        <v>157.9</v>
      </c>
      <c r="H1279" t="n">
        <v>29.51</v>
      </c>
      <c r="I1279" t="inlineStr">
        <is>
          <t>credit_card</t>
        </is>
      </c>
      <c r="J1279" t="n">
        <v>11</v>
      </c>
      <c r="K1279" t="inlineStr">
        <is>
          <t>On Time</t>
        </is>
      </c>
      <c r="L1279" t="n">
        <v>5</v>
      </c>
      <c r="M1279">
        <f>VLOOKUP(D1279,State_Lookup!$A$2:$B$28,2,FALSE)</f>
        <v/>
      </c>
    </row>
    <row r="1280">
      <c r="A1280" t="inlineStr">
        <is>
          <t>a1567768e86bf73e0df3f99f8c570017</t>
        </is>
      </c>
      <c r="B1280" t="inlineStr">
        <is>
          <t>2017-09-16</t>
        </is>
      </c>
      <c r="C1280" t="inlineStr">
        <is>
          <t>2017-09</t>
        </is>
      </c>
      <c r="D1280" t="inlineStr">
        <is>
          <t>SP</t>
        </is>
      </c>
      <c r="E1280" t="inlineStr">
        <is>
          <t>furniture_decor</t>
        </is>
      </c>
      <c r="F1280" t="n">
        <v>1</v>
      </c>
      <c r="G1280" t="n">
        <v>59.55</v>
      </c>
      <c r="H1280" t="n">
        <v>13.44</v>
      </c>
      <c r="I1280" t="inlineStr">
        <is>
          <t>boleto</t>
        </is>
      </c>
      <c r="J1280" t="n">
        <v>17</v>
      </c>
      <c r="K1280" t="inlineStr">
        <is>
          <t>On Time</t>
        </is>
      </c>
      <c r="L1280" t="n">
        <v>4</v>
      </c>
      <c r="M1280">
        <f>VLOOKUP(D1280,State_Lookup!$A$2:$B$28,2,FALSE)</f>
        <v/>
      </c>
    </row>
    <row r="1281">
      <c r="A1281" t="inlineStr">
        <is>
          <t>c3514a3dc150acbbf0ab547f1cdc1fe4</t>
        </is>
      </c>
      <c r="B1281" t="inlineStr">
        <is>
          <t>2017-09-16</t>
        </is>
      </c>
      <c r="C1281" t="inlineStr">
        <is>
          <t>2017-09</t>
        </is>
      </c>
      <c r="D1281" t="inlineStr">
        <is>
          <t>MG</t>
        </is>
      </c>
      <c r="E1281" t="inlineStr">
        <is>
          <t>cool_stuff</t>
        </is>
      </c>
      <c r="F1281" t="n">
        <v>1</v>
      </c>
      <c r="G1281" t="n">
        <v>292.99</v>
      </c>
      <c r="H1281" t="n">
        <v>34.5</v>
      </c>
      <c r="I1281" t="inlineStr">
        <is>
          <t>credit_card</t>
        </is>
      </c>
      <c r="J1281" t="inlineStr"/>
      <c r="K1281" t="inlineStr">
        <is>
          <t>Not Delivered</t>
        </is>
      </c>
      <c r="L1281" t="n">
        <v>1</v>
      </c>
      <c r="M1281">
        <f>VLOOKUP(D1281,State_Lookup!$A$2:$B$28,2,FALSE)</f>
        <v/>
      </c>
    </row>
    <row r="1282">
      <c r="A1282" t="inlineStr">
        <is>
          <t>01e1617e546dc1fd372e089ab515ae34</t>
        </is>
      </c>
      <c r="B1282" t="inlineStr">
        <is>
          <t>2017-09-17</t>
        </is>
      </c>
      <c r="C1282" t="inlineStr">
        <is>
          <t>2017-09</t>
        </is>
      </c>
      <c r="D1282" t="inlineStr">
        <is>
          <t>GO</t>
        </is>
      </c>
      <c r="E1282" t="inlineStr">
        <is>
          <t>housewares</t>
        </is>
      </c>
      <c r="F1282" t="n">
        <v>1</v>
      </c>
      <c r="G1282" t="n">
        <v>76.09999999999999</v>
      </c>
      <c r="H1282" t="n">
        <v>20.02</v>
      </c>
      <c r="I1282" t="inlineStr">
        <is>
          <t>credit_card</t>
        </is>
      </c>
      <c r="J1282" t="n">
        <v>9</v>
      </c>
      <c r="K1282" t="inlineStr">
        <is>
          <t>On Time</t>
        </is>
      </c>
      <c r="L1282" t="n">
        <v>5</v>
      </c>
      <c r="M1282">
        <f>VLOOKUP(D1282,State_Lookup!$A$2:$B$28,2,FALSE)</f>
        <v/>
      </c>
    </row>
    <row r="1283">
      <c r="A1283" t="inlineStr">
        <is>
          <t>0ff1419cb5d96f6355fc067f02c8936a</t>
        </is>
      </c>
      <c r="B1283" t="inlineStr">
        <is>
          <t>2017-09-17</t>
        </is>
      </c>
      <c r="C1283" t="inlineStr">
        <is>
          <t>2017-09</t>
        </is>
      </c>
      <c r="D1283" t="inlineStr">
        <is>
          <t>MG</t>
        </is>
      </c>
      <c r="E1283" t="inlineStr">
        <is>
          <t>auto</t>
        </is>
      </c>
      <c r="F1283" t="n">
        <v>1</v>
      </c>
      <c r="G1283" t="n">
        <v>117.3</v>
      </c>
      <c r="H1283" t="n">
        <v>25.66</v>
      </c>
      <c r="I1283" t="inlineStr">
        <is>
          <t>credit_card</t>
        </is>
      </c>
      <c r="J1283" t="n">
        <v>5</v>
      </c>
      <c r="K1283" t="inlineStr">
        <is>
          <t>On Time</t>
        </is>
      </c>
      <c r="L1283" t="n">
        <v>4</v>
      </c>
      <c r="M1283">
        <f>VLOOKUP(D1283,State_Lookup!$A$2:$B$28,2,FALSE)</f>
        <v/>
      </c>
    </row>
    <row r="1284">
      <c r="A1284" t="inlineStr">
        <is>
          <t>d27c9535dfd56cfe107bc9eac1ac3e31</t>
        </is>
      </c>
      <c r="B1284" t="inlineStr">
        <is>
          <t>2017-09-17</t>
        </is>
      </c>
      <c r="C1284" t="inlineStr">
        <is>
          <t>2017-09</t>
        </is>
      </c>
      <c r="D1284" t="inlineStr">
        <is>
          <t>SP</t>
        </is>
      </c>
      <c r="E1284" t="inlineStr">
        <is>
          <t>watches_gifts</t>
        </is>
      </c>
      <c r="F1284" t="n">
        <v>1</v>
      </c>
      <c r="G1284" t="n">
        <v>138</v>
      </c>
      <c r="H1284" t="n">
        <v>12.47</v>
      </c>
      <c r="I1284" t="inlineStr">
        <is>
          <t>credit_card</t>
        </is>
      </c>
      <c r="J1284" t="n">
        <v>7</v>
      </c>
      <c r="K1284" t="inlineStr">
        <is>
          <t>On Time</t>
        </is>
      </c>
      <c r="L1284" t="n">
        <v>4</v>
      </c>
      <c r="M1284">
        <f>VLOOKUP(D1284,State_Lookup!$A$2:$B$28,2,FALSE)</f>
        <v/>
      </c>
    </row>
    <row r="1285">
      <c r="A1285" t="inlineStr">
        <is>
          <t>39ab7695b7b3ea8282b3e9b10f0dae4f</t>
        </is>
      </c>
      <c r="B1285" t="inlineStr">
        <is>
          <t>2017-09-18</t>
        </is>
      </c>
      <c r="C1285" t="inlineStr">
        <is>
          <t>2017-09</t>
        </is>
      </c>
      <c r="D1285" t="inlineStr">
        <is>
          <t>SP</t>
        </is>
      </c>
      <c r="E1285" t="inlineStr">
        <is>
          <t>auto</t>
        </is>
      </c>
      <c r="F1285" t="n">
        <v>1</v>
      </c>
      <c r="G1285" t="n">
        <v>19</v>
      </c>
      <c r="H1285" t="n">
        <v>8.27</v>
      </c>
      <c r="I1285" t="inlineStr">
        <is>
          <t>credit_card</t>
        </is>
      </c>
      <c r="J1285" t="n">
        <v>1</v>
      </c>
      <c r="K1285" t="inlineStr">
        <is>
          <t>On Time</t>
        </is>
      </c>
      <c r="L1285" t="n">
        <v>4</v>
      </c>
      <c r="M1285">
        <f>VLOOKUP(D1285,State_Lookup!$A$2:$B$28,2,FALSE)</f>
        <v/>
      </c>
    </row>
    <row r="1286">
      <c r="A1286" t="inlineStr">
        <is>
          <t>5644acc16afa3e61aae7f559e573ccbe</t>
        </is>
      </c>
      <c r="B1286" t="inlineStr">
        <is>
          <t>2017-09-18</t>
        </is>
      </c>
      <c r="C1286" t="inlineStr">
        <is>
          <t>2017-09</t>
        </is>
      </c>
      <c r="D1286" t="inlineStr">
        <is>
          <t>BA</t>
        </is>
      </c>
      <c r="E1286" t="inlineStr">
        <is>
          <t>health_beauty</t>
        </is>
      </c>
      <c r="F1286" t="n">
        <v>1</v>
      </c>
      <c r="G1286" t="n">
        <v>57.81</v>
      </c>
      <c r="H1286" t="n">
        <v>16.84</v>
      </c>
      <c r="I1286" t="inlineStr">
        <is>
          <t>credit_card</t>
        </is>
      </c>
      <c r="J1286" t="n">
        <v>15</v>
      </c>
      <c r="K1286" t="inlineStr">
        <is>
          <t>On Time</t>
        </is>
      </c>
      <c r="L1286" t="n">
        <v>5</v>
      </c>
      <c r="M1286">
        <f>VLOOKUP(D1286,State_Lookup!$A$2:$B$28,2,FALSE)</f>
        <v/>
      </c>
    </row>
    <row r="1287">
      <c r="A1287" t="inlineStr">
        <is>
          <t>983d1042c129f87546062d2d27f73020</t>
        </is>
      </c>
      <c r="B1287" t="inlineStr">
        <is>
          <t>2017-09-18</t>
        </is>
      </c>
      <c r="C1287" t="inlineStr">
        <is>
          <t>2017-09</t>
        </is>
      </c>
      <c r="D1287" t="inlineStr">
        <is>
          <t>RJ</t>
        </is>
      </c>
      <c r="E1287" t="inlineStr">
        <is>
          <t>stationery</t>
        </is>
      </c>
      <c r="F1287" t="n">
        <v>1</v>
      </c>
      <c r="G1287" t="n">
        <v>99</v>
      </c>
      <c r="H1287" t="n">
        <v>17.94</v>
      </c>
      <c r="I1287" t="inlineStr">
        <is>
          <t>credit_card</t>
        </is>
      </c>
      <c r="J1287" t="n">
        <v>50</v>
      </c>
      <c r="K1287" t="inlineStr">
        <is>
          <t>Late</t>
        </is>
      </c>
      <c r="L1287" t="n">
        <v>4</v>
      </c>
      <c r="M1287">
        <f>VLOOKUP(D1287,State_Lookup!$A$2:$B$28,2,FALSE)</f>
        <v/>
      </c>
    </row>
    <row r="1288">
      <c r="A1288" t="inlineStr">
        <is>
          <t>a6a167269a035bae64d9f5a38172c5c7</t>
        </is>
      </c>
      <c r="B1288" t="inlineStr">
        <is>
          <t>2017-09-18</t>
        </is>
      </c>
      <c r="C1288" t="inlineStr">
        <is>
          <t>2017-09</t>
        </is>
      </c>
      <c r="D1288" t="inlineStr">
        <is>
          <t>SP</t>
        </is>
      </c>
      <c r="E1288" t="inlineStr">
        <is>
          <t>sports_leisure</t>
        </is>
      </c>
      <c r="F1288" t="n">
        <v>1</v>
      </c>
      <c r="G1288" t="n">
        <v>36</v>
      </c>
      <c r="H1288" t="n">
        <v>7.78</v>
      </c>
      <c r="I1288" t="inlineStr">
        <is>
          <t>credit_card</t>
        </is>
      </c>
      <c r="J1288" t="n">
        <v>1</v>
      </c>
      <c r="K1288" t="inlineStr">
        <is>
          <t>On Time</t>
        </is>
      </c>
      <c r="L1288" t="n">
        <v>5</v>
      </c>
      <c r="M1288">
        <f>VLOOKUP(D1288,State_Lookup!$A$2:$B$28,2,FALSE)</f>
        <v/>
      </c>
    </row>
    <row r="1289">
      <c r="A1289" t="inlineStr">
        <is>
          <t>652e317bb6d649095346bf24ba207c15</t>
        </is>
      </c>
      <c r="B1289" t="inlineStr">
        <is>
          <t>2017-09-18</t>
        </is>
      </c>
      <c r="C1289" t="inlineStr">
        <is>
          <t>2017-09</t>
        </is>
      </c>
      <c r="D1289" t="inlineStr">
        <is>
          <t>GO</t>
        </is>
      </c>
      <c r="E1289" t="inlineStr">
        <is>
          <t>bed_bath_table</t>
        </is>
      </c>
      <c r="F1289" t="n">
        <v>1</v>
      </c>
      <c r="G1289" t="n">
        <v>113.57</v>
      </c>
      <c r="H1289" t="n">
        <v>18.04</v>
      </c>
      <c r="I1289" t="inlineStr">
        <is>
          <t>credit_card</t>
        </is>
      </c>
      <c r="J1289" t="n">
        <v>22</v>
      </c>
      <c r="K1289" t="inlineStr">
        <is>
          <t>On Time</t>
        </is>
      </c>
      <c r="L1289" t="n">
        <v>2</v>
      </c>
      <c r="M1289">
        <f>VLOOKUP(D1289,State_Lookup!$A$2:$B$28,2,FALSE)</f>
        <v/>
      </c>
    </row>
    <row r="1290">
      <c r="A1290" t="inlineStr">
        <is>
          <t>ed0b6f8c8617370e53735a5d963bb5b6</t>
        </is>
      </c>
      <c r="B1290" t="inlineStr">
        <is>
          <t>2017-09-18</t>
        </is>
      </c>
      <c r="C1290" t="inlineStr">
        <is>
          <t>2017-09</t>
        </is>
      </c>
      <c r="D1290" t="inlineStr">
        <is>
          <t>SP</t>
        </is>
      </c>
      <c r="E1290" t="inlineStr">
        <is>
          <t>bed_bath_table</t>
        </is>
      </c>
      <c r="F1290" t="n">
        <v>4</v>
      </c>
      <c r="G1290" t="n">
        <v>67.59999999999999</v>
      </c>
      <c r="H1290" t="n">
        <v>31.13</v>
      </c>
      <c r="I1290" t="inlineStr">
        <is>
          <t>credit_card</t>
        </is>
      </c>
      <c r="J1290" t="n">
        <v>4</v>
      </c>
      <c r="K1290" t="inlineStr">
        <is>
          <t>On Time</t>
        </is>
      </c>
      <c r="L1290" t="n">
        <v>2</v>
      </c>
      <c r="M1290">
        <f>VLOOKUP(D1290,State_Lookup!$A$2:$B$28,2,FALSE)</f>
        <v/>
      </c>
    </row>
    <row r="1291">
      <c r="A1291" t="inlineStr">
        <is>
          <t>5b7f6445ca01d94adfe256eaa9a37ada</t>
        </is>
      </c>
      <c r="B1291" t="inlineStr">
        <is>
          <t>2017-09-19</t>
        </is>
      </c>
      <c r="C1291" t="inlineStr">
        <is>
          <t>2017-09</t>
        </is>
      </c>
      <c r="D1291" t="inlineStr">
        <is>
          <t>BA</t>
        </is>
      </c>
      <c r="E1291" t="inlineStr">
        <is>
          <t>bed_bath_table</t>
        </is>
      </c>
      <c r="F1291" t="n">
        <v>1</v>
      </c>
      <c r="G1291" t="n">
        <v>65.90000000000001</v>
      </c>
      <c r="H1291" t="n">
        <v>16.9</v>
      </c>
      <c r="I1291" t="inlineStr">
        <is>
          <t>credit_card</t>
        </is>
      </c>
      <c r="J1291" t="n">
        <v>20</v>
      </c>
      <c r="K1291" t="inlineStr">
        <is>
          <t>On Time</t>
        </is>
      </c>
      <c r="L1291" t="n">
        <v>4</v>
      </c>
      <c r="M1291">
        <f>VLOOKUP(D1291,State_Lookup!$A$2:$B$28,2,FALSE)</f>
        <v/>
      </c>
    </row>
    <row r="1292">
      <c r="A1292" t="inlineStr">
        <is>
          <t>319d398b7ec933febdefe3104dcb8679</t>
        </is>
      </c>
      <c r="B1292" t="inlineStr">
        <is>
          <t>2017-09-19</t>
        </is>
      </c>
      <c r="C1292" t="inlineStr">
        <is>
          <t>2017-09</t>
        </is>
      </c>
      <c r="D1292" t="inlineStr">
        <is>
          <t>MG</t>
        </is>
      </c>
      <c r="E1292" t="inlineStr">
        <is>
          <t>perfumery</t>
        </is>
      </c>
      <c r="F1292" t="n">
        <v>1</v>
      </c>
      <c r="G1292" t="n">
        <v>84.98999999999999</v>
      </c>
      <c r="H1292" t="n">
        <v>15.34</v>
      </c>
      <c r="I1292" t="inlineStr">
        <is>
          <t>credit_card</t>
        </is>
      </c>
      <c r="J1292" t="n">
        <v>6</v>
      </c>
      <c r="K1292" t="inlineStr">
        <is>
          <t>On Time</t>
        </is>
      </c>
      <c r="L1292" t="n">
        <v>5</v>
      </c>
      <c r="M1292">
        <f>VLOOKUP(D1292,State_Lookup!$A$2:$B$28,2,FALSE)</f>
        <v/>
      </c>
    </row>
    <row r="1293">
      <c r="A1293" t="inlineStr">
        <is>
          <t>8748f09f5b3de56a89acecb0b56618ae</t>
        </is>
      </c>
      <c r="B1293" t="inlineStr">
        <is>
          <t>2017-09-19</t>
        </is>
      </c>
      <c r="C1293" t="inlineStr">
        <is>
          <t>2017-09</t>
        </is>
      </c>
      <c r="D1293" t="inlineStr">
        <is>
          <t>SP</t>
        </is>
      </c>
      <c r="E1293" t="inlineStr">
        <is>
          <t>pet_shop</t>
        </is>
      </c>
      <c r="F1293" t="n">
        <v>1</v>
      </c>
      <c r="G1293" t="n">
        <v>36.8</v>
      </c>
      <c r="H1293" t="n">
        <v>11.73</v>
      </c>
      <c r="I1293" t="inlineStr">
        <is>
          <t>credit_card</t>
        </is>
      </c>
      <c r="J1293" t="n">
        <v>1</v>
      </c>
      <c r="K1293" t="inlineStr">
        <is>
          <t>On Time</t>
        </is>
      </c>
      <c r="L1293" t="n">
        <v>4</v>
      </c>
      <c r="M1293">
        <f>VLOOKUP(D1293,State_Lookup!$A$2:$B$28,2,FALSE)</f>
        <v/>
      </c>
    </row>
    <row r="1294">
      <c r="A1294" t="inlineStr">
        <is>
          <t>eb7469eb92114d9ad0fec862b33ed95d</t>
        </is>
      </c>
      <c r="B1294" t="inlineStr">
        <is>
          <t>2017-09-19</t>
        </is>
      </c>
      <c r="C1294" t="inlineStr">
        <is>
          <t>2017-09</t>
        </is>
      </c>
      <c r="D1294" t="inlineStr">
        <is>
          <t>SP</t>
        </is>
      </c>
      <c r="E1294" t="inlineStr">
        <is>
          <t>auto</t>
        </is>
      </c>
      <c r="F1294" t="n">
        <v>2</v>
      </c>
      <c r="G1294" t="n">
        <v>33.8</v>
      </c>
      <c r="H1294" t="n">
        <v>23.7</v>
      </c>
      <c r="I1294" t="inlineStr">
        <is>
          <t>credit_card</t>
        </is>
      </c>
      <c r="J1294" t="n">
        <v>7</v>
      </c>
      <c r="K1294" t="inlineStr">
        <is>
          <t>On Time</t>
        </is>
      </c>
      <c r="L1294" t="n">
        <v>3</v>
      </c>
      <c r="M1294">
        <f>VLOOKUP(D1294,State_Lookup!$A$2:$B$28,2,FALSE)</f>
        <v/>
      </c>
    </row>
    <row r="1295">
      <c r="A1295" t="inlineStr">
        <is>
          <t>5290363ff55b49b6310cf80238d88572</t>
        </is>
      </c>
      <c r="B1295" t="inlineStr">
        <is>
          <t>2017-09-19</t>
        </is>
      </c>
      <c r="C1295" t="inlineStr">
        <is>
          <t>2017-09</t>
        </is>
      </c>
      <c r="D1295" t="inlineStr">
        <is>
          <t>SP</t>
        </is>
      </c>
      <c r="E1295" t="inlineStr">
        <is>
          <t>unknown</t>
        </is>
      </c>
      <c r="F1295" t="n">
        <v>1</v>
      </c>
      <c r="G1295" t="n">
        <v>39.9</v>
      </c>
      <c r="H1295" t="n">
        <v>14.1</v>
      </c>
      <c r="I1295" t="inlineStr">
        <is>
          <t>credit_card</t>
        </is>
      </c>
      <c r="J1295" t="n">
        <v>8</v>
      </c>
      <c r="K1295" t="inlineStr">
        <is>
          <t>On Time</t>
        </is>
      </c>
      <c r="L1295" t="n">
        <v>5</v>
      </c>
      <c r="M1295">
        <f>VLOOKUP(D1295,State_Lookup!$A$2:$B$28,2,FALSE)</f>
        <v/>
      </c>
    </row>
    <row r="1296">
      <c r="A1296" t="inlineStr">
        <is>
          <t>8dc2ffdf42cced0aea6a7e723bda3942</t>
        </is>
      </c>
      <c r="B1296" t="inlineStr">
        <is>
          <t>2017-09-19</t>
        </is>
      </c>
      <c r="C1296" t="inlineStr">
        <is>
          <t>2017-09</t>
        </is>
      </c>
      <c r="D1296" t="inlineStr">
        <is>
          <t>RS</t>
        </is>
      </c>
      <c r="E1296" t="inlineStr">
        <is>
          <t>garden_tools</t>
        </is>
      </c>
      <c r="F1296" t="n">
        <v>1</v>
      </c>
      <c r="G1296" t="n">
        <v>59.9</v>
      </c>
      <c r="H1296" t="n">
        <v>17.67</v>
      </c>
      <c r="I1296" t="inlineStr">
        <is>
          <t>credit_card</t>
        </is>
      </c>
      <c r="J1296" t="n">
        <v>14</v>
      </c>
      <c r="K1296" t="inlineStr">
        <is>
          <t>On Time</t>
        </is>
      </c>
      <c r="L1296" t="n">
        <v>5</v>
      </c>
      <c r="M1296">
        <f>VLOOKUP(D1296,State_Lookup!$A$2:$B$28,2,FALSE)</f>
        <v/>
      </c>
    </row>
    <row r="1297">
      <c r="A1297" t="inlineStr">
        <is>
          <t>0098dbda25722a3f019fe252a0cd10b3</t>
        </is>
      </c>
      <c r="B1297" t="inlineStr">
        <is>
          <t>2017-09-19</t>
        </is>
      </c>
      <c r="C1297" t="inlineStr">
        <is>
          <t>2017-09</t>
        </is>
      </c>
      <c r="D1297" t="inlineStr">
        <is>
          <t>GO</t>
        </is>
      </c>
      <c r="E1297" t="inlineStr">
        <is>
          <t>bed_bath_table</t>
        </is>
      </c>
      <c r="F1297" t="n">
        <v>1</v>
      </c>
      <c r="G1297" t="n">
        <v>143.54</v>
      </c>
      <c r="H1297" t="n">
        <v>21.49</v>
      </c>
      <c r="I1297" t="inlineStr">
        <is>
          <t>boleto</t>
        </is>
      </c>
      <c r="J1297" t="n">
        <v>13</v>
      </c>
      <c r="K1297" t="inlineStr">
        <is>
          <t>On Time</t>
        </is>
      </c>
      <c r="L1297" t="n">
        <v>4</v>
      </c>
      <c r="M1297">
        <f>VLOOKUP(D1297,State_Lookup!$A$2:$B$28,2,FALSE)</f>
        <v/>
      </c>
    </row>
    <row r="1298">
      <c r="A1298" t="inlineStr">
        <is>
          <t>762e43a4ec270117f892451cad4a1bb7</t>
        </is>
      </c>
      <c r="B1298" t="inlineStr">
        <is>
          <t>2017-09-19</t>
        </is>
      </c>
      <c r="C1298" t="inlineStr">
        <is>
          <t>2017-09</t>
        </is>
      </c>
      <c r="D1298" t="inlineStr">
        <is>
          <t>RJ</t>
        </is>
      </c>
      <c r="E1298" t="inlineStr">
        <is>
          <t>housewares</t>
        </is>
      </c>
      <c r="F1298" t="n">
        <v>1</v>
      </c>
      <c r="G1298" t="n">
        <v>9.6</v>
      </c>
      <c r="H1298" t="n">
        <v>16.11</v>
      </c>
      <c r="I1298" t="inlineStr">
        <is>
          <t>credit_card</t>
        </is>
      </c>
      <c r="J1298" t="n">
        <v>13</v>
      </c>
      <c r="K1298" t="inlineStr">
        <is>
          <t>On Time</t>
        </is>
      </c>
      <c r="L1298" t="n">
        <v>5</v>
      </c>
      <c r="M1298">
        <f>VLOOKUP(D1298,State_Lookup!$A$2:$B$28,2,FALSE)</f>
        <v/>
      </c>
    </row>
    <row r="1299">
      <c r="A1299" t="inlineStr">
        <is>
          <t>b8e9df924b8a1dca22c4920e9d6b33bc</t>
        </is>
      </c>
      <c r="B1299" t="inlineStr">
        <is>
          <t>2017-09-19</t>
        </is>
      </c>
      <c r="C1299" t="inlineStr">
        <is>
          <t>2017-09</t>
        </is>
      </c>
      <c r="D1299" t="inlineStr">
        <is>
          <t>SP</t>
        </is>
      </c>
      <c r="E1299" t="inlineStr">
        <is>
          <t>bed_bath_table</t>
        </is>
      </c>
      <c r="F1299" t="n">
        <v>1</v>
      </c>
      <c r="G1299" t="n">
        <v>59.99</v>
      </c>
      <c r="H1299" t="n">
        <v>13.44</v>
      </c>
      <c r="I1299" t="inlineStr">
        <is>
          <t>boleto</t>
        </is>
      </c>
      <c r="J1299" t="n">
        <v>9</v>
      </c>
      <c r="K1299" t="inlineStr">
        <is>
          <t>On Time</t>
        </is>
      </c>
      <c r="L1299" t="n">
        <v>5</v>
      </c>
      <c r="M1299">
        <f>VLOOKUP(D1299,State_Lookup!$A$2:$B$28,2,FALSE)</f>
        <v/>
      </c>
    </row>
    <row r="1300">
      <c r="A1300" t="inlineStr">
        <is>
          <t>906e820b85dd6c8ef9a4aa5581aa277b</t>
        </is>
      </c>
      <c r="B1300" t="inlineStr">
        <is>
          <t>2017-09-19</t>
        </is>
      </c>
      <c r="C1300" t="inlineStr">
        <is>
          <t>2017-09</t>
        </is>
      </c>
      <c r="D1300" t="inlineStr">
        <is>
          <t>SP</t>
        </is>
      </c>
      <c r="E1300" t="inlineStr">
        <is>
          <t>fashion_bags_accessories</t>
        </is>
      </c>
      <c r="F1300" t="n">
        <v>1</v>
      </c>
      <c r="G1300" t="n">
        <v>49.9</v>
      </c>
      <c r="H1300" t="n">
        <v>7.78</v>
      </c>
      <c r="I1300" t="inlineStr">
        <is>
          <t>credit_card</t>
        </is>
      </c>
      <c r="J1300" t="n">
        <v>2</v>
      </c>
      <c r="K1300" t="inlineStr">
        <is>
          <t>On Time</t>
        </is>
      </c>
      <c r="L1300" t="n">
        <v>5</v>
      </c>
      <c r="M1300">
        <f>VLOOKUP(D1300,State_Lookup!$A$2:$B$28,2,FALSE)</f>
        <v/>
      </c>
    </row>
    <row r="1301">
      <c r="A1301" t="inlineStr">
        <is>
          <t>1c95c0aa3b0fc5495c09cbba1793b9d8</t>
        </is>
      </c>
      <c r="B1301" t="inlineStr">
        <is>
          <t>2017-09-19</t>
        </is>
      </c>
      <c r="C1301" t="inlineStr">
        <is>
          <t>2017-09</t>
        </is>
      </c>
      <c r="D1301" t="inlineStr">
        <is>
          <t>MS</t>
        </is>
      </c>
      <c r="E1301" t="inlineStr">
        <is>
          <t>fashion_bags_accessories</t>
        </is>
      </c>
      <c r="F1301" t="n">
        <v>1</v>
      </c>
      <c r="G1301" t="n">
        <v>29.99</v>
      </c>
      <c r="H1301" t="n">
        <v>17.63</v>
      </c>
      <c r="I1301" t="inlineStr">
        <is>
          <t>credit_card</t>
        </is>
      </c>
      <c r="J1301" t="n">
        <v>6</v>
      </c>
      <c r="K1301" t="inlineStr">
        <is>
          <t>On Time</t>
        </is>
      </c>
      <c r="L1301" t="n">
        <v>4</v>
      </c>
      <c r="M1301">
        <f>VLOOKUP(D1301,State_Lookup!$A$2:$B$28,2,FALSE)</f>
        <v/>
      </c>
    </row>
    <row r="1302">
      <c r="A1302" t="inlineStr">
        <is>
          <t>25e08e5a23ab24f86595aadbe50bc739</t>
        </is>
      </c>
      <c r="B1302" t="inlineStr">
        <is>
          <t>2017-09-19</t>
        </is>
      </c>
      <c r="C1302" t="inlineStr">
        <is>
          <t>2017-09</t>
        </is>
      </c>
      <c r="D1302" t="inlineStr">
        <is>
          <t>SC</t>
        </is>
      </c>
      <c r="E1302" t="inlineStr">
        <is>
          <t>bed_bath_table</t>
        </is>
      </c>
      <c r="F1302" t="n">
        <v>1</v>
      </c>
      <c r="G1302" t="n">
        <v>95</v>
      </c>
      <c r="H1302" t="n">
        <v>17.92</v>
      </c>
      <c r="I1302" t="inlineStr">
        <is>
          <t>credit_card</t>
        </is>
      </c>
      <c r="J1302" t="n">
        <v>24</v>
      </c>
      <c r="K1302" t="inlineStr">
        <is>
          <t>Late</t>
        </is>
      </c>
      <c r="L1302" t="n">
        <v>3</v>
      </c>
      <c r="M1302">
        <f>VLOOKUP(D1302,State_Lookup!$A$2:$B$28,2,FALSE)</f>
        <v/>
      </c>
    </row>
    <row r="1303">
      <c r="A1303" t="inlineStr">
        <is>
          <t>174c83fcd9eb7abaaba69d49ea92ba96</t>
        </is>
      </c>
      <c r="B1303" t="inlineStr">
        <is>
          <t>2017-09-20</t>
        </is>
      </c>
      <c r="C1303" t="inlineStr">
        <is>
          <t>2017-09</t>
        </is>
      </c>
      <c r="D1303" t="inlineStr">
        <is>
          <t>SP</t>
        </is>
      </c>
      <c r="E1303" t="inlineStr">
        <is>
          <t>computers_accessories</t>
        </is>
      </c>
      <c r="F1303" t="n">
        <v>1</v>
      </c>
      <c r="G1303" t="n">
        <v>199</v>
      </c>
      <c r="H1303" t="n">
        <v>22.23</v>
      </c>
      <c r="I1303" t="inlineStr">
        <is>
          <t>boleto</t>
        </is>
      </c>
      <c r="J1303" t="inlineStr"/>
      <c r="K1303" t="inlineStr">
        <is>
          <t>Not Delivered</t>
        </is>
      </c>
      <c r="L1303" t="n">
        <v>1</v>
      </c>
      <c r="M1303">
        <f>VLOOKUP(D1303,State_Lookup!$A$2:$B$28,2,FALSE)</f>
        <v/>
      </c>
    </row>
    <row r="1304">
      <c r="A1304" t="inlineStr">
        <is>
          <t>cd1c9899cfb848c241d0b93fdfc10df9</t>
        </is>
      </c>
      <c r="B1304" t="inlineStr">
        <is>
          <t>2017-09-20</t>
        </is>
      </c>
      <c r="C1304" t="inlineStr">
        <is>
          <t>2017-09</t>
        </is>
      </c>
      <c r="D1304" t="inlineStr">
        <is>
          <t>SC</t>
        </is>
      </c>
      <c r="E1304" t="inlineStr">
        <is>
          <t>furniture_decor</t>
        </is>
      </c>
      <c r="F1304" t="n">
        <v>1</v>
      </c>
      <c r="G1304" t="n">
        <v>10.9</v>
      </c>
      <c r="H1304" t="n">
        <v>15.1</v>
      </c>
      <c r="I1304" t="inlineStr">
        <is>
          <t>boleto</t>
        </is>
      </c>
      <c r="J1304" t="inlineStr"/>
      <c r="K1304" t="inlineStr">
        <is>
          <t>Not Delivered</t>
        </is>
      </c>
      <c r="L1304" t="n">
        <v>1</v>
      </c>
      <c r="M1304">
        <f>VLOOKUP(D1304,State_Lookup!$A$2:$B$28,2,FALSE)</f>
        <v/>
      </c>
    </row>
    <row r="1305">
      <c r="A1305" t="inlineStr">
        <is>
          <t>a95424d8e778a0353400a1215b82210d</t>
        </is>
      </c>
      <c r="B1305" t="inlineStr">
        <is>
          <t>2017-09-20</t>
        </is>
      </c>
      <c r="C1305" t="inlineStr">
        <is>
          <t>2017-09</t>
        </is>
      </c>
      <c r="D1305" t="inlineStr">
        <is>
          <t>BA</t>
        </is>
      </c>
      <c r="E1305" t="inlineStr">
        <is>
          <t>cool_stuff</t>
        </is>
      </c>
      <c r="F1305" t="n">
        <v>1</v>
      </c>
      <c r="G1305" t="n">
        <v>59.99</v>
      </c>
      <c r="H1305" t="n">
        <v>19.66</v>
      </c>
      <c r="I1305" t="inlineStr">
        <is>
          <t>credit_card</t>
        </is>
      </c>
      <c r="J1305" t="n">
        <v>14</v>
      </c>
      <c r="K1305" t="inlineStr">
        <is>
          <t>On Time</t>
        </is>
      </c>
      <c r="L1305" t="n">
        <v>5</v>
      </c>
      <c r="M1305">
        <f>VLOOKUP(D1305,State_Lookup!$A$2:$B$28,2,FALSE)</f>
        <v/>
      </c>
    </row>
    <row r="1306">
      <c r="A1306" t="inlineStr">
        <is>
          <t>2fb6a72b0a07a304bba3ff03e02728e5</t>
        </is>
      </c>
      <c r="B1306" t="inlineStr">
        <is>
          <t>2017-09-20</t>
        </is>
      </c>
      <c r="C1306" t="inlineStr">
        <is>
          <t>2017-09</t>
        </is>
      </c>
      <c r="D1306" t="inlineStr">
        <is>
          <t>SP</t>
        </is>
      </c>
      <c r="E1306" t="inlineStr">
        <is>
          <t>perfumery</t>
        </is>
      </c>
      <c r="F1306" t="n">
        <v>1</v>
      </c>
      <c r="G1306" t="n">
        <v>129.99</v>
      </c>
      <c r="H1306" t="n">
        <v>9.1</v>
      </c>
      <c r="I1306" t="inlineStr">
        <is>
          <t>credit_card</t>
        </is>
      </c>
      <c r="J1306" t="n">
        <v>5</v>
      </c>
      <c r="K1306" t="inlineStr">
        <is>
          <t>On Time</t>
        </is>
      </c>
      <c r="L1306" t="n">
        <v>5</v>
      </c>
      <c r="M1306">
        <f>VLOOKUP(D1306,State_Lookup!$A$2:$B$28,2,FALSE)</f>
        <v/>
      </c>
    </row>
    <row r="1307">
      <c r="A1307" t="inlineStr">
        <is>
          <t>d905856c062516e1bd43377034e5c615</t>
        </is>
      </c>
      <c r="B1307" t="inlineStr">
        <is>
          <t>2017-09-20</t>
        </is>
      </c>
      <c r="C1307" t="inlineStr">
        <is>
          <t>2017-09</t>
        </is>
      </c>
      <c r="D1307" t="inlineStr">
        <is>
          <t>SP</t>
        </is>
      </c>
      <c r="E1307" t="inlineStr">
        <is>
          <t>health_beauty</t>
        </is>
      </c>
      <c r="F1307" t="n">
        <v>1</v>
      </c>
      <c r="G1307" t="n">
        <v>254</v>
      </c>
      <c r="H1307" t="n">
        <v>13.28</v>
      </c>
      <c r="I1307" t="inlineStr">
        <is>
          <t>credit_card</t>
        </is>
      </c>
      <c r="J1307" t="n">
        <v>43</v>
      </c>
      <c r="K1307" t="inlineStr">
        <is>
          <t>Late</t>
        </is>
      </c>
      <c r="L1307" t="inlineStr"/>
      <c r="M1307">
        <f>VLOOKUP(D1307,State_Lookup!$A$2:$B$28,2,FALSE)</f>
        <v/>
      </c>
    </row>
    <row r="1308">
      <c r="A1308" t="inlineStr">
        <is>
          <t>19530a2973e25dffb52a39210f27ebb0</t>
        </is>
      </c>
      <c r="B1308" t="inlineStr">
        <is>
          <t>2017-09-20</t>
        </is>
      </c>
      <c r="C1308" t="inlineStr">
        <is>
          <t>2017-09</t>
        </is>
      </c>
      <c r="D1308" t="inlineStr">
        <is>
          <t>SP</t>
        </is>
      </c>
      <c r="E1308" t="inlineStr">
        <is>
          <t>pet_shop</t>
        </is>
      </c>
      <c r="F1308" t="n">
        <v>1</v>
      </c>
      <c r="G1308" t="n">
        <v>94.90000000000001</v>
      </c>
      <c r="H1308" t="n">
        <v>11.87</v>
      </c>
      <c r="I1308" t="inlineStr">
        <is>
          <t>credit_card</t>
        </is>
      </c>
      <c r="J1308" t="n">
        <v>1</v>
      </c>
      <c r="K1308" t="inlineStr">
        <is>
          <t>On Time</t>
        </is>
      </c>
      <c r="L1308" t="n">
        <v>2</v>
      </c>
      <c r="M1308">
        <f>VLOOKUP(D1308,State_Lookup!$A$2:$B$28,2,FALSE)</f>
        <v/>
      </c>
    </row>
    <row r="1309">
      <c r="A1309" t="inlineStr">
        <is>
          <t>25aa51228f73fcd38cfebfe6e20edf6f</t>
        </is>
      </c>
      <c r="B1309" t="inlineStr">
        <is>
          <t>2017-09-20</t>
        </is>
      </c>
      <c r="C1309" t="inlineStr">
        <is>
          <t>2017-09</t>
        </is>
      </c>
      <c r="D1309" t="inlineStr">
        <is>
          <t>MG</t>
        </is>
      </c>
      <c r="E1309" t="inlineStr">
        <is>
          <t>unknown</t>
        </is>
      </c>
      <c r="F1309" t="n">
        <v>1</v>
      </c>
      <c r="G1309" t="n">
        <v>98.98999999999999</v>
      </c>
      <c r="H1309" t="n">
        <v>13.71</v>
      </c>
      <c r="I1309" t="inlineStr">
        <is>
          <t>credit_card</t>
        </is>
      </c>
      <c r="J1309" t="n">
        <v>13</v>
      </c>
      <c r="K1309" t="inlineStr">
        <is>
          <t>On Time</t>
        </is>
      </c>
      <c r="L1309" t="n">
        <v>5</v>
      </c>
      <c r="M1309">
        <f>VLOOKUP(D1309,State_Lookup!$A$2:$B$28,2,FALSE)</f>
        <v/>
      </c>
    </row>
    <row r="1310">
      <c r="A1310" t="inlineStr">
        <is>
          <t>5e0140671ad91ce830fb2b33a3210d1b</t>
        </is>
      </c>
      <c r="B1310" t="inlineStr">
        <is>
          <t>2017-09-20</t>
        </is>
      </c>
      <c r="C1310" t="inlineStr">
        <is>
          <t>2017-09</t>
        </is>
      </c>
      <c r="D1310" t="inlineStr">
        <is>
          <t>AL</t>
        </is>
      </c>
      <c r="E1310" t="inlineStr">
        <is>
          <t>audio</t>
        </is>
      </c>
      <c r="F1310" t="n">
        <v>1</v>
      </c>
      <c r="G1310" t="n">
        <v>89</v>
      </c>
      <c r="H1310" t="n">
        <v>21.42</v>
      </c>
      <c r="I1310" t="inlineStr">
        <is>
          <t>credit_card</t>
        </is>
      </c>
      <c r="J1310" t="n">
        <v>29</v>
      </c>
      <c r="K1310" t="inlineStr">
        <is>
          <t>Late</t>
        </is>
      </c>
      <c r="L1310" t="n">
        <v>5</v>
      </c>
      <c r="M1310">
        <f>VLOOKUP(D1310,State_Lookup!$A$2:$B$28,2,FALSE)</f>
        <v/>
      </c>
    </row>
    <row r="1311">
      <c r="A1311" t="inlineStr">
        <is>
          <t>1a1aa9714d0f88e8a2b20b0c7c037d0b</t>
        </is>
      </c>
      <c r="B1311" t="inlineStr">
        <is>
          <t>2017-09-21</t>
        </is>
      </c>
      <c r="C1311" t="inlineStr">
        <is>
          <t>2017-09</t>
        </is>
      </c>
      <c r="D1311" t="inlineStr">
        <is>
          <t>RJ</t>
        </is>
      </c>
      <c r="E1311" t="inlineStr">
        <is>
          <t>telephony</t>
        </is>
      </c>
      <c r="F1311" t="n">
        <v>1</v>
      </c>
      <c r="G1311" t="n">
        <v>79.90000000000001</v>
      </c>
      <c r="H1311" t="n">
        <v>15.31</v>
      </c>
      <c r="I1311" t="inlineStr">
        <is>
          <t>boleto</t>
        </is>
      </c>
      <c r="J1311" t="n">
        <v>10</v>
      </c>
      <c r="K1311" t="inlineStr">
        <is>
          <t>On Time</t>
        </is>
      </c>
      <c r="L1311" t="n">
        <v>1</v>
      </c>
      <c r="M1311">
        <f>VLOOKUP(D1311,State_Lookup!$A$2:$B$28,2,FALSE)</f>
        <v/>
      </c>
    </row>
    <row r="1312">
      <c r="A1312" t="inlineStr">
        <is>
          <t>c6eb7d8978a0d7a7e592ef611e4daf04</t>
        </is>
      </c>
      <c r="B1312" t="inlineStr">
        <is>
          <t>2017-09-21</t>
        </is>
      </c>
      <c r="C1312" t="inlineStr">
        <is>
          <t>2017-09</t>
        </is>
      </c>
      <c r="D1312" t="inlineStr">
        <is>
          <t>MG</t>
        </is>
      </c>
      <c r="E1312" t="inlineStr">
        <is>
          <t>fashion_underwear_beach</t>
        </is>
      </c>
      <c r="F1312" t="n">
        <v>2</v>
      </c>
      <c r="G1312" t="n">
        <v>119.8</v>
      </c>
      <c r="H1312" t="n">
        <v>30.34</v>
      </c>
      <c r="I1312" t="inlineStr">
        <is>
          <t>credit_card</t>
        </is>
      </c>
      <c r="J1312" t="n">
        <v>8</v>
      </c>
      <c r="K1312" t="inlineStr">
        <is>
          <t>On Time</t>
        </is>
      </c>
      <c r="L1312" t="n">
        <v>5</v>
      </c>
      <c r="M1312">
        <f>VLOOKUP(D1312,State_Lookup!$A$2:$B$28,2,FALSE)</f>
        <v/>
      </c>
    </row>
    <row r="1313">
      <c r="A1313" t="inlineStr">
        <is>
          <t>37ce508071e29f853c9a6af4fb9be089</t>
        </is>
      </c>
      <c r="B1313" t="inlineStr">
        <is>
          <t>2017-09-21</t>
        </is>
      </c>
      <c r="C1313" t="inlineStr">
        <is>
          <t>2017-09</t>
        </is>
      </c>
      <c r="D1313" t="inlineStr">
        <is>
          <t>SP</t>
        </is>
      </c>
      <c r="E1313" t="inlineStr">
        <is>
          <t>bed_bath_table</t>
        </is>
      </c>
      <c r="F1313" t="n">
        <v>2</v>
      </c>
      <c r="G1313" t="n">
        <v>208.98</v>
      </c>
      <c r="H1313" t="n">
        <v>29.44</v>
      </c>
      <c r="I1313" t="inlineStr">
        <is>
          <t>credit_card</t>
        </is>
      </c>
      <c r="J1313" t="n">
        <v>5</v>
      </c>
      <c r="K1313" t="inlineStr">
        <is>
          <t>On Time</t>
        </is>
      </c>
      <c r="L1313" t="n">
        <v>5</v>
      </c>
      <c r="M1313">
        <f>VLOOKUP(D1313,State_Lookup!$A$2:$B$28,2,FALSE)</f>
        <v/>
      </c>
    </row>
    <row r="1314">
      <c r="A1314" t="inlineStr">
        <is>
          <t>5ea8db638f6283a19f2554c746ab4496</t>
        </is>
      </c>
      <c r="B1314" t="inlineStr">
        <is>
          <t>2017-09-21</t>
        </is>
      </c>
      <c r="C1314" t="inlineStr">
        <is>
          <t>2017-09</t>
        </is>
      </c>
      <c r="D1314" t="inlineStr">
        <is>
          <t>SP</t>
        </is>
      </c>
      <c r="E1314" t="inlineStr">
        <is>
          <t>bed_bath_table</t>
        </is>
      </c>
      <c r="F1314" t="n">
        <v>1</v>
      </c>
      <c r="G1314" t="n">
        <v>89.90000000000001</v>
      </c>
      <c r="H1314" t="n">
        <v>13.65</v>
      </c>
      <c r="I1314" t="inlineStr">
        <is>
          <t>credit_card</t>
        </is>
      </c>
      <c r="J1314" t="n">
        <v>8</v>
      </c>
      <c r="K1314" t="inlineStr">
        <is>
          <t>On Time</t>
        </is>
      </c>
      <c r="L1314" t="n">
        <v>5</v>
      </c>
      <c r="M1314">
        <f>VLOOKUP(D1314,State_Lookup!$A$2:$B$28,2,FALSE)</f>
        <v/>
      </c>
    </row>
    <row r="1315">
      <c r="A1315" t="inlineStr">
        <is>
          <t>6efae6c7b38cde4c5833376accaedb02</t>
        </is>
      </c>
      <c r="B1315" t="inlineStr">
        <is>
          <t>2017-09-21</t>
        </is>
      </c>
      <c r="C1315" t="inlineStr">
        <is>
          <t>2017-09</t>
        </is>
      </c>
      <c r="D1315" t="inlineStr">
        <is>
          <t>RS</t>
        </is>
      </c>
      <c r="E1315" t="inlineStr">
        <is>
          <t>bed_bath_table</t>
        </is>
      </c>
      <c r="F1315" t="n">
        <v>2</v>
      </c>
      <c r="G1315" t="n">
        <v>226.99</v>
      </c>
      <c r="H1315" t="n">
        <v>39.33</v>
      </c>
      <c r="I1315" t="inlineStr">
        <is>
          <t>credit_card</t>
        </is>
      </c>
      <c r="J1315" t="n">
        <v>11</v>
      </c>
      <c r="K1315" t="inlineStr">
        <is>
          <t>On Time</t>
        </is>
      </c>
      <c r="L1315" t="n">
        <v>1</v>
      </c>
      <c r="M1315">
        <f>VLOOKUP(D1315,State_Lookup!$A$2:$B$28,2,FALSE)</f>
        <v/>
      </c>
    </row>
    <row r="1316">
      <c r="A1316" t="inlineStr">
        <is>
          <t>27cd425460b501230b37206f151711a6</t>
        </is>
      </c>
      <c r="B1316" t="inlineStr">
        <is>
          <t>2017-09-21</t>
        </is>
      </c>
      <c r="C1316" t="inlineStr">
        <is>
          <t>2017-09</t>
        </is>
      </c>
      <c r="D1316" t="inlineStr">
        <is>
          <t>SP</t>
        </is>
      </c>
      <c r="E1316" t="inlineStr">
        <is>
          <t>health_beauty</t>
        </is>
      </c>
      <c r="F1316" t="n">
        <v>1</v>
      </c>
      <c r="G1316" t="n">
        <v>39.9</v>
      </c>
      <c r="H1316" t="n">
        <v>16.11</v>
      </c>
      <c r="I1316" t="inlineStr">
        <is>
          <t>credit_card</t>
        </is>
      </c>
      <c r="J1316" t="n">
        <v>12</v>
      </c>
      <c r="K1316" t="inlineStr">
        <is>
          <t>On Time</t>
        </is>
      </c>
      <c r="L1316" t="n">
        <v>5</v>
      </c>
      <c r="M1316">
        <f>VLOOKUP(D1316,State_Lookup!$A$2:$B$28,2,FALSE)</f>
        <v/>
      </c>
    </row>
    <row r="1317">
      <c r="A1317" t="inlineStr">
        <is>
          <t>baf84f7968a36e1c25ec1794330d5cbf</t>
        </is>
      </c>
      <c r="B1317" t="inlineStr">
        <is>
          <t>2017-09-21</t>
        </is>
      </c>
      <c r="C1317" t="inlineStr">
        <is>
          <t>2017-09</t>
        </is>
      </c>
      <c r="D1317" t="inlineStr">
        <is>
          <t>DF</t>
        </is>
      </c>
      <c r="E1317" t="inlineStr">
        <is>
          <t>luggage_accessories</t>
        </is>
      </c>
      <c r="F1317" t="n">
        <v>1</v>
      </c>
      <c r="G1317" t="n">
        <v>45.6</v>
      </c>
      <c r="H1317" t="n">
        <v>17.63</v>
      </c>
      <c r="I1317" t="inlineStr">
        <is>
          <t>credit_card</t>
        </is>
      </c>
      <c r="J1317" t="n">
        <v>12</v>
      </c>
      <c r="K1317" t="inlineStr">
        <is>
          <t>On Time</t>
        </is>
      </c>
      <c r="L1317" t="n">
        <v>3</v>
      </c>
      <c r="M1317">
        <f>VLOOKUP(D1317,State_Lookup!$A$2:$B$28,2,FALSE)</f>
        <v/>
      </c>
    </row>
    <row r="1318">
      <c r="A1318" t="inlineStr">
        <is>
          <t>bbdf47a1093584db5d4cd4e557c07183</t>
        </is>
      </c>
      <c r="B1318" t="inlineStr">
        <is>
          <t>2017-09-21</t>
        </is>
      </c>
      <c r="C1318" t="inlineStr">
        <is>
          <t>2017-09</t>
        </is>
      </c>
      <c r="D1318" t="inlineStr">
        <is>
          <t>SC</t>
        </is>
      </c>
      <c r="E1318" t="inlineStr">
        <is>
          <t>sports_leisure</t>
        </is>
      </c>
      <c r="F1318" t="n">
        <v>1</v>
      </c>
      <c r="G1318" t="n">
        <v>19.99</v>
      </c>
      <c r="H1318" t="n">
        <v>16.11</v>
      </c>
      <c r="I1318" t="inlineStr">
        <is>
          <t>credit_card</t>
        </is>
      </c>
      <c r="J1318" t="n">
        <v>18</v>
      </c>
      <c r="K1318" t="inlineStr">
        <is>
          <t>On Time</t>
        </is>
      </c>
      <c r="L1318" t="n">
        <v>4</v>
      </c>
      <c r="M1318">
        <f>VLOOKUP(D1318,State_Lookup!$A$2:$B$28,2,FALSE)</f>
        <v/>
      </c>
    </row>
    <row r="1319">
      <c r="A1319" t="inlineStr">
        <is>
          <t>84d27863cf4593bdc358f6b17240a3c5</t>
        </is>
      </c>
      <c r="B1319" t="inlineStr">
        <is>
          <t>2017-09-22</t>
        </is>
      </c>
      <c r="C1319" t="inlineStr">
        <is>
          <t>2017-09</t>
        </is>
      </c>
      <c r="D1319" t="inlineStr">
        <is>
          <t>MG</t>
        </is>
      </c>
      <c r="E1319" t="inlineStr">
        <is>
          <t>perfumery</t>
        </is>
      </c>
      <c r="F1319" t="n">
        <v>1</v>
      </c>
      <c r="G1319" t="n">
        <v>84.98999999999999</v>
      </c>
      <c r="H1319" t="n">
        <v>14.34</v>
      </c>
      <c r="I1319" t="inlineStr">
        <is>
          <t>boleto</t>
        </is>
      </c>
      <c r="J1319" t="n">
        <v>11</v>
      </c>
      <c r="K1319" t="inlineStr">
        <is>
          <t>On Time</t>
        </is>
      </c>
      <c r="L1319" t="n">
        <v>5</v>
      </c>
      <c r="M1319">
        <f>VLOOKUP(D1319,State_Lookup!$A$2:$B$28,2,FALSE)</f>
        <v/>
      </c>
    </row>
    <row r="1320">
      <c r="A1320" t="inlineStr">
        <is>
          <t>25913c4e9f83eb27225747d956516af8</t>
        </is>
      </c>
      <c r="B1320" t="inlineStr">
        <is>
          <t>2017-09-22</t>
        </is>
      </c>
      <c r="C1320" t="inlineStr">
        <is>
          <t>2017-09</t>
        </is>
      </c>
      <c r="D1320" t="inlineStr">
        <is>
          <t>MG</t>
        </is>
      </c>
      <c r="E1320" t="inlineStr">
        <is>
          <t>watches_gifts</t>
        </is>
      </c>
      <c r="F1320" t="n">
        <v>1</v>
      </c>
      <c r="G1320" t="n">
        <v>69</v>
      </c>
      <c r="H1320" t="n">
        <v>14.23</v>
      </c>
      <c r="I1320" t="inlineStr">
        <is>
          <t>boleto</t>
        </is>
      </c>
      <c r="J1320" t="n">
        <v>13</v>
      </c>
      <c r="K1320" t="inlineStr">
        <is>
          <t>On Time</t>
        </is>
      </c>
      <c r="L1320" t="n">
        <v>3</v>
      </c>
      <c r="M1320">
        <f>VLOOKUP(D1320,State_Lookup!$A$2:$B$28,2,FALSE)</f>
        <v/>
      </c>
    </row>
    <row r="1321">
      <c r="A1321" t="inlineStr">
        <is>
          <t>e2b182ec1154718a19aaa02dfd8c4722</t>
        </is>
      </c>
      <c r="B1321" t="inlineStr">
        <is>
          <t>2017-09-22</t>
        </is>
      </c>
      <c r="C1321" t="inlineStr">
        <is>
          <t>2017-09</t>
        </is>
      </c>
      <c r="D1321" t="inlineStr">
        <is>
          <t>MG</t>
        </is>
      </c>
      <c r="E1321" t="inlineStr">
        <is>
          <t>toys</t>
        </is>
      </c>
      <c r="F1321" t="n">
        <v>1</v>
      </c>
      <c r="G1321" t="n">
        <v>38.89</v>
      </c>
      <c r="H1321" t="n">
        <v>17.6</v>
      </c>
      <c r="I1321" t="inlineStr">
        <is>
          <t>boleto</t>
        </is>
      </c>
      <c r="J1321" t="n">
        <v>14</v>
      </c>
      <c r="K1321" t="inlineStr">
        <is>
          <t>On Time</t>
        </is>
      </c>
      <c r="L1321" t="n">
        <v>5</v>
      </c>
      <c r="M1321">
        <f>VLOOKUP(D1321,State_Lookup!$A$2:$B$28,2,FALSE)</f>
        <v/>
      </c>
    </row>
    <row r="1322">
      <c r="A1322" t="inlineStr">
        <is>
          <t>7828ebfebc66999cec37ddc06c63870f</t>
        </is>
      </c>
      <c r="B1322" t="inlineStr">
        <is>
          <t>2017-09-22</t>
        </is>
      </c>
      <c r="C1322" t="inlineStr">
        <is>
          <t>2017-09</t>
        </is>
      </c>
      <c r="D1322" t="inlineStr">
        <is>
          <t>BA</t>
        </is>
      </c>
      <c r="E1322" t="inlineStr">
        <is>
          <t>toys</t>
        </is>
      </c>
      <c r="F1322" t="n">
        <v>1</v>
      </c>
      <c r="G1322" t="n">
        <v>49</v>
      </c>
      <c r="H1322" t="n">
        <v>16.79</v>
      </c>
      <c r="I1322" t="inlineStr">
        <is>
          <t>credit_card</t>
        </is>
      </c>
      <c r="J1322" t="n">
        <v>17</v>
      </c>
      <c r="K1322" t="inlineStr">
        <is>
          <t>On Time</t>
        </is>
      </c>
      <c r="L1322" t="n">
        <v>4</v>
      </c>
      <c r="M1322">
        <f>VLOOKUP(D1322,State_Lookup!$A$2:$B$28,2,FALSE)</f>
        <v/>
      </c>
    </row>
    <row r="1323">
      <c r="A1323" t="inlineStr">
        <is>
          <t>8981058485651cba8b7d9c332fd47047</t>
        </is>
      </c>
      <c r="B1323" t="inlineStr">
        <is>
          <t>2017-09-22</t>
        </is>
      </c>
      <c r="C1323" t="inlineStr">
        <is>
          <t>2017-09</t>
        </is>
      </c>
      <c r="D1323" t="inlineStr">
        <is>
          <t>SP</t>
        </is>
      </c>
      <c r="E1323" t="inlineStr">
        <is>
          <t>sports_leisure</t>
        </is>
      </c>
      <c r="F1323" t="n">
        <v>1</v>
      </c>
      <c r="G1323" t="n">
        <v>103</v>
      </c>
      <c r="H1323" t="n">
        <v>12.22</v>
      </c>
      <c r="I1323" t="inlineStr">
        <is>
          <t>credit_card</t>
        </is>
      </c>
      <c r="J1323" t="n">
        <v>4</v>
      </c>
      <c r="K1323" t="inlineStr">
        <is>
          <t>On Time</t>
        </is>
      </c>
      <c r="L1323" t="n">
        <v>5</v>
      </c>
      <c r="M1323">
        <f>VLOOKUP(D1323,State_Lookup!$A$2:$B$28,2,FALSE)</f>
        <v/>
      </c>
    </row>
    <row r="1324">
      <c r="A1324" t="inlineStr">
        <is>
          <t>acf63fc70f653d6bd063dafc3701eafe</t>
        </is>
      </c>
      <c r="B1324" t="inlineStr">
        <is>
          <t>2017-09-22</t>
        </is>
      </c>
      <c r="C1324" t="inlineStr">
        <is>
          <t>2017-09</t>
        </is>
      </c>
      <c r="D1324" t="inlineStr">
        <is>
          <t>SP</t>
        </is>
      </c>
      <c r="E1324" t="inlineStr">
        <is>
          <t>sports_leisure</t>
        </is>
      </c>
      <c r="F1324" t="n">
        <v>1</v>
      </c>
      <c r="G1324" t="n">
        <v>149.99</v>
      </c>
      <c r="H1324" t="n">
        <v>19.93</v>
      </c>
      <c r="I1324" t="inlineStr">
        <is>
          <t>credit_card</t>
        </is>
      </c>
      <c r="J1324" t="n">
        <v>11</v>
      </c>
      <c r="K1324" t="inlineStr">
        <is>
          <t>On Time</t>
        </is>
      </c>
      <c r="L1324" t="n">
        <v>5</v>
      </c>
      <c r="M1324">
        <f>VLOOKUP(D1324,State_Lookup!$A$2:$B$28,2,FALSE)</f>
        <v/>
      </c>
    </row>
    <row r="1325">
      <c r="A1325" t="inlineStr">
        <is>
          <t>4b50640b1e15eabd0db5c82c7c1d8037</t>
        </is>
      </c>
      <c r="B1325" t="inlineStr">
        <is>
          <t>2017-09-22</t>
        </is>
      </c>
      <c r="C1325" t="inlineStr">
        <is>
          <t>2017-09</t>
        </is>
      </c>
      <c r="D1325" t="inlineStr">
        <is>
          <t>PR</t>
        </is>
      </c>
      <c r="E1325" t="inlineStr">
        <is>
          <t>food</t>
        </is>
      </c>
      <c r="F1325" t="n">
        <v>1</v>
      </c>
      <c r="G1325" t="n">
        <v>56.97</v>
      </c>
      <c r="H1325" t="n">
        <v>16.16</v>
      </c>
      <c r="I1325" t="inlineStr">
        <is>
          <t>credit_card</t>
        </is>
      </c>
      <c r="J1325" t="n">
        <v>7</v>
      </c>
      <c r="K1325" t="inlineStr">
        <is>
          <t>On Time</t>
        </is>
      </c>
      <c r="L1325" t="n">
        <v>5</v>
      </c>
      <c r="M1325">
        <f>VLOOKUP(D1325,State_Lookup!$A$2:$B$28,2,FALSE)</f>
        <v/>
      </c>
    </row>
    <row r="1326">
      <c r="A1326" t="inlineStr">
        <is>
          <t>e5ddbd23174123100cd4e3eb36be5b2b</t>
        </is>
      </c>
      <c r="B1326" t="inlineStr">
        <is>
          <t>2017-09-23</t>
        </is>
      </c>
      <c r="C1326" t="inlineStr">
        <is>
          <t>2017-09</t>
        </is>
      </c>
      <c r="D1326" t="inlineStr">
        <is>
          <t>RJ</t>
        </is>
      </c>
      <c r="E1326" t="inlineStr">
        <is>
          <t>perfumery</t>
        </is>
      </c>
      <c r="F1326" t="n">
        <v>1</v>
      </c>
      <c r="G1326" t="n">
        <v>13.99</v>
      </c>
      <c r="H1326" t="n">
        <v>14.1</v>
      </c>
      <c r="I1326" t="inlineStr">
        <is>
          <t>boleto</t>
        </is>
      </c>
      <c r="J1326" t="n">
        <v>6</v>
      </c>
      <c r="K1326" t="inlineStr">
        <is>
          <t>On Time</t>
        </is>
      </c>
      <c r="L1326" t="n">
        <v>3</v>
      </c>
      <c r="M1326">
        <f>VLOOKUP(D1326,State_Lookup!$A$2:$B$28,2,FALSE)</f>
        <v/>
      </c>
    </row>
    <row r="1327">
      <c r="A1327" t="inlineStr">
        <is>
          <t>9c9b21a2db3ef4c7109f69f7f3614d71</t>
        </is>
      </c>
      <c r="B1327" t="inlineStr">
        <is>
          <t>2017-09-23</t>
        </is>
      </c>
      <c r="C1327" t="inlineStr">
        <is>
          <t>2017-09</t>
        </is>
      </c>
      <c r="D1327" t="inlineStr">
        <is>
          <t>PA</t>
        </is>
      </c>
      <c r="E1327" t="inlineStr">
        <is>
          <t>sports_leisure</t>
        </is>
      </c>
      <c r="F1327" t="n">
        <v>1</v>
      </c>
      <c r="G1327" t="n">
        <v>279.99</v>
      </c>
      <c r="H1327" t="n">
        <v>37.32</v>
      </c>
      <c r="I1327" t="inlineStr">
        <is>
          <t>credit_card</t>
        </is>
      </c>
      <c r="J1327" t="n">
        <v>18</v>
      </c>
      <c r="K1327" t="inlineStr">
        <is>
          <t>On Time</t>
        </is>
      </c>
      <c r="L1327" t="n">
        <v>5</v>
      </c>
      <c r="M1327">
        <f>VLOOKUP(D1327,State_Lookup!$A$2:$B$28,2,FALSE)</f>
        <v/>
      </c>
    </row>
    <row r="1328">
      <c r="A1328" t="inlineStr">
        <is>
          <t>13ec45fa1c7f7faeb411e7b318ea9b44</t>
        </is>
      </c>
      <c r="B1328" t="inlineStr">
        <is>
          <t>2017-09-23</t>
        </is>
      </c>
      <c r="C1328" t="inlineStr">
        <is>
          <t>2017-09</t>
        </is>
      </c>
      <c r="D1328" t="inlineStr">
        <is>
          <t>SP</t>
        </is>
      </c>
      <c r="E1328" t="inlineStr">
        <is>
          <t>health_beauty</t>
        </is>
      </c>
      <c r="F1328" t="n">
        <v>2</v>
      </c>
      <c r="G1328" t="n">
        <v>25.8</v>
      </c>
      <c r="H1328" t="n">
        <v>15.56</v>
      </c>
      <c r="I1328" t="inlineStr">
        <is>
          <t>credit_card</t>
        </is>
      </c>
      <c r="J1328" t="n">
        <v>2</v>
      </c>
      <c r="K1328" t="inlineStr">
        <is>
          <t>On Time</t>
        </is>
      </c>
      <c r="L1328" t="n">
        <v>1</v>
      </c>
      <c r="M1328">
        <f>VLOOKUP(D1328,State_Lookup!$A$2:$B$28,2,FALSE)</f>
        <v/>
      </c>
    </row>
    <row r="1329">
      <c r="A1329" t="inlineStr">
        <is>
          <t>799bc9658260598f040a6a7943b73415</t>
        </is>
      </c>
      <c r="B1329" t="inlineStr">
        <is>
          <t>2017-09-23</t>
        </is>
      </c>
      <c r="C1329" t="inlineStr">
        <is>
          <t>2017-09</t>
        </is>
      </c>
      <c r="D1329" t="inlineStr">
        <is>
          <t>MG</t>
        </is>
      </c>
      <c r="E1329" t="inlineStr">
        <is>
          <t>toys</t>
        </is>
      </c>
      <c r="F1329" t="n">
        <v>1</v>
      </c>
      <c r="G1329" t="n">
        <v>349.99</v>
      </c>
      <c r="H1329" t="n">
        <v>19.7</v>
      </c>
      <c r="I1329" t="inlineStr">
        <is>
          <t>credit_card</t>
        </is>
      </c>
      <c r="J1329" t="n">
        <v>10</v>
      </c>
      <c r="K1329" t="inlineStr">
        <is>
          <t>On Time</t>
        </is>
      </c>
      <c r="L1329" t="n">
        <v>5</v>
      </c>
      <c r="M1329">
        <f>VLOOKUP(D1329,State_Lookup!$A$2:$B$28,2,FALSE)</f>
        <v/>
      </c>
    </row>
    <row r="1330">
      <c r="A1330" t="inlineStr">
        <is>
          <t>2fe8db5111a36b97b092a2daa4771e74</t>
        </is>
      </c>
      <c r="B1330" t="inlineStr">
        <is>
          <t>2017-09-24</t>
        </is>
      </c>
      <c r="C1330" t="inlineStr">
        <is>
          <t>2017-09</t>
        </is>
      </c>
      <c r="D1330" t="inlineStr">
        <is>
          <t>MG</t>
        </is>
      </c>
      <c r="E1330" t="inlineStr">
        <is>
          <t>bed_bath_table</t>
        </is>
      </c>
      <c r="F1330" t="n">
        <v>2</v>
      </c>
      <c r="G1330" t="n">
        <v>160</v>
      </c>
      <c r="H1330" t="n">
        <v>35.62</v>
      </c>
      <c r="I1330" t="inlineStr">
        <is>
          <t>credit_card</t>
        </is>
      </c>
      <c r="J1330" t="n">
        <v>4</v>
      </c>
      <c r="K1330" t="inlineStr">
        <is>
          <t>On Time</t>
        </is>
      </c>
      <c r="L1330" t="n">
        <v>5</v>
      </c>
      <c r="M1330">
        <f>VLOOKUP(D1330,State_Lookup!$A$2:$B$28,2,FALSE)</f>
        <v/>
      </c>
    </row>
    <row r="1331">
      <c r="A1331" t="inlineStr">
        <is>
          <t>047d317db3c34ff477eee816660e44f0</t>
        </is>
      </c>
      <c r="B1331" t="inlineStr">
        <is>
          <t>2017-09-24</t>
        </is>
      </c>
      <c r="C1331" t="inlineStr">
        <is>
          <t>2017-09</t>
        </is>
      </c>
      <c r="D1331" t="inlineStr">
        <is>
          <t>SP</t>
        </is>
      </c>
      <c r="E1331" t="inlineStr">
        <is>
          <t>watches_gifts</t>
        </is>
      </c>
      <c r="F1331" t="n">
        <v>1</v>
      </c>
      <c r="G1331" t="n">
        <v>134.9</v>
      </c>
      <c r="H1331" t="n">
        <v>12.44</v>
      </c>
      <c r="I1331" t="inlineStr">
        <is>
          <t>boleto</t>
        </is>
      </c>
      <c r="J1331" t="n">
        <v>9</v>
      </c>
      <c r="K1331" t="inlineStr">
        <is>
          <t>On Time</t>
        </is>
      </c>
      <c r="L1331" t="n">
        <v>4</v>
      </c>
      <c r="M1331">
        <f>VLOOKUP(D1331,State_Lookup!$A$2:$B$28,2,FALSE)</f>
        <v/>
      </c>
    </row>
    <row r="1332">
      <c r="A1332" t="inlineStr">
        <is>
          <t>d4b9a0a5998cc96610a91b5de647f440</t>
        </is>
      </c>
      <c r="B1332" t="inlineStr">
        <is>
          <t>2017-09-24</t>
        </is>
      </c>
      <c r="C1332" t="inlineStr">
        <is>
          <t>2017-09</t>
        </is>
      </c>
      <c r="D1332" t="inlineStr">
        <is>
          <t>RO</t>
        </is>
      </c>
      <c r="E1332" t="inlineStr">
        <is>
          <t>watches_gifts</t>
        </is>
      </c>
      <c r="F1332" t="n">
        <v>1</v>
      </c>
      <c r="G1332" t="n">
        <v>56</v>
      </c>
      <c r="H1332" t="n">
        <v>21.19</v>
      </c>
      <c r="I1332" t="inlineStr">
        <is>
          <t>credit_card</t>
        </is>
      </c>
      <c r="J1332" t="n">
        <v>15</v>
      </c>
      <c r="K1332" t="inlineStr">
        <is>
          <t>On Time</t>
        </is>
      </c>
      <c r="L1332" t="n">
        <v>5</v>
      </c>
      <c r="M1332">
        <f>VLOOKUP(D1332,State_Lookup!$A$2:$B$28,2,FALSE)</f>
        <v/>
      </c>
    </row>
    <row r="1333">
      <c r="A1333" t="inlineStr">
        <is>
          <t>bd47e5f8eaab83d29f99b4079683de37</t>
        </is>
      </c>
      <c r="B1333" t="inlineStr">
        <is>
          <t>2017-09-24</t>
        </is>
      </c>
      <c r="C1333" t="inlineStr">
        <is>
          <t>2017-09</t>
        </is>
      </c>
      <c r="D1333" t="inlineStr">
        <is>
          <t>RJ</t>
        </is>
      </c>
      <c r="E1333" t="inlineStr">
        <is>
          <t>fashion_male_clothing</t>
        </is>
      </c>
      <c r="F1333" t="n">
        <v>1</v>
      </c>
      <c r="G1333" t="n">
        <v>69.90000000000001</v>
      </c>
      <c r="H1333" t="n">
        <v>18.06</v>
      </c>
      <c r="I1333" t="inlineStr">
        <is>
          <t>credit_card</t>
        </is>
      </c>
      <c r="J1333" t="n">
        <v>15</v>
      </c>
      <c r="K1333" t="inlineStr">
        <is>
          <t>On Time</t>
        </is>
      </c>
      <c r="L1333" t="n">
        <v>5</v>
      </c>
      <c r="M1333">
        <f>VLOOKUP(D1333,State_Lookup!$A$2:$B$28,2,FALSE)</f>
        <v/>
      </c>
    </row>
    <row r="1334">
      <c r="A1334" t="inlineStr">
        <is>
          <t>776ee45444a92a50bfafdbc1054ec316</t>
        </is>
      </c>
      <c r="B1334" t="inlineStr">
        <is>
          <t>2017-09-25</t>
        </is>
      </c>
      <c r="C1334" t="inlineStr">
        <is>
          <t>2017-09</t>
        </is>
      </c>
      <c r="D1334" t="inlineStr">
        <is>
          <t>PR</t>
        </is>
      </c>
      <c r="E1334" t="inlineStr">
        <is>
          <t>sports_leisure</t>
        </is>
      </c>
      <c r="F1334" t="n">
        <v>1</v>
      </c>
      <c r="G1334" t="n">
        <v>99</v>
      </c>
      <c r="H1334" t="n">
        <v>16.94</v>
      </c>
      <c r="I1334" t="inlineStr">
        <is>
          <t>credit_card</t>
        </is>
      </c>
      <c r="J1334" t="n">
        <v>6</v>
      </c>
      <c r="K1334" t="inlineStr">
        <is>
          <t>On Time</t>
        </is>
      </c>
      <c r="L1334" t="n">
        <v>4</v>
      </c>
      <c r="M1334">
        <f>VLOOKUP(D1334,State_Lookup!$A$2:$B$28,2,FALSE)</f>
        <v/>
      </c>
    </row>
    <row r="1335">
      <c r="A1335" t="inlineStr">
        <is>
          <t>dd8895e91847869a1317a8ef7313e241</t>
        </is>
      </c>
      <c r="B1335" t="inlineStr">
        <is>
          <t>2017-09-25</t>
        </is>
      </c>
      <c r="C1335" t="inlineStr">
        <is>
          <t>2017-09</t>
        </is>
      </c>
      <c r="D1335" t="inlineStr">
        <is>
          <t>SP</t>
        </is>
      </c>
      <c r="E1335" t="inlineStr">
        <is>
          <t>bed_bath_table</t>
        </is>
      </c>
      <c r="F1335" t="n">
        <v>1</v>
      </c>
      <c r="G1335" t="n">
        <v>147.13</v>
      </c>
      <c r="H1335" t="n">
        <v>16.66</v>
      </c>
      <c r="I1335" t="inlineStr">
        <is>
          <t>credit_card</t>
        </is>
      </c>
      <c r="J1335" t="n">
        <v>10</v>
      </c>
      <c r="K1335" t="inlineStr">
        <is>
          <t>On Time</t>
        </is>
      </c>
      <c r="L1335" t="n">
        <v>4</v>
      </c>
      <c r="M1335">
        <f>VLOOKUP(D1335,State_Lookup!$A$2:$B$28,2,FALSE)</f>
        <v/>
      </c>
    </row>
    <row r="1336">
      <c r="A1336" t="inlineStr">
        <is>
          <t>52a1973044aa5f46769841ea77ffc2ed</t>
        </is>
      </c>
      <c r="B1336" t="inlineStr">
        <is>
          <t>2017-09-25</t>
        </is>
      </c>
      <c r="C1336" t="inlineStr">
        <is>
          <t>2017-09</t>
        </is>
      </c>
      <c r="D1336" t="inlineStr">
        <is>
          <t>PE</t>
        </is>
      </c>
      <c r="E1336" t="inlineStr">
        <is>
          <t>health_beauty</t>
        </is>
      </c>
      <c r="F1336" t="n">
        <v>1</v>
      </c>
      <c r="G1336" t="n">
        <v>89.98999999999999</v>
      </c>
      <c r="H1336" t="n">
        <v>17.91</v>
      </c>
      <c r="I1336" t="inlineStr">
        <is>
          <t>credit_card</t>
        </is>
      </c>
      <c r="J1336" t="n">
        <v>13</v>
      </c>
      <c r="K1336" t="inlineStr">
        <is>
          <t>On Time</t>
        </is>
      </c>
      <c r="L1336" t="n">
        <v>4</v>
      </c>
      <c r="M1336">
        <f>VLOOKUP(D1336,State_Lookup!$A$2:$B$28,2,FALSE)</f>
        <v/>
      </c>
    </row>
    <row r="1337">
      <c r="A1337" t="inlineStr">
        <is>
          <t>865877542f1840626ccdfc88e0b74684</t>
        </is>
      </c>
      <c r="B1337" t="inlineStr">
        <is>
          <t>2017-09-25</t>
        </is>
      </c>
      <c r="C1337" t="inlineStr">
        <is>
          <t>2017-09</t>
        </is>
      </c>
      <c r="D1337" t="inlineStr">
        <is>
          <t>RS</t>
        </is>
      </c>
      <c r="E1337" t="inlineStr">
        <is>
          <t>health_beauty</t>
        </is>
      </c>
      <c r="F1337" t="n">
        <v>1</v>
      </c>
      <c r="G1337" t="n">
        <v>84.98999999999999</v>
      </c>
      <c r="H1337" t="n">
        <v>15.35</v>
      </c>
      <c r="I1337" t="inlineStr">
        <is>
          <t>credit_card</t>
        </is>
      </c>
      <c r="J1337" t="n">
        <v>14</v>
      </c>
      <c r="K1337" t="inlineStr">
        <is>
          <t>On Time</t>
        </is>
      </c>
      <c r="L1337" t="n">
        <v>5</v>
      </c>
      <c r="M1337">
        <f>VLOOKUP(D1337,State_Lookup!$A$2:$B$28,2,FALSE)</f>
        <v/>
      </c>
    </row>
    <row r="1338">
      <c r="A1338" t="inlineStr">
        <is>
          <t>17c552e9739b1fd0c1385b93eeb07953</t>
        </is>
      </c>
      <c r="B1338" t="inlineStr">
        <is>
          <t>2017-09-25</t>
        </is>
      </c>
      <c r="C1338" t="inlineStr">
        <is>
          <t>2017-09</t>
        </is>
      </c>
      <c r="D1338" t="inlineStr">
        <is>
          <t>MG</t>
        </is>
      </c>
      <c r="E1338" t="inlineStr">
        <is>
          <t>health_beauty</t>
        </is>
      </c>
      <c r="F1338" t="n">
        <v>1</v>
      </c>
      <c r="G1338" t="n">
        <v>117.79</v>
      </c>
      <c r="H1338" t="n">
        <v>17.26</v>
      </c>
      <c r="I1338" t="inlineStr">
        <is>
          <t>boleto</t>
        </is>
      </c>
      <c r="J1338" t="n">
        <v>7</v>
      </c>
      <c r="K1338" t="inlineStr">
        <is>
          <t>On Time</t>
        </is>
      </c>
      <c r="L1338" t="n">
        <v>5</v>
      </c>
      <c r="M1338">
        <f>VLOOKUP(D1338,State_Lookup!$A$2:$B$28,2,FALSE)</f>
        <v/>
      </c>
    </row>
    <row r="1339">
      <c r="A1339" t="inlineStr">
        <is>
          <t>7b9d78f5bc4b271094f1e7c107c3142d</t>
        </is>
      </c>
      <c r="B1339" t="inlineStr">
        <is>
          <t>2017-09-25</t>
        </is>
      </c>
      <c r="C1339" t="inlineStr">
        <is>
          <t>2017-09</t>
        </is>
      </c>
      <c r="D1339" t="inlineStr">
        <is>
          <t>MG</t>
        </is>
      </c>
      <c r="E1339" t="inlineStr">
        <is>
          <t>toys</t>
        </is>
      </c>
      <c r="F1339" t="n">
        <v>1</v>
      </c>
      <c r="G1339" t="n">
        <v>99.90000000000001</v>
      </c>
      <c r="H1339" t="n">
        <v>17.95</v>
      </c>
      <c r="I1339" t="inlineStr">
        <is>
          <t>credit_card</t>
        </is>
      </c>
      <c r="J1339" t="n">
        <v>8</v>
      </c>
      <c r="K1339" t="inlineStr">
        <is>
          <t>On Time</t>
        </is>
      </c>
      <c r="L1339" t="n">
        <v>1</v>
      </c>
      <c r="M1339">
        <f>VLOOKUP(D1339,State_Lookup!$A$2:$B$28,2,FALSE)</f>
        <v/>
      </c>
    </row>
    <row r="1340">
      <c r="A1340" t="inlineStr">
        <is>
          <t>eab0944c40c304c769e5c24309caa8cc</t>
        </is>
      </c>
      <c r="B1340" t="inlineStr">
        <is>
          <t>2017-09-26</t>
        </is>
      </c>
      <c r="C1340" t="inlineStr">
        <is>
          <t>2017-09</t>
        </is>
      </c>
      <c r="D1340" t="inlineStr">
        <is>
          <t>SP</t>
        </is>
      </c>
      <c r="E1340" t="inlineStr">
        <is>
          <t>health_beauty</t>
        </is>
      </c>
      <c r="F1340" t="n">
        <v>1</v>
      </c>
      <c r="G1340" t="n">
        <v>39.9</v>
      </c>
      <c r="H1340" t="n">
        <v>8.720000000000001</v>
      </c>
      <c r="I1340" t="inlineStr">
        <is>
          <t>credit_card</t>
        </is>
      </c>
      <c r="J1340" t="n">
        <v>13</v>
      </c>
      <c r="K1340" t="inlineStr">
        <is>
          <t>On Time</t>
        </is>
      </c>
      <c r="L1340" t="n">
        <v>4</v>
      </c>
      <c r="M1340">
        <f>VLOOKUP(D1340,State_Lookup!$A$2:$B$28,2,FALSE)</f>
        <v/>
      </c>
    </row>
    <row r="1341">
      <c r="A1341" t="inlineStr">
        <is>
          <t>00fed9e582d5a3e38566872eec164ac6</t>
        </is>
      </c>
      <c r="B1341" t="inlineStr">
        <is>
          <t>2017-09-26</t>
        </is>
      </c>
      <c r="C1341" t="inlineStr">
        <is>
          <t>2017-09</t>
        </is>
      </c>
      <c r="D1341" t="inlineStr">
        <is>
          <t>RJ</t>
        </is>
      </c>
      <c r="E1341" t="inlineStr">
        <is>
          <t>bed_bath_table</t>
        </is>
      </c>
      <c r="F1341" t="n">
        <v>2</v>
      </c>
      <c r="G1341" t="n">
        <v>359.98</v>
      </c>
      <c r="H1341" t="n">
        <v>52.2</v>
      </c>
      <c r="I1341" t="inlineStr">
        <is>
          <t>credit_card</t>
        </is>
      </c>
      <c r="J1341" t="n">
        <v>13</v>
      </c>
      <c r="K1341" t="inlineStr">
        <is>
          <t>On Time</t>
        </is>
      </c>
      <c r="L1341" t="n">
        <v>5</v>
      </c>
      <c r="M1341">
        <f>VLOOKUP(D1341,State_Lookup!$A$2:$B$28,2,FALSE)</f>
        <v/>
      </c>
    </row>
    <row r="1342">
      <c r="A1342" t="inlineStr">
        <is>
          <t>3c34298915dda196e053873162f24bf4</t>
        </is>
      </c>
      <c r="B1342" t="inlineStr">
        <is>
          <t>2017-09-26</t>
        </is>
      </c>
      <c r="C1342" t="inlineStr">
        <is>
          <t>2017-09</t>
        </is>
      </c>
      <c r="D1342" t="inlineStr">
        <is>
          <t>SP</t>
        </is>
      </c>
      <c r="E1342" t="inlineStr">
        <is>
          <t>watches_gifts</t>
        </is>
      </c>
      <c r="F1342" t="n">
        <v>1</v>
      </c>
      <c r="G1342" t="n">
        <v>258.9</v>
      </c>
      <c r="H1342" t="n">
        <v>16.56</v>
      </c>
      <c r="I1342" t="inlineStr">
        <is>
          <t>credit_card</t>
        </is>
      </c>
      <c r="J1342" t="n">
        <v>6</v>
      </c>
      <c r="K1342" t="inlineStr">
        <is>
          <t>On Time</t>
        </is>
      </c>
      <c r="L1342" t="n">
        <v>5</v>
      </c>
      <c r="M1342">
        <f>VLOOKUP(D1342,State_Lookup!$A$2:$B$28,2,FALSE)</f>
        <v/>
      </c>
    </row>
    <row r="1343">
      <c r="A1343" t="inlineStr">
        <is>
          <t>fd856e3b03eb3e97aff228fc3914ae39</t>
        </is>
      </c>
      <c r="B1343" t="inlineStr">
        <is>
          <t>2017-09-26</t>
        </is>
      </c>
      <c r="C1343" t="inlineStr">
        <is>
          <t>2017-09</t>
        </is>
      </c>
      <c r="D1343" t="inlineStr">
        <is>
          <t>SP</t>
        </is>
      </c>
      <c r="E1343" t="inlineStr">
        <is>
          <t>furniture_decor</t>
        </is>
      </c>
      <c r="F1343" t="n">
        <v>2</v>
      </c>
      <c r="G1343" t="n">
        <v>135.8</v>
      </c>
      <c r="H1343" t="n">
        <v>26.34</v>
      </c>
      <c r="I1343" t="inlineStr">
        <is>
          <t>credit_card</t>
        </is>
      </c>
      <c r="J1343" t="n">
        <v>10</v>
      </c>
      <c r="K1343" t="inlineStr">
        <is>
          <t>On Time</t>
        </is>
      </c>
      <c r="L1343" t="n">
        <v>5</v>
      </c>
      <c r="M1343">
        <f>VLOOKUP(D1343,State_Lookup!$A$2:$B$28,2,FALSE)</f>
        <v/>
      </c>
    </row>
    <row r="1344">
      <c r="A1344" t="inlineStr">
        <is>
          <t>c0a5ad81be45e1a04365870aab5cfb4f</t>
        </is>
      </c>
      <c r="B1344" t="inlineStr">
        <is>
          <t>2017-09-26</t>
        </is>
      </c>
      <c r="C1344" t="inlineStr">
        <is>
          <t>2017-09</t>
        </is>
      </c>
      <c r="D1344" t="inlineStr">
        <is>
          <t>SC</t>
        </is>
      </c>
      <c r="E1344" t="inlineStr">
        <is>
          <t>musical_instruments</t>
        </is>
      </c>
      <c r="F1344" t="n">
        <v>1</v>
      </c>
      <c r="G1344" t="n">
        <v>320</v>
      </c>
      <c r="H1344" t="n">
        <v>11.66</v>
      </c>
      <c r="I1344" t="inlineStr">
        <is>
          <t>boleto</t>
        </is>
      </c>
      <c r="J1344" t="n">
        <v>7</v>
      </c>
      <c r="K1344" t="inlineStr">
        <is>
          <t>On Time</t>
        </is>
      </c>
      <c r="L1344" t="n">
        <v>5</v>
      </c>
      <c r="M1344">
        <f>VLOOKUP(D1344,State_Lookup!$A$2:$B$28,2,FALSE)</f>
        <v/>
      </c>
    </row>
    <row r="1345">
      <c r="A1345" t="inlineStr">
        <is>
          <t>05c63e6b53127320a7768d19898ac320</t>
        </is>
      </c>
      <c r="B1345" t="inlineStr">
        <is>
          <t>2017-09-26</t>
        </is>
      </c>
      <c r="C1345" t="inlineStr">
        <is>
          <t>2017-09</t>
        </is>
      </c>
      <c r="D1345" t="inlineStr">
        <is>
          <t>DF</t>
        </is>
      </c>
      <c r="E1345" t="inlineStr">
        <is>
          <t>housewares</t>
        </is>
      </c>
      <c r="F1345" t="n">
        <v>1</v>
      </c>
      <c r="G1345" t="n">
        <v>69.90000000000001</v>
      </c>
      <c r="H1345" t="n">
        <v>16.74</v>
      </c>
      <c r="I1345" t="inlineStr">
        <is>
          <t>credit_card</t>
        </is>
      </c>
      <c r="J1345" t="inlineStr"/>
      <c r="K1345" t="inlineStr">
        <is>
          <t>Not Delivered</t>
        </is>
      </c>
      <c r="L1345" t="n">
        <v>1</v>
      </c>
      <c r="M1345">
        <f>VLOOKUP(D1345,State_Lookup!$A$2:$B$28,2,FALSE)</f>
        <v/>
      </c>
    </row>
    <row r="1346">
      <c r="A1346" t="inlineStr">
        <is>
          <t>28bc142035cc9a8ee9aa0288221ee056</t>
        </is>
      </c>
      <c r="B1346" t="inlineStr">
        <is>
          <t>2017-09-26</t>
        </is>
      </c>
      <c r="C1346" t="inlineStr">
        <is>
          <t>2017-09</t>
        </is>
      </c>
      <c r="D1346" t="inlineStr">
        <is>
          <t>SP</t>
        </is>
      </c>
      <c r="E1346" t="inlineStr">
        <is>
          <t>toys</t>
        </is>
      </c>
      <c r="F1346" t="n">
        <v>1</v>
      </c>
      <c r="G1346" t="n">
        <v>20</v>
      </c>
      <c r="H1346" t="n">
        <v>11.85</v>
      </c>
      <c r="I1346" t="inlineStr">
        <is>
          <t>credit_card</t>
        </is>
      </c>
      <c r="J1346" t="n">
        <v>5</v>
      </c>
      <c r="K1346" t="inlineStr">
        <is>
          <t>On Time</t>
        </is>
      </c>
      <c r="L1346" t="n">
        <v>4</v>
      </c>
      <c r="M1346">
        <f>VLOOKUP(D1346,State_Lookup!$A$2:$B$28,2,FALSE)</f>
        <v/>
      </c>
    </row>
    <row r="1347">
      <c r="A1347" t="inlineStr">
        <is>
          <t>00d29386638bbfd1331a2cd7ab91b5b5</t>
        </is>
      </c>
      <c r="B1347" t="inlineStr">
        <is>
          <t>2017-09-26</t>
        </is>
      </c>
      <c r="C1347" t="inlineStr">
        <is>
          <t>2017-09</t>
        </is>
      </c>
      <c r="D1347" t="inlineStr">
        <is>
          <t>SP</t>
        </is>
      </c>
      <c r="E1347" t="inlineStr">
        <is>
          <t>telephony</t>
        </is>
      </c>
      <c r="F1347" t="n">
        <v>1</v>
      </c>
      <c r="G1347" t="n">
        <v>20.99</v>
      </c>
      <c r="H1347" t="n">
        <v>11.85</v>
      </c>
      <c r="I1347" t="inlineStr">
        <is>
          <t>credit_card</t>
        </is>
      </c>
      <c r="J1347" t="n">
        <v>8</v>
      </c>
      <c r="K1347" t="inlineStr">
        <is>
          <t>On Time</t>
        </is>
      </c>
      <c r="L1347" t="n">
        <v>5</v>
      </c>
      <c r="M1347">
        <f>VLOOKUP(D1347,State_Lookup!$A$2:$B$28,2,FALSE)</f>
        <v/>
      </c>
    </row>
    <row r="1348">
      <c r="A1348" t="inlineStr">
        <is>
          <t>7ad292313f72d59700c72169ba543021</t>
        </is>
      </c>
      <c r="B1348" t="inlineStr">
        <is>
          <t>2017-09-26</t>
        </is>
      </c>
      <c r="C1348" t="inlineStr">
        <is>
          <t>2017-09</t>
        </is>
      </c>
      <c r="D1348" t="inlineStr">
        <is>
          <t>SP</t>
        </is>
      </c>
      <c r="E1348" t="inlineStr">
        <is>
          <t>luggage_accessories</t>
        </is>
      </c>
      <c r="F1348" t="n">
        <v>1</v>
      </c>
      <c r="G1348" t="n">
        <v>37.9</v>
      </c>
      <c r="H1348" t="n">
        <v>13.37</v>
      </c>
      <c r="I1348" t="inlineStr">
        <is>
          <t>credit_card</t>
        </is>
      </c>
      <c r="J1348" t="n">
        <v>7</v>
      </c>
      <c r="K1348" t="inlineStr">
        <is>
          <t>On Time</t>
        </is>
      </c>
      <c r="L1348" t="n">
        <v>5</v>
      </c>
      <c r="M1348">
        <f>VLOOKUP(D1348,State_Lookup!$A$2:$B$28,2,FALSE)</f>
        <v/>
      </c>
    </row>
    <row r="1349">
      <c r="A1349" t="inlineStr">
        <is>
          <t>8a0ff8191c4dd240e18114ec66889ec5</t>
        </is>
      </c>
      <c r="B1349" t="inlineStr">
        <is>
          <t>2017-09-26</t>
        </is>
      </c>
      <c r="C1349" t="inlineStr">
        <is>
          <t>2017-09</t>
        </is>
      </c>
      <c r="D1349" t="inlineStr">
        <is>
          <t>RJ</t>
        </is>
      </c>
      <c r="E1349" t="inlineStr">
        <is>
          <t>computers_accessories</t>
        </is>
      </c>
      <c r="F1349" t="n">
        <v>1</v>
      </c>
      <c r="G1349" t="n">
        <v>150</v>
      </c>
      <c r="H1349" t="n">
        <v>16.81</v>
      </c>
      <c r="I1349" t="inlineStr">
        <is>
          <t>credit_card</t>
        </is>
      </c>
      <c r="J1349" t="n">
        <v>15</v>
      </c>
      <c r="K1349" t="inlineStr">
        <is>
          <t>On Time</t>
        </is>
      </c>
      <c r="L1349" t="n">
        <v>4</v>
      </c>
      <c r="M1349">
        <f>VLOOKUP(D1349,State_Lookup!$A$2:$B$28,2,FALSE)</f>
        <v/>
      </c>
    </row>
    <row r="1350">
      <c r="A1350" t="inlineStr">
        <is>
          <t>de983bdf0e92645dd32e0ba39d8e7dd8</t>
        </is>
      </c>
      <c r="B1350" t="inlineStr">
        <is>
          <t>2017-09-26</t>
        </is>
      </c>
      <c r="C1350" t="inlineStr">
        <is>
          <t>2017-09</t>
        </is>
      </c>
      <c r="D1350" t="inlineStr">
        <is>
          <t>ES</t>
        </is>
      </c>
      <c r="E1350" t="inlineStr">
        <is>
          <t>sports_leisure</t>
        </is>
      </c>
      <c r="F1350" t="n">
        <v>1</v>
      </c>
      <c r="G1350" t="n">
        <v>169.9</v>
      </c>
      <c r="H1350" t="n">
        <v>21.59</v>
      </c>
      <c r="I1350" t="inlineStr">
        <is>
          <t>boleto</t>
        </is>
      </c>
      <c r="J1350" t="n">
        <v>20</v>
      </c>
      <c r="K1350" t="inlineStr">
        <is>
          <t>On Time</t>
        </is>
      </c>
      <c r="L1350" t="n">
        <v>5</v>
      </c>
      <c r="M1350">
        <f>VLOOKUP(D1350,State_Lookup!$A$2:$B$28,2,FALSE)</f>
        <v/>
      </c>
    </row>
    <row r="1351">
      <c r="A1351" t="inlineStr">
        <is>
          <t>5f82563eed1525084af012688a78398a</t>
        </is>
      </c>
      <c r="B1351" t="inlineStr">
        <is>
          <t>2017-09-26</t>
        </is>
      </c>
      <c r="C1351" t="inlineStr">
        <is>
          <t>2017-09</t>
        </is>
      </c>
      <c r="D1351" t="inlineStr">
        <is>
          <t>SC</t>
        </is>
      </c>
      <c r="E1351" t="inlineStr">
        <is>
          <t>furniture_decor</t>
        </is>
      </c>
      <c r="F1351" t="n">
        <v>1</v>
      </c>
      <c r="G1351" t="n">
        <v>54.9</v>
      </c>
      <c r="H1351" t="n">
        <v>16.14</v>
      </c>
      <c r="I1351" t="inlineStr">
        <is>
          <t>credit_card</t>
        </is>
      </c>
      <c r="J1351" t="n">
        <v>8</v>
      </c>
      <c r="K1351" t="inlineStr">
        <is>
          <t>On Time</t>
        </is>
      </c>
      <c r="L1351" t="n">
        <v>5</v>
      </c>
      <c r="M1351">
        <f>VLOOKUP(D1351,State_Lookup!$A$2:$B$28,2,FALSE)</f>
        <v/>
      </c>
    </row>
    <row r="1352">
      <c r="A1352" t="inlineStr">
        <is>
          <t>d5027313478d5f0f54b719e6f96d095f</t>
        </is>
      </c>
      <c r="B1352" t="inlineStr">
        <is>
          <t>2017-09-27</t>
        </is>
      </c>
      <c r="C1352" t="inlineStr">
        <is>
          <t>2017-09</t>
        </is>
      </c>
      <c r="D1352" t="inlineStr">
        <is>
          <t>RJ</t>
        </is>
      </c>
      <c r="E1352" t="inlineStr">
        <is>
          <t>auto</t>
        </is>
      </c>
      <c r="F1352" t="n">
        <v>1</v>
      </c>
      <c r="G1352" t="n">
        <v>143.8</v>
      </c>
      <c r="H1352" t="n">
        <v>23.33</v>
      </c>
      <c r="I1352" t="inlineStr">
        <is>
          <t>credit_card</t>
        </is>
      </c>
      <c r="J1352" t="n">
        <v>6</v>
      </c>
      <c r="K1352" t="inlineStr">
        <is>
          <t>On Time</t>
        </is>
      </c>
      <c r="L1352" t="n">
        <v>5</v>
      </c>
      <c r="M1352">
        <f>VLOOKUP(D1352,State_Lookup!$A$2:$B$28,2,FALSE)</f>
        <v/>
      </c>
    </row>
    <row r="1353">
      <c r="A1353" t="inlineStr">
        <is>
          <t>f09126bf1e12e8ed060f26f510be949f</t>
        </is>
      </c>
      <c r="B1353" t="inlineStr">
        <is>
          <t>2017-09-27</t>
        </is>
      </c>
      <c r="C1353" t="inlineStr">
        <is>
          <t>2017-09</t>
        </is>
      </c>
      <c r="D1353" t="inlineStr">
        <is>
          <t>MG</t>
        </is>
      </c>
      <c r="E1353" t="inlineStr">
        <is>
          <t>health_beauty</t>
        </is>
      </c>
      <c r="F1353" t="n">
        <v>1</v>
      </c>
      <c r="G1353" t="n">
        <v>72.34</v>
      </c>
      <c r="H1353" t="n">
        <v>16.76</v>
      </c>
      <c r="I1353" t="inlineStr">
        <is>
          <t>credit_card</t>
        </is>
      </c>
      <c r="J1353" t="n">
        <v>8</v>
      </c>
      <c r="K1353" t="inlineStr">
        <is>
          <t>On Time</t>
        </is>
      </c>
      <c r="L1353" t="n">
        <v>5</v>
      </c>
      <c r="M1353">
        <f>VLOOKUP(D1353,State_Lookup!$A$2:$B$28,2,FALSE)</f>
        <v/>
      </c>
    </row>
    <row r="1354">
      <c r="A1354" t="inlineStr">
        <is>
          <t>df3166e4db1badb2414e9e95790a1771</t>
        </is>
      </c>
      <c r="B1354" t="inlineStr">
        <is>
          <t>2017-09-27</t>
        </is>
      </c>
      <c r="C1354" t="inlineStr">
        <is>
          <t>2017-09</t>
        </is>
      </c>
      <c r="D1354" t="inlineStr">
        <is>
          <t>SP</t>
        </is>
      </c>
      <c r="E1354" t="inlineStr">
        <is>
          <t>furniture_decor</t>
        </is>
      </c>
      <c r="F1354" t="n">
        <v>1</v>
      </c>
      <c r="G1354" t="n">
        <v>12.99</v>
      </c>
      <c r="H1354" t="n">
        <v>8.720000000000001</v>
      </c>
      <c r="I1354" t="inlineStr">
        <is>
          <t>credit_card</t>
        </is>
      </c>
      <c r="J1354" t="n">
        <v>2</v>
      </c>
      <c r="K1354" t="inlineStr">
        <is>
          <t>On Time</t>
        </is>
      </c>
      <c r="L1354" t="inlineStr"/>
      <c r="M1354">
        <f>VLOOKUP(D1354,State_Lookup!$A$2:$B$28,2,FALSE)</f>
        <v/>
      </c>
    </row>
    <row r="1355">
      <c r="A1355" t="inlineStr">
        <is>
          <t>6dcdbb1cc784cdf5844882a1f99e8d59</t>
        </is>
      </c>
      <c r="B1355" t="inlineStr">
        <is>
          <t>2017-09-27</t>
        </is>
      </c>
      <c r="C1355" t="inlineStr">
        <is>
          <t>2017-09</t>
        </is>
      </c>
      <c r="D1355" t="inlineStr">
        <is>
          <t>PE</t>
        </is>
      </c>
      <c r="E1355" t="inlineStr">
        <is>
          <t>office_furniture</t>
        </is>
      </c>
      <c r="F1355" t="n">
        <v>1</v>
      </c>
      <c r="G1355" t="n">
        <v>179.98</v>
      </c>
      <c r="H1355" t="n">
        <v>116.88</v>
      </c>
      <c r="I1355" t="inlineStr">
        <is>
          <t>credit_card</t>
        </is>
      </c>
      <c r="J1355" t="n">
        <v>14</v>
      </c>
      <c r="K1355" t="inlineStr">
        <is>
          <t>On Time</t>
        </is>
      </c>
      <c r="L1355" t="n">
        <v>5</v>
      </c>
      <c r="M1355">
        <f>VLOOKUP(D1355,State_Lookup!$A$2:$B$28,2,FALSE)</f>
        <v/>
      </c>
    </row>
    <row r="1356">
      <c r="A1356" t="inlineStr">
        <is>
          <t>d9971834a50b8fc323aa7f527978169d</t>
        </is>
      </c>
      <c r="B1356" t="inlineStr">
        <is>
          <t>2017-09-27</t>
        </is>
      </c>
      <c r="C1356" t="inlineStr">
        <is>
          <t>2017-09</t>
        </is>
      </c>
      <c r="D1356" t="inlineStr">
        <is>
          <t>SP</t>
        </is>
      </c>
      <c r="E1356" t="inlineStr">
        <is>
          <t>toys</t>
        </is>
      </c>
      <c r="F1356" t="n">
        <v>2</v>
      </c>
      <c r="G1356" t="n">
        <v>76.5</v>
      </c>
      <c r="H1356" t="n">
        <v>32.22</v>
      </c>
      <c r="I1356" t="inlineStr">
        <is>
          <t>credit_card</t>
        </is>
      </c>
      <c r="J1356" t="n">
        <v>8</v>
      </c>
      <c r="K1356" t="inlineStr">
        <is>
          <t>On Time</t>
        </is>
      </c>
      <c r="L1356" t="n">
        <v>5</v>
      </c>
      <c r="M1356">
        <f>VLOOKUP(D1356,State_Lookup!$A$2:$B$28,2,FALSE)</f>
        <v/>
      </c>
    </row>
    <row r="1357">
      <c r="A1357" t="inlineStr">
        <is>
          <t>7388afc4743da7d6e532b7fd086b4357</t>
        </is>
      </c>
      <c r="B1357" t="inlineStr">
        <is>
          <t>2017-09-28</t>
        </is>
      </c>
      <c r="C1357" t="inlineStr">
        <is>
          <t>2017-09</t>
        </is>
      </c>
      <c r="D1357" t="inlineStr">
        <is>
          <t>RJ</t>
        </is>
      </c>
      <c r="E1357" t="inlineStr">
        <is>
          <t>baby</t>
        </is>
      </c>
      <c r="F1357" t="n">
        <v>1</v>
      </c>
      <c r="G1357" t="n">
        <v>159.99</v>
      </c>
      <c r="H1357" t="n">
        <v>57.79</v>
      </c>
      <c r="I1357" t="inlineStr">
        <is>
          <t>boleto</t>
        </is>
      </c>
      <c r="J1357" t="n">
        <v>18</v>
      </c>
      <c r="K1357" t="inlineStr">
        <is>
          <t>On Time</t>
        </is>
      </c>
      <c r="L1357" t="n">
        <v>4</v>
      </c>
      <c r="M1357">
        <f>VLOOKUP(D1357,State_Lookup!$A$2:$B$28,2,FALSE)</f>
        <v/>
      </c>
    </row>
    <row r="1358">
      <c r="A1358" t="inlineStr">
        <is>
          <t>aac66aa37e3c8d0fcc9571062fabb261</t>
        </is>
      </c>
      <c r="B1358" t="inlineStr">
        <is>
          <t>2017-09-28</t>
        </is>
      </c>
      <c r="C1358" t="inlineStr">
        <is>
          <t>2017-09</t>
        </is>
      </c>
      <c r="D1358" t="inlineStr">
        <is>
          <t>MG</t>
        </is>
      </c>
      <c r="E1358" t="inlineStr">
        <is>
          <t>cool_stuff</t>
        </is>
      </c>
      <c r="F1358" t="n">
        <v>1</v>
      </c>
      <c r="G1358" t="n">
        <v>25</v>
      </c>
      <c r="H1358" t="n">
        <v>17.92</v>
      </c>
      <c r="I1358" t="inlineStr">
        <is>
          <t>credit_card</t>
        </is>
      </c>
      <c r="J1358" t="n">
        <v>19</v>
      </c>
      <c r="K1358" t="inlineStr">
        <is>
          <t>On Time</t>
        </is>
      </c>
      <c r="L1358" t="n">
        <v>3</v>
      </c>
      <c r="M1358">
        <f>VLOOKUP(D1358,State_Lookup!$A$2:$B$28,2,FALSE)</f>
        <v/>
      </c>
    </row>
    <row r="1359">
      <c r="A1359" t="inlineStr">
        <is>
          <t>987b7884b5b6e23a2b4d35d8213815a2</t>
        </is>
      </c>
      <c r="B1359" t="inlineStr">
        <is>
          <t>2017-09-28</t>
        </is>
      </c>
      <c r="C1359" t="inlineStr">
        <is>
          <t>2017-09</t>
        </is>
      </c>
      <c r="D1359" t="inlineStr">
        <is>
          <t>BA</t>
        </is>
      </c>
      <c r="E1359" t="inlineStr">
        <is>
          <t>bed_bath_table</t>
        </is>
      </c>
      <c r="F1359" t="n">
        <v>2</v>
      </c>
      <c r="G1359" t="n">
        <v>438.9</v>
      </c>
      <c r="H1359" t="n">
        <v>49.68</v>
      </c>
      <c r="I1359" t="inlineStr">
        <is>
          <t>credit_card</t>
        </is>
      </c>
      <c r="J1359" t="n">
        <v>21</v>
      </c>
      <c r="K1359" t="inlineStr">
        <is>
          <t>On Time</t>
        </is>
      </c>
      <c r="L1359" t="n">
        <v>5</v>
      </c>
      <c r="M1359">
        <f>VLOOKUP(D1359,State_Lookup!$A$2:$B$28,2,FALSE)</f>
        <v/>
      </c>
    </row>
    <row r="1360">
      <c r="A1360" t="inlineStr">
        <is>
          <t>0b1651a280049a50402bc56d50785c3c</t>
        </is>
      </c>
      <c r="B1360" t="inlineStr">
        <is>
          <t>2017-09-28</t>
        </is>
      </c>
      <c r="C1360" t="inlineStr">
        <is>
          <t>2017-09</t>
        </is>
      </c>
      <c r="D1360" t="inlineStr">
        <is>
          <t>RS</t>
        </is>
      </c>
      <c r="E1360" t="inlineStr">
        <is>
          <t>books_general_interest</t>
        </is>
      </c>
      <c r="F1360" t="n">
        <v>1</v>
      </c>
      <c r="G1360" t="n">
        <v>43.3</v>
      </c>
      <c r="H1360" t="n">
        <v>15.11</v>
      </c>
      <c r="I1360" t="inlineStr">
        <is>
          <t>boleto</t>
        </is>
      </c>
      <c r="J1360" t="n">
        <v>18</v>
      </c>
      <c r="K1360" t="inlineStr">
        <is>
          <t>On Time</t>
        </is>
      </c>
      <c r="L1360" t="n">
        <v>5</v>
      </c>
      <c r="M1360">
        <f>VLOOKUP(D1360,State_Lookup!$A$2:$B$28,2,FALSE)</f>
        <v/>
      </c>
    </row>
    <row r="1361">
      <c r="A1361" t="inlineStr">
        <is>
          <t>a701b3fe16d0e0734d666d1872df2ca4</t>
        </is>
      </c>
      <c r="B1361" t="inlineStr">
        <is>
          <t>2017-09-28</t>
        </is>
      </c>
      <c r="C1361" t="inlineStr">
        <is>
          <t>2017-09</t>
        </is>
      </c>
      <c r="D1361" t="inlineStr">
        <is>
          <t>RS</t>
        </is>
      </c>
      <c r="E1361" t="inlineStr">
        <is>
          <t>watches_gifts</t>
        </is>
      </c>
      <c r="F1361" t="n">
        <v>1</v>
      </c>
      <c r="G1361" t="n">
        <v>159.9</v>
      </c>
      <c r="H1361" t="n">
        <v>15.87</v>
      </c>
      <c r="I1361" t="inlineStr">
        <is>
          <t>credit_card</t>
        </is>
      </c>
      <c r="J1361" t="n">
        <v>11</v>
      </c>
      <c r="K1361" t="inlineStr">
        <is>
          <t>On Time</t>
        </is>
      </c>
      <c r="L1361" t="n">
        <v>5</v>
      </c>
      <c r="M1361">
        <f>VLOOKUP(D1361,State_Lookup!$A$2:$B$28,2,FALSE)</f>
        <v/>
      </c>
    </row>
    <row r="1362">
      <c r="A1362" t="inlineStr">
        <is>
          <t>2036e90fc219932b90e4da6211a01758</t>
        </is>
      </c>
      <c r="B1362" t="inlineStr">
        <is>
          <t>2017-09-28</t>
        </is>
      </c>
      <c r="C1362" t="inlineStr">
        <is>
          <t>2017-09</t>
        </is>
      </c>
      <c r="D1362" t="inlineStr">
        <is>
          <t>MG</t>
        </is>
      </c>
      <c r="E1362" t="inlineStr">
        <is>
          <t>watches_gifts</t>
        </is>
      </c>
      <c r="F1362" t="n">
        <v>1</v>
      </c>
      <c r="G1362" t="n">
        <v>248</v>
      </c>
      <c r="H1362" t="n">
        <v>16.49</v>
      </c>
      <c r="I1362" t="inlineStr">
        <is>
          <t>credit_card</t>
        </is>
      </c>
      <c r="J1362" t="n">
        <v>11</v>
      </c>
      <c r="K1362" t="inlineStr">
        <is>
          <t>On Time</t>
        </is>
      </c>
      <c r="L1362" t="n">
        <v>5</v>
      </c>
      <c r="M1362">
        <f>VLOOKUP(D1362,State_Lookup!$A$2:$B$28,2,FALSE)</f>
        <v/>
      </c>
    </row>
    <row r="1363">
      <c r="A1363" t="inlineStr">
        <is>
          <t>a5d3d2b978722a86e82f2b7bd0567840</t>
        </is>
      </c>
      <c r="B1363" t="inlineStr">
        <is>
          <t>2017-09-28</t>
        </is>
      </c>
      <c r="C1363" t="inlineStr">
        <is>
          <t>2017-09</t>
        </is>
      </c>
      <c r="D1363" t="inlineStr">
        <is>
          <t>SP</t>
        </is>
      </c>
      <c r="E1363" t="inlineStr">
        <is>
          <t>bed_bath_table</t>
        </is>
      </c>
      <c r="F1363" t="n">
        <v>2</v>
      </c>
      <c r="G1363" t="n">
        <v>106.89</v>
      </c>
      <c r="H1363" t="n">
        <v>28.85</v>
      </c>
      <c r="I1363" t="inlineStr">
        <is>
          <t>boleto</t>
        </is>
      </c>
      <c r="J1363" t="n">
        <v>14</v>
      </c>
      <c r="K1363" t="inlineStr">
        <is>
          <t>On Time</t>
        </is>
      </c>
      <c r="L1363" t="n">
        <v>1</v>
      </c>
      <c r="M1363">
        <f>VLOOKUP(D1363,State_Lookup!$A$2:$B$28,2,FALSE)</f>
        <v/>
      </c>
    </row>
    <row r="1364">
      <c r="A1364" t="inlineStr">
        <is>
          <t>38feb0b0bd51324506094a2c9f8bbc6f</t>
        </is>
      </c>
      <c r="B1364" t="inlineStr">
        <is>
          <t>2017-09-29</t>
        </is>
      </c>
      <c r="C1364" t="inlineStr">
        <is>
          <t>2017-09</t>
        </is>
      </c>
      <c r="D1364" t="inlineStr">
        <is>
          <t>SP</t>
        </is>
      </c>
      <c r="E1364" t="inlineStr">
        <is>
          <t>toys</t>
        </is>
      </c>
      <c r="F1364" t="n">
        <v>1</v>
      </c>
      <c r="G1364" t="n">
        <v>25</v>
      </c>
      <c r="H1364" t="n">
        <v>12.69</v>
      </c>
      <c r="I1364" t="inlineStr">
        <is>
          <t>credit_card</t>
        </is>
      </c>
      <c r="J1364" t="n">
        <v>14</v>
      </c>
      <c r="K1364" t="inlineStr">
        <is>
          <t>On Time</t>
        </is>
      </c>
      <c r="L1364" t="n">
        <v>4</v>
      </c>
      <c r="M1364">
        <f>VLOOKUP(D1364,State_Lookup!$A$2:$B$28,2,FALSE)</f>
        <v/>
      </c>
    </row>
    <row r="1365">
      <c r="A1365" t="inlineStr">
        <is>
          <t>12f55fbb20dd8ff71113349776b5642a</t>
        </is>
      </c>
      <c r="B1365" t="inlineStr">
        <is>
          <t>2017-09-29</t>
        </is>
      </c>
      <c r="C1365" t="inlineStr">
        <is>
          <t>2017-09</t>
        </is>
      </c>
      <c r="D1365" t="inlineStr">
        <is>
          <t>SP</t>
        </is>
      </c>
      <c r="E1365" t="inlineStr">
        <is>
          <t>watches_gifts</t>
        </is>
      </c>
      <c r="F1365" t="n">
        <v>1</v>
      </c>
      <c r="G1365" t="n">
        <v>132.6</v>
      </c>
      <c r="H1365" t="n">
        <v>15.68</v>
      </c>
      <c r="I1365" t="inlineStr">
        <is>
          <t>credit_card</t>
        </is>
      </c>
      <c r="J1365" t="n">
        <v>10</v>
      </c>
      <c r="K1365" t="inlineStr">
        <is>
          <t>On Time</t>
        </is>
      </c>
      <c r="L1365" t="n">
        <v>5</v>
      </c>
      <c r="M1365">
        <f>VLOOKUP(D1365,State_Lookup!$A$2:$B$28,2,FALSE)</f>
        <v/>
      </c>
    </row>
    <row r="1366">
      <c r="A1366" t="inlineStr">
        <is>
          <t>7d39dfbe41d0fcf4a1bf8a09cfd50a31</t>
        </is>
      </c>
      <c r="B1366" t="inlineStr">
        <is>
          <t>2017-09-29</t>
        </is>
      </c>
      <c r="C1366" t="inlineStr">
        <is>
          <t>2017-09</t>
        </is>
      </c>
      <c r="D1366" t="inlineStr">
        <is>
          <t>RS</t>
        </is>
      </c>
      <c r="E1366" t="inlineStr">
        <is>
          <t>toys</t>
        </is>
      </c>
      <c r="F1366" t="n">
        <v>1</v>
      </c>
      <c r="G1366" t="n">
        <v>139.99</v>
      </c>
      <c r="H1366" t="n">
        <v>15.74</v>
      </c>
      <c r="I1366" t="inlineStr">
        <is>
          <t>credit_card</t>
        </is>
      </c>
      <c r="J1366" t="n">
        <v>10</v>
      </c>
      <c r="K1366" t="inlineStr">
        <is>
          <t>On Time</t>
        </is>
      </c>
      <c r="L1366" t="n">
        <v>5</v>
      </c>
      <c r="M1366">
        <f>VLOOKUP(D1366,State_Lookup!$A$2:$B$28,2,FALSE)</f>
        <v/>
      </c>
    </row>
    <row r="1367">
      <c r="A1367" t="inlineStr">
        <is>
          <t>bf941d5fc1bc7b644937b66246ad2150</t>
        </is>
      </c>
      <c r="B1367" t="inlineStr">
        <is>
          <t>2017-09-29</t>
        </is>
      </c>
      <c r="C1367" t="inlineStr">
        <is>
          <t>2017-09</t>
        </is>
      </c>
      <c r="D1367" t="inlineStr">
        <is>
          <t>RJ</t>
        </is>
      </c>
      <c r="E1367" t="inlineStr">
        <is>
          <t>health_beauty</t>
        </is>
      </c>
      <c r="F1367" t="n">
        <v>1</v>
      </c>
      <c r="G1367" t="n">
        <v>59.99</v>
      </c>
      <c r="H1367" t="n">
        <v>15.18</v>
      </c>
      <c r="I1367" t="inlineStr">
        <is>
          <t>credit_card</t>
        </is>
      </c>
      <c r="J1367" t="n">
        <v>14</v>
      </c>
      <c r="K1367" t="inlineStr">
        <is>
          <t>On Time</t>
        </is>
      </c>
      <c r="L1367" t="n">
        <v>5</v>
      </c>
      <c r="M1367">
        <f>VLOOKUP(D1367,State_Lookup!$A$2:$B$28,2,FALSE)</f>
        <v/>
      </c>
    </row>
    <row r="1368">
      <c r="A1368" t="inlineStr">
        <is>
          <t>b910a2d8eecd9eded28fdfc3cbb94880</t>
        </is>
      </c>
      <c r="B1368" t="inlineStr">
        <is>
          <t>2017-09-29</t>
        </is>
      </c>
      <c r="C1368" t="inlineStr">
        <is>
          <t>2017-09</t>
        </is>
      </c>
      <c r="D1368" t="inlineStr">
        <is>
          <t>SP</t>
        </is>
      </c>
      <c r="E1368" t="inlineStr">
        <is>
          <t>bed_bath_table</t>
        </is>
      </c>
      <c r="F1368" t="n">
        <v>1</v>
      </c>
      <c r="G1368" t="n">
        <v>64.90000000000001</v>
      </c>
      <c r="H1368" t="n">
        <v>7.78</v>
      </c>
      <c r="I1368" t="inlineStr">
        <is>
          <t>credit_card</t>
        </is>
      </c>
      <c r="J1368" t="n">
        <v>6</v>
      </c>
      <c r="K1368" t="inlineStr">
        <is>
          <t>On Time</t>
        </is>
      </c>
      <c r="L1368" t="n">
        <v>4</v>
      </c>
      <c r="M1368">
        <f>VLOOKUP(D1368,State_Lookup!$A$2:$B$28,2,FALSE)</f>
        <v/>
      </c>
    </row>
    <row r="1369">
      <c r="A1369" t="inlineStr">
        <is>
          <t>96e5b56d000b07dd7bb1972eb42a0e79</t>
        </is>
      </c>
      <c r="B1369" t="inlineStr">
        <is>
          <t>2017-09-29</t>
        </is>
      </c>
      <c r="C1369" t="inlineStr">
        <is>
          <t>2017-09</t>
        </is>
      </c>
      <c r="D1369" t="inlineStr">
        <is>
          <t>SP</t>
        </is>
      </c>
      <c r="E1369" t="inlineStr">
        <is>
          <t>furniture_decor</t>
        </is>
      </c>
      <c r="F1369" t="n">
        <v>1</v>
      </c>
      <c r="G1369" t="n">
        <v>18.5</v>
      </c>
      <c r="H1369" t="n">
        <v>11.85</v>
      </c>
      <c r="I1369" t="inlineStr">
        <is>
          <t>credit_card</t>
        </is>
      </c>
      <c r="J1369" t="n">
        <v>9</v>
      </c>
      <c r="K1369" t="inlineStr">
        <is>
          <t>On Time</t>
        </is>
      </c>
      <c r="L1369" t="n">
        <v>5</v>
      </c>
      <c r="M1369">
        <f>VLOOKUP(D1369,State_Lookup!$A$2:$B$28,2,FALSE)</f>
        <v/>
      </c>
    </row>
    <row r="1370">
      <c r="A1370" t="inlineStr">
        <is>
          <t>03caa2c082116e1d31e67e9ae3700499</t>
        </is>
      </c>
      <c r="B1370" t="inlineStr">
        <is>
          <t>2017-09-29</t>
        </is>
      </c>
      <c r="C1370" t="inlineStr">
        <is>
          <t>2017-09</t>
        </is>
      </c>
      <c r="D1370" t="inlineStr">
        <is>
          <t>RJ</t>
        </is>
      </c>
      <c r="E1370" t="inlineStr">
        <is>
          <t>fixed_telephony</t>
        </is>
      </c>
      <c r="F1370" t="n">
        <v>8</v>
      </c>
      <c r="G1370" t="n">
        <v>13440</v>
      </c>
      <c r="H1370" t="n">
        <v>224.08</v>
      </c>
      <c r="I1370" t="inlineStr">
        <is>
          <t>credit_card</t>
        </is>
      </c>
      <c r="J1370" t="n">
        <v>18</v>
      </c>
      <c r="K1370" t="inlineStr">
        <is>
          <t>On Time</t>
        </is>
      </c>
      <c r="L1370" t="n">
        <v>1</v>
      </c>
      <c r="M1370">
        <f>VLOOKUP(D1370,State_Lookup!$A$2:$B$28,2,FALSE)</f>
        <v/>
      </c>
    </row>
    <row r="1371">
      <c r="A1371" t="inlineStr">
        <is>
          <t>05b6dcf764ce18df76138d88dba0aa7d</t>
        </is>
      </c>
      <c r="B1371" t="inlineStr">
        <is>
          <t>2017-09-30</t>
        </is>
      </c>
      <c r="C1371" t="inlineStr">
        <is>
          <t>2017-09</t>
        </is>
      </c>
      <c r="D1371" t="inlineStr">
        <is>
          <t>BA</t>
        </is>
      </c>
      <c r="E1371" t="inlineStr">
        <is>
          <t>small_appliances</t>
        </is>
      </c>
      <c r="F1371" t="n">
        <v>1</v>
      </c>
      <c r="G1371" t="n">
        <v>17.8</v>
      </c>
      <c r="H1371" t="n">
        <v>16.92</v>
      </c>
      <c r="I1371" t="inlineStr">
        <is>
          <t>boleto</t>
        </is>
      </c>
      <c r="J1371" t="n">
        <v>17</v>
      </c>
      <c r="K1371" t="inlineStr">
        <is>
          <t>On Time</t>
        </is>
      </c>
      <c r="L1371" t="n">
        <v>5</v>
      </c>
      <c r="M1371">
        <f>VLOOKUP(D1371,State_Lookup!$A$2:$B$28,2,FALSE)</f>
        <v/>
      </c>
    </row>
    <row r="1372">
      <c r="A1372" t="inlineStr">
        <is>
          <t>d8fdddcd258b88c4919c52ce44756a39</t>
        </is>
      </c>
      <c r="B1372" t="inlineStr">
        <is>
          <t>2017-09-30</t>
        </is>
      </c>
      <c r="C1372" t="inlineStr">
        <is>
          <t>2017-09</t>
        </is>
      </c>
      <c r="D1372" t="inlineStr">
        <is>
          <t>SP</t>
        </is>
      </c>
      <c r="E1372" t="inlineStr">
        <is>
          <t>consoles_games</t>
        </is>
      </c>
      <c r="F1372" t="n">
        <v>1</v>
      </c>
      <c r="G1372" t="n">
        <v>29.9</v>
      </c>
      <c r="H1372" t="n">
        <v>14.1</v>
      </c>
      <c r="I1372" t="inlineStr">
        <is>
          <t>credit_card</t>
        </is>
      </c>
      <c r="J1372" t="n">
        <v>4</v>
      </c>
      <c r="K1372" t="inlineStr">
        <is>
          <t>On Time</t>
        </is>
      </c>
      <c r="L1372" t="n">
        <v>4</v>
      </c>
      <c r="M1372">
        <f>VLOOKUP(D1372,State_Lookup!$A$2:$B$28,2,FALSE)</f>
        <v/>
      </c>
    </row>
    <row r="1373">
      <c r="A1373" t="inlineStr">
        <is>
          <t>61d9e1e95fdfd5f0732643e5dbc1634d</t>
        </is>
      </c>
      <c r="B1373" t="inlineStr">
        <is>
          <t>2017-09-30</t>
        </is>
      </c>
      <c r="C1373" t="inlineStr">
        <is>
          <t>2017-09</t>
        </is>
      </c>
      <c r="D1373" t="inlineStr">
        <is>
          <t>RJ</t>
        </is>
      </c>
      <c r="E1373" t="inlineStr">
        <is>
          <t>furniture_decor</t>
        </is>
      </c>
      <c r="F1373" t="n">
        <v>1</v>
      </c>
      <c r="G1373" t="n">
        <v>149.9</v>
      </c>
      <c r="H1373" t="n">
        <v>15.8</v>
      </c>
      <c r="I1373" t="inlineStr">
        <is>
          <t>credit_card</t>
        </is>
      </c>
      <c r="J1373" t="n">
        <v>13</v>
      </c>
      <c r="K1373" t="inlineStr">
        <is>
          <t>On Time</t>
        </is>
      </c>
      <c r="L1373" t="n">
        <v>5</v>
      </c>
      <c r="M1373">
        <f>VLOOKUP(D1373,State_Lookup!$A$2:$B$28,2,FALSE)</f>
        <v/>
      </c>
    </row>
    <row r="1374">
      <c r="A1374" t="inlineStr">
        <is>
          <t>f4da7d0ac805794a8e666416f2c20f60</t>
        </is>
      </c>
      <c r="B1374" t="inlineStr">
        <is>
          <t>2017-09-30</t>
        </is>
      </c>
      <c r="C1374" t="inlineStr">
        <is>
          <t>2017-09</t>
        </is>
      </c>
      <c r="D1374" t="inlineStr">
        <is>
          <t>SP</t>
        </is>
      </c>
      <c r="E1374" t="inlineStr">
        <is>
          <t>bed_bath_table</t>
        </is>
      </c>
      <c r="F1374" t="n">
        <v>1</v>
      </c>
      <c r="G1374" t="n">
        <v>26.9</v>
      </c>
      <c r="H1374" t="n">
        <v>11.85</v>
      </c>
      <c r="I1374" t="inlineStr">
        <is>
          <t>credit_card</t>
        </is>
      </c>
      <c r="J1374" t="n">
        <v>11</v>
      </c>
      <c r="K1374" t="inlineStr">
        <is>
          <t>On Time</t>
        </is>
      </c>
      <c r="L1374" t="n">
        <v>3</v>
      </c>
      <c r="M1374">
        <f>VLOOKUP(D1374,State_Lookup!$A$2:$B$28,2,FALSE)</f>
        <v/>
      </c>
    </row>
    <row r="1375">
      <c r="A1375" t="inlineStr">
        <is>
          <t>38ab0898b5328ea3498a9a8c5bbf977e</t>
        </is>
      </c>
      <c r="B1375" t="inlineStr">
        <is>
          <t>2017-09-30</t>
        </is>
      </c>
      <c r="C1375" t="inlineStr">
        <is>
          <t>2017-09</t>
        </is>
      </c>
      <c r="D1375" t="inlineStr">
        <is>
          <t>SP</t>
        </is>
      </c>
      <c r="E1375" t="inlineStr">
        <is>
          <t>sports_leisure</t>
        </is>
      </c>
      <c r="F1375" t="n">
        <v>1</v>
      </c>
      <c r="G1375" t="n">
        <v>69.90000000000001</v>
      </c>
      <c r="H1375" t="n">
        <v>16.25</v>
      </c>
      <c r="I1375" t="inlineStr">
        <is>
          <t>credit_card</t>
        </is>
      </c>
      <c r="J1375" t="n">
        <v>25</v>
      </c>
      <c r="K1375" t="inlineStr">
        <is>
          <t>Late</t>
        </is>
      </c>
      <c r="L1375" t="n">
        <v>4</v>
      </c>
      <c r="M1375">
        <f>VLOOKUP(D1375,State_Lookup!$A$2:$B$28,2,FALSE)</f>
        <v/>
      </c>
    </row>
    <row r="1376">
      <c r="A1376" t="inlineStr">
        <is>
          <t>0a62a2ee479a419db8aebf78129b2f5e</t>
        </is>
      </c>
      <c r="B1376" t="inlineStr">
        <is>
          <t>2017-10-01</t>
        </is>
      </c>
      <c r="C1376" t="inlineStr">
        <is>
          <t>2017-10</t>
        </is>
      </c>
      <c r="D1376" t="inlineStr">
        <is>
          <t>PR</t>
        </is>
      </c>
      <c r="E1376" t="inlineStr">
        <is>
          <t>bed_bath_table</t>
        </is>
      </c>
      <c r="F1376" t="n">
        <v>1</v>
      </c>
      <c r="G1376" t="n">
        <v>113.57</v>
      </c>
      <c r="H1376" t="n">
        <v>18.04</v>
      </c>
      <c r="I1376" t="inlineStr">
        <is>
          <t>credit_card</t>
        </is>
      </c>
      <c r="J1376" t="n">
        <v>11</v>
      </c>
      <c r="K1376" t="inlineStr">
        <is>
          <t>On Time</t>
        </is>
      </c>
      <c r="L1376" t="n">
        <v>4</v>
      </c>
      <c r="M1376">
        <f>VLOOKUP(D1376,State_Lookup!$A$2:$B$28,2,FALSE)</f>
        <v/>
      </c>
    </row>
    <row r="1377">
      <c r="A1377" t="inlineStr">
        <is>
          <t>5fce8f6bc4ab72e0f367e21d181bf6d2</t>
        </is>
      </c>
      <c r="B1377" t="inlineStr">
        <is>
          <t>2017-10-01</t>
        </is>
      </c>
      <c r="C1377" t="inlineStr">
        <is>
          <t>2017-10</t>
        </is>
      </c>
      <c r="D1377" t="inlineStr">
        <is>
          <t>MG</t>
        </is>
      </c>
      <c r="E1377" t="inlineStr">
        <is>
          <t>garden_tools</t>
        </is>
      </c>
      <c r="F1377" t="n">
        <v>1</v>
      </c>
      <c r="G1377" t="n">
        <v>59.9</v>
      </c>
      <c r="H1377" t="n">
        <v>17.67</v>
      </c>
      <c r="I1377" t="inlineStr">
        <is>
          <t>credit_card</t>
        </is>
      </c>
      <c r="J1377" t="n">
        <v>8</v>
      </c>
      <c r="K1377" t="inlineStr">
        <is>
          <t>On Time</t>
        </is>
      </c>
      <c r="L1377" t="n">
        <v>5</v>
      </c>
      <c r="M1377">
        <f>VLOOKUP(D1377,State_Lookup!$A$2:$B$28,2,FALSE)</f>
        <v/>
      </c>
    </row>
    <row r="1378">
      <c r="A1378" t="inlineStr">
        <is>
          <t>a32f136cacf2a9b45eaeb507057b33f2</t>
        </is>
      </c>
      <c r="B1378" t="inlineStr">
        <is>
          <t>2017-10-01</t>
        </is>
      </c>
      <c r="C1378" t="inlineStr">
        <is>
          <t>2017-10</t>
        </is>
      </c>
      <c r="D1378" t="inlineStr">
        <is>
          <t>SP</t>
        </is>
      </c>
      <c r="E1378" t="inlineStr">
        <is>
          <t>sports_leisure</t>
        </is>
      </c>
      <c r="F1378" t="n">
        <v>1</v>
      </c>
      <c r="G1378" t="n">
        <v>99</v>
      </c>
      <c r="H1378" t="n">
        <v>16.94</v>
      </c>
      <c r="I1378" t="inlineStr">
        <is>
          <t>credit_card</t>
        </is>
      </c>
      <c r="J1378" t="n">
        <v>5</v>
      </c>
      <c r="K1378" t="inlineStr">
        <is>
          <t>On Time</t>
        </is>
      </c>
      <c r="L1378" t="n">
        <v>5</v>
      </c>
      <c r="M1378">
        <f>VLOOKUP(D1378,State_Lookup!$A$2:$B$28,2,FALSE)</f>
        <v/>
      </c>
    </row>
    <row r="1379">
      <c r="A1379" t="inlineStr">
        <is>
          <t>492d9d1a1eb3b5a079dff6d1eb3f4b67</t>
        </is>
      </c>
      <c r="B1379" t="inlineStr">
        <is>
          <t>2017-10-02</t>
        </is>
      </c>
      <c r="C1379" t="inlineStr">
        <is>
          <t>2017-10</t>
        </is>
      </c>
      <c r="D1379" t="inlineStr">
        <is>
          <t>MG</t>
        </is>
      </c>
      <c r="E1379" t="inlineStr">
        <is>
          <t>sports_leisure</t>
        </is>
      </c>
      <c r="F1379" t="n">
        <v>1</v>
      </c>
      <c r="G1379" t="n">
        <v>113</v>
      </c>
      <c r="H1379" t="n">
        <v>21.28</v>
      </c>
      <c r="I1379" t="inlineStr">
        <is>
          <t>credit_card</t>
        </is>
      </c>
      <c r="J1379" t="n">
        <v>7</v>
      </c>
      <c r="K1379" t="inlineStr">
        <is>
          <t>On Time</t>
        </is>
      </c>
      <c r="L1379" t="n">
        <v>3</v>
      </c>
      <c r="M1379">
        <f>VLOOKUP(D1379,State_Lookup!$A$2:$B$28,2,FALSE)</f>
        <v/>
      </c>
    </row>
    <row r="1380">
      <c r="A1380" t="inlineStr">
        <is>
          <t>140d5c0a692987d62971b1e5f8c02397</t>
        </is>
      </c>
      <c r="B1380" t="inlineStr">
        <is>
          <t>2017-10-02</t>
        </is>
      </c>
      <c r="C1380" t="inlineStr">
        <is>
          <t>2017-10</t>
        </is>
      </c>
      <c r="D1380" t="inlineStr">
        <is>
          <t>SP</t>
        </is>
      </c>
      <c r="E1380" t="inlineStr">
        <is>
          <t>bed_bath_table</t>
        </is>
      </c>
      <c r="F1380" t="n">
        <v>1</v>
      </c>
      <c r="G1380" t="n">
        <v>27.99</v>
      </c>
      <c r="H1380" t="n">
        <v>11.85</v>
      </c>
      <c r="I1380" t="inlineStr">
        <is>
          <t>credit_card</t>
        </is>
      </c>
      <c r="J1380" t="n">
        <v>6</v>
      </c>
      <c r="K1380" t="inlineStr">
        <is>
          <t>On Time</t>
        </is>
      </c>
      <c r="L1380" t="n">
        <v>4</v>
      </c>
      <c r="M1380">
        <f>VLOOKUP(D1380,State_Lookup!$A$2:$B$28,2,FALSE)</f>
        <v/>
      </c>
    </row>
    <row r="1381">
      <c r="A1381" t="inlineStr">
        <is>
          <t>4b5bd8e6ef37808d82dab7b2a81b18d4</t>
        </is>
      </c>
      <c r="B1381" t="inlineStr">
        <is>
          <t>2017-10-02</t>
        </is>
      </c>
      <c r="C1381" t="inlineStr">
        <is>
          <t>2017-10</t>
        </is>
      </c>
      <c r="D1381" t="inlineStr">
        <is>
          <t>SP</t>
        </is>
      </c>
      <c r="E1381" t="inlineStr">
        <is>
          <t>computers_accessories</t>
        </is>
      </c>
      <c r="F1381" t="n">
        <v>1</v>
      </c>
      <c r="G1381" t="n">
        <v>155</v>
      </c>
      <c r="H1381" t="n">
        <v>13.43</v>
      </c>
      <c r="I1381" t="inlineStr">
        <is>
          <t>credit_card</t>
        </is>
      </c>
      <c r="J1381" t="inlineStr"/>
      <c r="K1381" t="inlineStr">
        <is>
          <t>Not Delivered</t>
        </is>
      </c>
      <c r="L1381" t="n">
        <v>1</v>
      </c>
      <c r="M1381">
        <f>VLOOKUP(D1381,State_Lookup!$A$2:$B$28,2,FALSE)</f>
        <v/>
      </c>
    </row>
    <row r="1382">
      <c r="A1382" t="inlineStr">
        <is>
          <t>8f6467bcaef44e076b48a04fa38557f3</t>
        </is>
      </c>
      <c r="B1382" t="inlineStr">
        <is>
          <t>2017-10-02</t>
        </is>
      </c>
      <c r="C1382" t="inlineStr">
        <is>
          <t>2017-10</t>
        </is>
      </c>
      <c r="D1382" t="inlineStr">
        <is>
          <t>SP</t>
        </is>
      </c>
      <c r="E1382" t="inlineStr">
        <is>
          <t>toys</t>
        </is>
      </c>
      <c r="F1382" t="n">
        <v>1</v>
      </c>
      <c r="G1382" t="n">
        <v>29</v>
      </c>
      <c r="H1382" t="n">
        <v>12.69</v>
      </c>
      <c r="I1382" t="inlineStr">
        <is>
          <t>credit_card</t>
        </is>
      </c>
      <c r="J1382" t="n">
        <v>5</v>
      </c>
      <c r="K1382" t="inlineStr">
        <is>
          <t>On Time</t>
        </is>
      </c>
      <c r="L1382" t="n">
        <v>5</v>
      </c>
      <c r="M1382">
        <f>VLOOKUP(D1382,State_Lookup!$A$2:$B$28,2,FALSE)</f>
        <v/>
      </c>
    </row>
    <row r="1383">
      <c r="A1383" t="inlineStr">
        <is>
          <t>9706023383737a509d67fdd3eaf88e54</t>
        </is>
      </c>
      <c r="B1383" t="inlineStr">
        <is>
          <t>2017-10-02</t>
        </is>
      </c>
      <c r="C1383" t="inlineStr">
        <is>
          <t>2017-10</t>
        </is>
      </c>
      <c r="D1383" t="inlineStr">
        <is>
          <t>RJ</t>
        </is>
      </c>
      <c r="E1383" t="inlineStr">
        <is>
          <t>stationery</t>
        </is>
      </c>
      <c r="F1383" t="n">
        <v>1</v>
      </c>
      <c r="G1383" t="n">
        <v>99</v>
      </c>
      <c r="H1383" t="n">
        <v>17.94</v>
      </c>
      <c r="I1383" t="inlineStr">
        <is>
          <t>voucher</t>
        </is>
      </c>
      <c r="J1383" t="n">
        <v>8</v>
      </c>
      <c r="K1383" t="inlineStr">
        <is>
          <t>On Time</t>
        </is>
      </c>
      <c r="L1383" t="n">
        <v>1</v>
      </c>
      <c r="M1383">
        <f>VLOOKUP(D1383,State_Lookup!$A$2:$B$28,2,FALSE)</f>
        <v/>
      </c>
    </row>
    <row r="1384">
      <c r="A1384" t="inlineStr">
        <is>
          <t>c768b1d3a1541f992ff2a94488a364d7</t>
        </is>
      </c>
      <c r="B1384" t="inlineStr">
        <is>
          <t>2017-10-03</t>
        </is>
      </c>
      <c r="C1384" t="inlineStr">
        <is>
          <t>2017-10</t>
        </is>
      </c>
      <c r="D1384" t="inlineStr">
        <is>
          <t>BA</t>
        </is>
      </c>
      <c r="E1384" t="inlineStr">
        <is>
          <t>furniture_decor</t>
        </is>
      </c>
      <c r="F1384" t="n">
        <v>1</v>
      </c>
      <c r="G1384" t="n">
        <v>39.99</v>
      </c>
      <c r="H1384" t="n">
        <v>17.92</v>
      </c>
      <c r="I1384" t="inlineStr">
        <is>
          <t>boleto</t>
        </is>
      </c>
      <c r="J1384" t="n">
        <v>19</v>
      </c>
      <c r="K1384" t="inlineStr">
        <is>
          <t>On Time</t>
        </is>
      </c>
      <c r="L1384" t="n">
        <v>4</v>
      </c>
      <c r="M1384">
        <f>VLOOKUP(D1384,State_Lookup!$A$2:$B$28,2,FALSE)</f>
        <v/>
      </c>
    </row>
    <row r="1385">
      <c r="A1385" t="inlineStr">
        <is>
          <t>e4223b96432f4984fc69390438d80861</t>
        </is>
      </c>
      <c r="B1385" t="inlineStr">
        <is>
          <t>2017-10-03</t>
        </is>
      </c>
      <c r="C1385" t="inlineStr">
        <is>
          <t>2017-10</t>
        </is>
      </c>
      <c r="D1385" t="inlineStr">
        <is>
          <t>RS</t>
        </is>
      </c>
      <c r="E1385" t="inlineStr">
        <is>
          <t>telephony</t>
        </is>
      </c>
      <c r="F1385" t="n">
        <v>1</v>
      </c>
      <c r="G1385" t="n">
        <v>18.9</v>
      </c>
      <c r="H1385" t="n">
        <v>15.1</v>
      </c>
      <c r="I1385" t="inlineStr">
        <is>
          <t>credit_card</t>
        </is>
      </c>
      <c r="J1385" t="n">
        <v>6</v>
      </c>
      <c r="K1385" t="inlineStr">
        <is>
          <t>On Time</t>
        </is>
      </c>
      <c r="L1385" t="n">
        <v>1</v>
      </c>
      <c r="M1385">
        <f>VLOOKUP(D1385,State_Lookup!$A$2:$B$28,2,FALSE)</f>
        <v/>
      </c>
    </row>
    <row r="1386">
      <c r="A1386" t="inlineStr">
        <is>
          <t>496fbba28bbf72d2b8a2a55cb32b1935</t>
        </is>
      </c>
      <c r="B1386" t="inlineStr">
        <is>
          <t>2017-10-03</t>
        </is>
      </c>
      <c r="C1386" t="inlineStr">
        <is>
          <t>2017-10</t>
        </is>
      </c>
      <c r="D1386" t="inlineStr">
        <is>
          <t>RS</t>
        </is>
      </c>
      <c r="E1386" t="inlineStr">
        <is>
          <t>toys</t>
        </is>
      </c>
      <c r="F1386" t="n">
        <v>1</v>
      </c>
      <c r="G1386" t="n">
        <v>59.9</v>
      </c>
      <c r="H1386" t="n">
        <v>15.17</v>
      </c>
      <c r="I1386" t="inlineStr">
        <is>
          <t>credit_card</t>
        </is>
      </c>
      <c r="J1386" t="n">
        <v>13</v>
      </c>
      <c r="K1386" t="inlineStr">
        <is>
          <t>On Time</t>
        </is>
      </c>
      <c r="L1386" t="n">
        <v>4</v>
      </c>
      <c r="M1386">
        <f>VLOOKUP(D1386,State_Lookup!$A$2:$B$28,2,FALSE)</f>
        <v/>
      </c>
    </row>
    <row r="1387">
      <c r="A1387" t="inlineStr">
        <is>
          <t>32a125a6a8216eaa745d0e33eabc4218</t>
        </is>
      </c>
      <c r="B1387" t="inlineStr">
        <is>
          <t>2017-10-03</t>
        </is>
      </c>
      <c r="C1387" t="inlineStr">
        <is>
          <t>2017-10</t>
        </is>
      </c>
      <c r="D1387" t="inlineStr">
        <is>
          <t>SP</t>
        </is>
      </c>
      <c r="E1387" t="inlineStr">
        <is>
          <t>bed_bath_table</t>
        </is>
      </c>
      <c r="F1387" t="n">
        <v>1</v>
      </c>
      <c r="G1387" t="n">
        <v>104</v>
      </c>
      <c r="H1387" t="n">
        <v>12.23</v>
      </c>
      <c r="I1387" t="inlineStr">
        <is>
          <t>boleto</t>
        </is>
      </c>
      <c r="J1387" t="n">
        <v>14</v>
      </c>
      <c r="K1387" t="inlineStr">
        <is>
          <t>On Time</t>
        </is>
      </c>
      <c r="L1387" t="n">
        <v>1</v>
      </c>
      <c r="M1387">
        <f>VLOOKUP(D1387,State_Lookup!$A$2:$B$28,2,FALSE)</f>
        <v/>
      </c>
    </row>
    <row r="1388">
      <c r="A1388" t="inlineStr">
        <is>
          <t>2e8d9e986f6497677962424952e47f48</t>
        </is>
      </c>
      <c r="B1388" t="inlineStr">
        <is>
          <t>2017-10-03</t>
        </is>
      </c>
      <c r="C1388" t="inlineStr">
        <is>
          <t>2017-10</t>
        </is>
      </c>
      <c r="D1388" t="inlineStr">
        <is>
          <t>MG</t>
        </is>
      </c>
      <c r="E1388" t="inlineStr">
        <is>
          <t>garden_tools</t>
        </is>
      </c>
      <c r="F1388" t="n">
        <v>1</v>
      </c>
      <c r="G1388" t="n">
        <v>129.99</v>
      </c>
      <c r="H1388" t="n">
        <v>25.75</v>
      </c>
      <c r="I1388" t="inlineStr">
        <is>
          <t>credit_card</t>
        </is>
      </c>
      <c r="J1388" t="n">
        <v>6</v>
      </c>
      <c r="K1388" t="inlineStr">
        <is>
          <t>On Time</t>
        </is>
      </c>
      <c r="L1388" t="n">
        <v>5</v>
      </c>
      <c r="M1388">
        <f>VLOOKUP(D1388,State_Lookup!$A$2:$B$28,2,FALSE)</f>
        <v/>
      </c>
    </row>
    <row r="1389">
      <c r="A1389" t="inlineStr">
        <is>
          <t>5df3e4bdf3b11255c6c73bd401826bae</t>
        </is>
      </c>
      <c r="B1389" t="inlineStr">
        <is>
          <t>2017-10-03</t>
        </is>
      </c>
      <c r="C1389" t="inlineStr">
        <is>
          <t>2017-10</t>
        </is>
      </c>
      <c r="D1389" t="inlineStr">
        <is>
          <t>RJ</t>
        </is>
      </c>
      <c r="E1389" t="inlineStr">
        <is>
          <t>perfumery</t>
        </is>
      </c>
      <c r="F1389" t="n">
        <v>2</v>
      </c>
      <c r="G1389" t="n">
        <v>11.8</v>
      </c>
      <c r="H1389" t="n">
        <v>30.2</v>
      </c>
      <c r="I1389" t="inlineStr">
        <is>
          <t>credit_card</t>
        </is>
      </c>
      <c r="J1389" t="n">
        <v>10</v>
      </c>
      <c r="K1389" t="inlineStr">
        <is>
          <t>On Time</t>
        </is>
      </c>
      <c r="L1389" t="n">
        <v>4</v>
      </c>
      <c r="M1389">
        <f>VLOOKUP(D1389,State_Lookup!$A$2:$B$28,2,FALSE)</f>
        <v/>
      </c>
    </row>
    <row r="1390">
      <c r="A1390" t="inlineStr">
        <is>
          <t>110d11411569c88d2745d55180027f3e</t>
        </is>
      </c>
      <c r="B1390" t="inlineStr">
        <is>
          <t>2017-10-03</t>
        </is>
      </c>
      <c r="C1390" t="inlineStr">
        <is>
          <t>2017-10</t>
        </is>
      </c>
      <c r="D1390" t="inlineStr">
        <is>
          <t>SP</t>
        </is>
      </c>
      <c r="E1390" t="inlineStr">
        <is>
          <t>housewares</t>
        </is>
      </c>
      <c r="F1390" t="n">
        <v>1</v>
      </c>
      <c r="G1390" t="n">
        <v>49.9</v>
      </c>
      <c r="H1390" t="n">
        <v>20.84</v>
      </c>
      <c r="I1390" t="inlineStr">
        <is>
          <t>credit_card</t>
        </is>
      </c>
      <c r="J1390" t="n">
        <v>6</v>
      </c>
      <c r="K1390" t="inlineStr">
        <is>
          <t>On Time</t>
        </is>
      </c>
      <c r="L1390" t="n">
        <v>4</v>
      </c>
      <c r="M1390">
        <f>VLOOKUP(D1390,State_Lookup!$A$2:$B$28,2,FALSE)</f>
        <v/>
      </c>
    </row>
    <row r="1391">
      <c r="A1391" t="inlineStr">
        <is>
          <t>894ad6777d752962423e37b3d4e8a83a</t>
        </is>
      </c>
      <c r="B1391" t="inlineStr">
        <is>
          <t>2017-10-04</t>
        </is>
      </c>
      <c r="C1391" t="inlineStr">
        <is>
          <t>2017-10</t>
        </is>
      </c>
      <c r="D1391" t="inlineStr">
        <is>
          <t>RO</t>
        </is>
      </c>
      <c r="E1391" t="inlineStr">
        <is>
          <t>computers_accessories</t>
        </is>
      </c>
      <c r="F1391" t="n">
        <v>1</v>
      </c>
      <c r="G1391" t="n">
        <v>149.99</v>
      </c>
      <c r="H1391" t="n">
        <v>88.06</v>
      </c>
      <c r="I1391" t="inlineStr">
        <is>
          <t>credit_card</t>
        </is>
      </c>
      <c r="J1391" t="n">
        <v>19</v>
      </c>
      <c r="K1391" t="inlineStr">
        <is>
          <t>On Time</t>
        </is>
      </c>
      <c r="L1391" t="n">
        <v>5</v>
      </c>
      <c r="M1391">
        <f>VLOOKUP(D1391,State_Lookup!$A$2:$B$28,2,FALSE)</f>
        <v/>
      </c>
    </row>
    <row r="1392">
      <c r="A1392" t="inlineStr">
        <is>
          <t>870262a84754d5ee151a8be2554a5bc6</t>
        </is>
      </c>
      <c r="B1392" t="inlineStr">
        <is>
          <t>2017-10-04</t>
        </is>
      </c>
      <c r="C1392" t="inlineStr">
        <is>
          <t>2017-10</t>
        </is>
      </c>
      <c r="D1392" t="inlineStr">
        <is>
          <t>SP</t>
        </is>
      </c>
      <c r="E1392" t="inlineStr">
        <is>
          <t>housewares</t>
        </is>
      </c>
      <c r="F1392" t="n">
        <v>1</v>
      </c>
      <c r="G1392" t="n">
        <v>139</v>
      </c>
      <c r="H1392" t="n">
        <v>25.81</v>
      </c>
      <c r="I1392" t="inlineStr">
        <is>
          <t>credit_card</t>
        </is>
      </c>
      <c r="J1392" t="n">
        <v>14</v>
      </c>
      <c r="K1392" t="inlineStr">
        <is>
          <t>On Time</t>
        </is>
      </c>
      <c r="L1392" t="inlineStr"/>
      <c r="M1392">
        <f>VLOOKUP(D1392,State_Lookup!$A$2:$B$28,2,FALSE)</f>
        <v/>
      </c>
    </row>
    <row r="1393">
      <c r="A1393" t="inlineStr">
        <is>
          <t>6ab8dac189301e155d1ff9208d98db3f</t>
        </is>
      </c>
      <c r="B1393" t="inlineStr">
        <is>
          <t>2017-10-04</t>
        </is>
      </c>
      <c r="C1393" t="inlineStr">
        <is>
          <t>2017-10</t>
        </is>
      </c>
      <c r="D1393" t="inlineStr">
        <is>
          <t>SP</t>
        </is>
      </c>
      <c r="E1393" t="inlineStr">
        <is>
          <t>pet_shop</t>
        </is>
      </c>
      <c r="F1393" t="n">
        <v>1</v>
      </c>
      <c r="G1393" t="n">
        <v>59.9</v>
      </c>
      <c r="H1393" t="n">
        <v>11.73</v>
      </c>
      <c r="I1393" t="inlineStr">
        <is>
          <t>voucher</t>
        </is>
      </c>
      <c r="J1393" t="n">
        <v>3</v>
      </c>
      <c r="K1393" t="inlineStr">
        <is>
          <t>On Time</t>
        </is>
      </c>
      <c r="L1393" t="n">
        <v>3</v>
      </c>
      <c r="M1393">
        <f>VLOOKUP(D1393,State_Lookup!$A$2:$B$28,2,FALSE)</f>
        <v/>
      </c>
    </row>
    <row r="1394">
      <c r="A1394" t="inlineStr">
        <is>
          <t>94a6ebbfa1179d1c4fcc0eef4e3f423c</t>
        </is>
      </c>
      <c r="B1394" t="inlineStr">
        <is>
          <t>2017-10-04</t>
        </is>
      </c>
      <c r="C1394" t="inlineStr">
        <is>
          <t>2017-10</t>
        </is>
      </c>
      <c r="D1394" t="inlineStr">
        <is>
          <t>PE</t>
        </is>
      </c>
      <c r="E1394" t="inlineStr">
        <is>
          <t>telephony</t>
        </is>
      </c>
      <c r="F1394" t="n">
        <v>1</v>
      </c>
      <c r="G1394" t="n">
        <v>119.9</v>
      </c>
      <c r="H1394" t="n">
        <v>26.12</v>
      </c>
      <c r="I1394" t="inlineStr">
        <is>
          <t>boleto</t>
        </is>
      </c>
      <c r="J1394" t="n">
        <v>22</v>
      </c>
      <c r="K1394" t="inlineStr">
        <is>
          <t>On Time</t>
        </is>
      </c>
      <c r="L1394" t="n">
        <v>3</v>
      </c>
      <c r="M1394">
        <f>VLOOKUP(D1394,State_Lookup!$A$2:$B$28,2,FALSE)</f>
        <v/>
      </c>
    </row>
    <row r="1395">
      <c r="A1395" t="inlineStr">
        <is>
          <t>04132c02a610a19773963143ba1b5bb4</t>
        </is>
      </c>
      <c r="B1395" t="inlineStr">
        <is>
          <t>2017-10-04</t>
        </is>
      </c>
      <c r="C1395" t="inlineStr">
        <is>
          <t>2017-10</t>
        </is>
      </c>
      <c r="D1395" t="inlineStr">
        <is>
          <t>PI</t>
        </is>
      </c>
      <c r="E1395" t="inlineStr">
        <is>
          <t>home_appliances_2</t>
        </is>
      </c>
      <c r="F1395" t="n">
        <v>1</v>
      </c>
      <c r="G1395" t="n">
        <v>599.5</v>
      </c>
      <c r="H1395" t="n">
        <v>75.33</v>
      </c>
      <c r="I1395" t="inlineStr">
        <is>
          <t>credit_card</t>
        </is>
      </c>
      <c r="J1395" t="n">
        <v>19</v>
      </c>
      <c r="K1395" t="inlineStr">
        <is>
          <t>On Time</t>
        </is>
      </c>
      <c r="L1395" t="n">
        <v>5</v>
      </c>
      <c r="M1395">
        <f>VLOOKUP(D1395,State_Lookup!$A$2:$B$28,2,FALSE)</f>
        <v/>
      </c>
    </row>
    <row r="1396">
      <c r="A1396" t="inlineStr">
        <is>
          <t>3ab974ac744bd19a111d5e19f0a90649</t>
        </is>
      </c>
      <c r="B1396" t="inlineStr">
        <is>
          <t>2017-10-04</t>
        </is>
      </c>
      <c r="C1396" t="inlineStr">
        <is>
          <t>2017-10</t>
        </is>
      </c>
      <c r="D1396" t="inlineStr">
        <is>
          <t>RJ</t>
        </is>
      </c>
      <c r="E1396" t="inlineStr">
        <is>
          <t>computers_accessories</t>
        </is>
      </c>
      <c r="F1396" t="n">
        <v>1</v>
      </c>
      <c r="G1396" t="n">
        <v>78.90000000000001</v>
      </c>
      <c r="H1396" t="n">
        <v>16.99</v>
      </c>
      <c r="I1396" t="inlineStr">
        <is>
          <t>credit_card</t>
        </is>
      </c>
      <c r="J1396" t="n">
        <v>13</v>
      </c>
      <c r="K1396" t="inlineStr">
        <is>
          <t>On Time</t>
        </is>
      </c>
      <c r="L1396" t="n">
        <v>5</v>
      </c>
      <c r="M1396">
        <f>VLOOKUP(D1396,State_Lookup!$A$2:$B$28,2,FALSE)</f>
        <v/>
      </c>
    </row>
    <row r="1397">
      <c r="A1397" t="inlineStr">
        <is>
          <t>d4304f4104fca54e2a93b03e5b04962b</t>
        </is>
      </c>
      <c r="B1397" t="inlineStr">
        <is>
          <t>2017-10-04</t>
        </is>
      </c>
      <c r="C1397" t="inlineStr">
        <is>
          <t>2017-10</t>
        </is>
      </c>
      <c r="D1397" t="inlineStr">
        <is>
          <t>MG</t>
        </is>
      </c>
      <c r="E1397" t="inlineStr">
        <is>
          <t>bed_bath_table</t>
        </is>
      </c>
      <c r="F1397" t="n">
        <v>2</v>
      </c>
      <c r="G1397" t="n">
        <v>147.99</v>
      </c>
      <c r="H1397" t="n">
        <v>33.17</v>
      </c>
      <c r="I1397" t="inlineStr">
        <is>
          <t>credit_card</t>
        </is>
      </c>
      <c r="J1397" t="n">
        <v>7</v>
      </c>
      <c r="K1397" t="inlineStr">
        <is>
          <t>On Time</t>
        </is>
      </c>
      <c r="L1397" t="n">
        <v>4</v>
      </c>
      <c r="M1397">
        <f>VLOOKUP(D1397,State_Lookup!$A$2:$B$28,2,FALSE)</f>
        <v/>
      </c>
    </row>
    <row r="1398">
      <c r="A1398" t="inlineStr">
        <is>
          <t>ad9d381a3928b29277b01f1a357a7d2d</t>
        </is>
      </c>
      <c r="B1398" t="inlineStr">
        <is>
          <t>2017-10-04</t>
        </is>
      </c>
      <c r="C1398" t="inlineStr">
        <is>
          <t>2017-10</t>
        </is>
      </c>
      <c r="D1398" t="inlineStr">
        <is>
          <t>SP</t>
        </is>
      </c>
      <c r="E1398" t="inlineStr">
        <is>
          <t>sports_leisure</t>
        </is>
      </c>
      <c r="F1398" t="n">
        <v>1</v>
      </c>
      <c r="G1398" t="n">
        <v>279.99</v>
      </c>
      <c r="H1398" t="n">
        <v>29.32</v>
      </c>
      <c r="I1398" t="inlineStr">
        <is>
          <t>credit_card</t>
        </is>
      </c>
      <c r="J1398" t="n">
        <v>12</v>
      </c>
      <c r="K1398" t="inlineStr">
        <is>
          <t>On Time</t>
        </is>
      </c>
      <c r="L1398" t="n">
        <v>5</v>
      </c>
      <c r="M1398">
        <f>VLOOKUP(D1398,State_Lookup!$A$2:$B$28,2,FALSE)</f>
        <v/>
      </c>
    </row>
    <row r="1399">
      <c r="A1399" t="inlineStr">
        <is>
          <t>165db2f7901b38055fe76db6894683d2</t>
        </is>
      </c>
      <c r="B1399" t="inlineStr">
        <is>
          <t>2017-10-04</t>
        </is>
      </c>
      <c r="C1399" t="inlineStr">
        <is>
          <t>2017-10</t>
        </is>
      </c>
      <c r="D1399" t="inlineStr">
        <is>
          <t>SP</t>
        </is>
      </c>
      <c r="E1399" t="inlineStr">
        <is>
          <t>health_beauty</t>
        </is>
      </c>
      <c r="F1399" t="n">
        <v>1</v>
      </c>
      <c r="G1399" t="n">
        <v>33.49</v>
      </c>
      <c r="H1399" t="n">
        <v>7.78</v>
      </c>
      <c r="I1399" t="inlineStr">
        <is>
          <t>credit_card</t>
        </is>
      </c>
      <c r="J1399" t="n">
        <v>2</v>
      </c>
      <c r="K1399" t="inlineStr">
        <is>
          <t>On Time</t>
        </is>
      </c>
      <c r="L1399" t="n">
        <v>5</v>
      </c>
      <c r="M1399">
        <f>VLOOKUP(D1399,State_Lookup!$A$2:$B$28,2,FALSE)</f>
        <v/>
      </c>
    </row>
    <row r="1400">
      <c r="A1400" t="inlineStr">
        <is>
          <t>8aa5b35619d1aeb3068187d868c9aa41</t>
        </is>
      </c>
      <c r="B1400" t="inlineStr">
        <is>
          <t>2017-10-04</t>
        </is>
      </c>
      <c r="C1400" t="inlineStr">
        <is>
          <t>2017-10</t>
        </is>
      </c>
      <c r="D1400" t="inlineStr">
        <is>
          <t>SP</t>
        </is>
      </c>
      <c r="E1400" t="inlineStr">
        <is>
          <t>bed_bath_table</t>
        </is>
      </c>
      <c r="F1400" t="n">
        <v>1</v>
      </c>
      <c r="G1400" t="n">
        <v>173</v>
      </c>
      <c r="H1400" t="n">
        <v>14.23</v>
      </c>
      <c r="I1400" t="inlineStr">
        <is>
          <t>credit_card</t>
        </is>
      </c>
      <c r="J1400" t="n">
        <v>9</v>
      </c>
      <c r="K1400" t="inlineStr">
        <is>
          <t>On Time</t>
        </is>
      </c>
      <c r="L1400" t="n">
        <v>5</v>
      </c>
      <c r="M1400">
        <f>VLOOKUP(D1400,State_Lookup!$A$2:$B$28,2,FALSE)</f>
        <v/>
      </c>
    </row>
    <row r="1401">
      <c r="A1401" t="inlineStr">
        <is>
          <t>c3fd670b03599718895218d479f660b6</t>
        </is>
      </c>
      <c r="B1401" t="inlineStr">
        <is>
          <t>2017-10-04</t>
        </is>
      </c>
      <c r="C1401" t="inlineStr">
        <is>
          <t>2017-10</t>
        </is>
      </c>
      <c r="D1401" t="inlineStr">
        <is>
          <t>RJ</t>
        </is>
      </c>
      <c r="E1401" t="inlineStr">
        <is>
          <t>watches_gifts</t>
        </is>
      </c>
      <c r="F1401" t="n">
        <v>1</v>
      </c>
      <c r="G1401" t="n">
        <v>899.99</v>
      </c>
      <c r="H1401" t="n">
        <v>21.05</v>
      </c>
      <c r="I1401" t="inlineStr">
        <is>
          <t>boleto</t>
        </is>
      </c>
      <c r="J1401" t="n">
        <v>14</v>
      </c>
      <c r="K1401" t="inlineStr">
        <is>
          <t>On Time</t>
        </is>
      </c>
      <c r="L1401" t="n">
        <v>3</v>
      </c>
      <c r="M1401">
        <f>VLOOKUP(D1401,State_Lookup!$A$2:$B$28,2,FALSE)</f>
        <v/>
      </c>
    </row>
    <row r="1402">
      <c r="A1402" t="inlineStr">
        <is>
          <t>2301a0f5629f3d66f880849265f50515</t>
        </is>
      </c>
      <c r="B1402" t="inlineStr">
        <is>
          <t>2017-10-04</t>
        </is>
      </c>
      <c r="C1402" t="inlineStr">
        <is>
          <t>2017-10</t>
        </is>
      </c>
      <c r="D1402" t="inlineStr">
        <is>
          <t>MG</t>
        </is>
      </c>
      <c r="E1402" t="inlineStr">
        <is>
          <t>fashion_bags_accessories</t>
        </is>
      </c>
      <c r="F1402" t="n">
        <v>1</v>
      </c>
      <c r="G1402" t="n">
        <v>69</v>
      </c>
      <c r="H1402" t="n">
        <v>15.23</v>
      </c>
      <c r="I1402" t="inlineStr">
        <is>
          <t>credit_card</t>
        </is>
      </c>
      <c r="J1402" t="n">
        <v>6</v>
      </c>
      <c r="K1402" t="inlineStr">
        <is>
          <t>On Time</t>
        </is>
      </c>
      <c r="L1402" t="n">
        <v>4</v>
      </c>
      <c r="M1402">
        <f>VLOOKUP(D1402,State_Lookup!$A$2:$B$28,2,FALSE)</f>
        <v/>
      </c>
    </row>
    <row r="1403">
      <c r="A1403" t="inlineStr">
        <is>
          <t>363aa2fb205fb8cc8568919310f793aa</t>
        </is>
      </c>
      <c r="B1403" t="inlineStr">
        <is>
          <t>2017-10-04</t>
        </is>
      </c>
      <c r="C1403" t="inlineStr">
        <is>
          <t>2017-10</t>
        </is>
      </c>
      <c r="D1403" t="inlineStr">
        <is>
          <t>BA</t>
        </is>
      </c>
      <c r="E1403" t="inlineStr">
        <is>
          <t>perfumery</t>
        </is>
      </c>
      <c r="F1403" t="n">
        <v>1</v>
      </c>
      <c r="G1403" t="n">
        <v>143</v>
      </c>
      <c r="H1403" t="n">
        <v>38.55</v>
      </c>
      <c r="I1403" t="inlineStr">
        <is>
          <t>credit_card</t>
        </is>
      </c>
      <c r="J1403" t="n">
        <v>12</v>
      </c>
      <c r="K1403" t="inlineStr">
        <is>
          <t>On Time</t>
        </is>
      </c>
      <c r="L1403" t="n">
        <v>5</v>
      </c>
      <c r="M1403">
        <f>VLOOKUP(D1403,State_Lookup!$A$2:$B$28,2,FALSE)</f>
        <v/>
      </c>
    </row>
    <row r="1404">
      <c r="A1404" t="inlineStr">
        <is>
          <t>1f4c55439dfb0750759521284d322815</t>
        </is>
      </c>
      <c r="B1404" t="inlineStr">
        <is>
          <t>2017-10-05</t>
        </is>
      </c>
      <c r="C1404" t="inlineStr">
        <is>
          <t>2017-10</t>
        </is>
      </c>
      <c r="D1404" t="inlineStr">
        <is>
          <t>SP</t>
        </is>
      </c>
      <c r="E1404" t="inlineStr">
        <is>
          <t>health_beauty</t>
        </is>
      </c>
      <c r="F1404" t="n">
        <v>1</v>
      </c>
      <c r="G1404" t="n">
        <v>79.90000000000001</v>
      </c>
      <c r="H1404" t="n">
        <v>18.8</v>
      </c>
      <c r="I1404" t="inlineStr">
        <is>
          <t>credit_card</t>
        </is>
      </c>
      <c r="J1404" t="n">
        <v>8</v>
      </c>
      <c r="K1404" t="inlineStr">
        <is>
          <t>On Time</t>
        </is>
      </c>
      <c r="L1404" t="n">
        <v>2</v>
      </c>
      <c r="M1404">
        <f>VLOOKUP(D1404,State_Lookup!$A$2:$B$28,2,FALSE)</f>
        <v/>
      </c>
    </row>
    <row r="1405">
      <c r="A1405" t="inlineStr">
        <is>
          <t>aa6f6f661c3e88e007c6cb03ca1e55e3</t>
        </is>
      </c>
      <c r="B1405" t="inlineStr">
        <is>
          <t>2017-10-05</t>
        </is>
      </c>
      <c r="C1405" t="inlineStr">
        <is>
          <t>2017-10</t>
        </is>
      </c>
      <c r="D1405" t="inlineStr">
        <is>
          <t>SP</t>
        </is>
      </c>
      <c r="E1405" t="inlineStr">
        <is>
          <t>computers_accessories</t>
        </is>
      </c>
      <c r="F1405" t="n">
        <v>1</v>
      </c>
      <c r="G1405" t="n">
        <v>105</v>
      </c>
      <c r="H1405" t="n">
        <v>21.57</v>
      </c>
      <c r="I1405" t="inlineStr">
        <is>
          <t>credit_card</t>
        </is>
      </c>
      <c r="J1405" t="n">
        <v>4</v>
      </c>
      <c r="K1405" t="inlineStr">
        <is>
          <t>On Time</t>
        </is>
      </c>
      <c r="L1405" t="n">
        <v>5</v>
      </c>
      <c r="M1405">
        <f>VLOOKUP(D1405,State_Lookup!$A$2:$B$28,2,FALSE)</f>
        <v/>
      </c>
    </row>
    <row r="1406">
      <c r="A1406" t="inlineStr">
        <is>
          <t>ed77ae1d4803934a1131cadffb78b41b</t>
        </is>
      </c>
      <c r="B1406" t="inlineStr">
        <is>
          <t>2017-10-05</t>
        </is>
      </c>
      <c r="C1406" t="inlineStr">
        <is>
          <t>2017-10</t>
        </is>
      </c>
      <c r="D1406" t="inlineStr">
        <is>
          <t>SP</t>
        </is>
      </c>
      <c r="E1406" t="inlineStr">
        <is>
          <t>computers_accessories</t>
        </is>
      </c>
      <c r="F1406" t="n">
        <v>4</v>
      </c>
      <c r="G1406" t="n">
        <v>599.52</v>
      </c>
      <c r="H1406" t="n">
        <v>73.2</v>
      </c>
      <c r="I1406" t="inlineStr">
        <is>
          <t>credit_card</t>
        </is>
      </c>
      <c r="J1406" t="n">
        <v>14</v>
      </c>
      <c r="K1406" t="inlineStr">
        <is>
          <t>On Time</t>
        </is>
      </c>
      <c r="L1406" t="n">
        <v>4</v>
      </c>
      <c r="M1406">
        <f>VLOOKUP(D1406,State_Lookup!$A$2:$B$28,2,FALSE)</f>
        <v/>
      </c>
    </row>
    <row r="1407">
      <c r="A1407" t="inlineStr">
        <is>
          <t>46a960198503941a98246a108f151e0b</t>
        </is>
      </c>
      <c r="B1407" t="inlineStr">
        <is>
          <t>2017-10-05</t>
        </is>
      </c>
      <c r="C1407" t="inlineStr">
        <is>
          <t>2017-10</t>
        </is>
      </c>
      <c r="D1407" t="inlineStr">
        <is>
          <t>MG</t>
        </is>
      </c>
      <c r="E1407" t="inlineStr">
        <is>
          <t>furniture_decor</t>
        </is>
      </c>
      <c r="F1407" t="n">
        <v>3</v>
      </c>
      <c r="G1407" t="n">
        <v>234</v>
      </c>
      <c r="H1407" t="n">
        <v>45.90000000000001</v>
      </c>
      <c r="I1407" t="inlineStr">
        <is>
          <t>credit_card</t>
        </is>
      </c>
      <c r="J1407" t="n">
        <v>21</v>
      </c>
      <c r="K1407" t="inlineStr">
        <is>
          <t>On Time</t>
        </is>
      </c>
      <c r="L1407" t="n">
        <v>4</v>
      </c>
      <c r="M1407">
        <f>VLOOKUP(D1407,State_Lookup!$A$2:$B$28,2,FALSE)</f>
        <v/>
      </c>
    </row>
    <row r="1408">
      <c r="A1408" t="inlineStr">
        <is>
          <t>431edc9c63424518da8f273659cafa77</t>
        </is>
      </c>
      <c r="B1408" t="inlineStr">
        <is>
          <t>2017-10-05</t>
        </is>
      </c>
      <c r="C1408" t="inlineStr">
        <is>
          <t>2017-10</t>
        </is>
      </c>
      <c r="D1408" t="inlineStr">
        <is>
          <t>RJ</t>
        </is>
      </c>
      <c r="E1408" t="inlineStr">
        <is>
          <t>computers_accessories</t>
        </is>
      </c>
      <c r="F1408" t="n">
        <v>1</v>
      </c>
      <c r="G1408" t="n">
        <v>99.90000000000001</v>
      </c>
      <c r="H1408" t="n">
        <v>23.02</v>
      </c>
      <c r="I1408" t="inlineStr">
        <is>
          <t>credit_card</t>
        </is>
      </c>
      <c r="J1408" t="n">
        <v>6</v>
      </c>
      <c r="K1408" t="inlineStr">
        <is>
          <t>On Time</t>
        </is>
      </c>
      <c r="L1408" t="n">
        <v>5</v>
      </c>
      <c r="M1408">
        <f>VLOOKUP(D1408,State_Lookup!$A$2:$B$28,2,FALSE)</f>
        <v/>
      </c>
    </row>
    <row r="1409">
      <c r="A1409" t="inlineStr">
        <is>
          <t>a6bf292dae65f520a1f47f4df440654a</t>
        </is>
      </c>
      <c r="B1409" t="inlineStr">
        <is>
          <t>2017-10-05</t>
        </is>
      </c>
      <c r="C1409" t="inlineStr">
        <is>
          <t>2017-10</t>
        </is>
      </c>
      <c r="D1409" t="inlineStr">
        <is>
          <t>MG</t>
        </is>
      </c>
      <c r="E1409" t="inlineStr">
        <is>
          <t>health_beauty</t>
        </is>
      </c>
      <c r="F1409" t="n">
        <v>1</v>
      </c>
      <c r="G1409" t="n">
        <v>34.99</v>
      </c>
      <c r="H1409" t="n">
        <v>17.6</v>
      </c>
      <c r="I1409" t="inlineStr">
        <is>
          <t>credit_card</t>
        </is>
      </c>
      <c r="J1409" t="n">
        <v>6</v>
      </c>
      <c r="K1409" t="inlineStr">
        <is>
          <t>On Time</t>
        </is>
      </c>
      <c r="L1409" t="n">
        <v>5</v>
      </c>
      <c r="M1409">
        <f>VLOOKUP(D1409,State_Lookup!$A$2:$B$28,2,FALSE)</f>
        <v/>
      </c>
    </row>
    <row r="1410">
      <c r="A1410" t="inlineStr">
        <is>
          <t>472da07b7704c63a67ef872b922ab5c3</t>
        </is>
      </c>
      <c r="B1410" t="inlineStr">
        <is>
          <t>2017-10-05</t>
        </is>
      </c>
      <c r="C1410" t="inlineStr">
        <is>
          <t>2017-10</t>
        </is>
      </c>
      <c r="D1410" t="inlineStr">
        <is>
          <t>SP</t>
        </is>
      </c>
      <c r="E1410" t="inlineStr">
        <is>
          <t>sports_leisure</t>
        </is>
      </c>
      <c r="F1410" t="n">
        <v>1</v>
      </c>
      <c r="G1410" t="n">
        <v>69.90000000000001</v>
      </c>
      <c r="H1410" t="n">
        <v>16.12</v>
      </c>
      <c r="I1410" t="inlineStr">
        <is>
          <t>debit_card</t>
        </is>
      </c>
      <c r="J1410" t="n">
        <v>5</v>
      </c>
      <c r="K1410" t="inlineStr">
        <is>
          <t>On Time</t>
        </is>
      </c>
      <c r="L1410" t="n">
        <v>5</v>
      </c>
      <c r="M1410">
        <f>VLOOKUP(D1410,State_Lookup!$A$2:$B$28,2,FALSE)</f>
        <v/>
      </c>
    </row>
    <row r="1411">
      <c r="A1411" t="inlineStr">
        <is>
          <t>6aa12b7bccdfe9396d5feb50030e1b3f</t>
        </is>
      </c>
      <c r="B1411" t="inlineStr">
        <is>
          <t>2017-10-06</t>
        </is>
      </c>
      <c r="C1411" t="inlineStr">
        <is>
          <t>2017-10</t>
        </is>
      </c>
      <c r="D1411" t="inlineStr">
        <is>
          <t>SP</t>
        </is>
      </c>
      <c r="E1411" t="inlineStr">
        <is>
          <t>housewares</t>
        </is>
      </c>
      <c r="F1411" t="n">
        <v>1</v>
      </c>
      <c r="G1411" t="n">
        <v>69.90000000000001</v>
      </c>
      <c r="H1411" t="n">
        <v>16.12</v>
      </c>
      <c r="I1411" t="inlineStr">
        <is>
          <t>credit_card</t>
        </is>
      </c>
      <c r="J1411" t="n">
        <v>5</v>
      </c>
      <c r="K1411" t="inlineStr">
        <is>
          <t>On Time</t>
        </is>
      </c>
      <c r="L1411" t="n">
        <v>5</v>
      </c>
      <c r="M1411">
        <f>VLOOKUP(D1411,State_Lookup!$A$2:$B$28,2,FALSE)</f>
        <v/>
      </c>
    </row>
    <row r="1412">
      <c r="A1412" t="inlineStr">
        <is>
          <t>166848a10d57ced4d9e4b34c593b5627</t>
        </is>
      </c>
      <c r="B1412" t="inlineStr">
        <is>
          <t>2017-10-06</t>
        </is>
      </c>
      <c r="C1412" t="inlineStr">
        <is>
          <t>2017-10</t>
        </is>
      </c>
      <c r="D1412" t="inlineStr">
        <is>
          <t>SP</t>
        </is>
      </c>
      <c r="E1412" t="inlineStr">
        <is>
          <t>industry_commerce_and_business</t>
        </is>
      </c>
      <c r="F1412" t="n">
        <v>1</v>
      </c>
      <c r="G1412" t="n">
        <v>1699.99</v>
      </c>
      <c r="H1412" t="n">
        <v>87.73</v>
      </c>
      <c r="I1412" t="inlineStr">
        <is>
          <t>credit_card</t>
        </is>
      </c>
      <c r="J1412" t="n">
        <v>19</v>
      </c>
      <c r="K1412" t="inlineStr">
        <is>
          <t>On Time</t>
        </is>
      </c>
      <c r="L1412" t="n">
        <v>5</v>
      </c>
      <c r="M1412">
        <f>VLOOKUP(D1412,State_Lookup!$A$2:$B$28,2,FALSE)</f>
        <v/>
      </c>
    </row>
    <row r="1413">
      <c r="A1413" t="inlineStr">
        <is>
          <t>90558ff73a60e332ae75a7eef8d36b83</t>
        </is>
      </c>
      <c r="B1413" t="inlineStr">
        <is>
          <t>2017-10-06</t>
        </is>
      </c>
      <c r="C1413" t="inlineStr">
        <is>
          <t>2017-10</t>
        </is>
      </c>
      <c r="D1413" t="inlineStr">
        <is>
          <t>GO</t>
        </is>
      </c>
      <c r="E1413" t="inlineStr">
        <is>
          <t>consoles_games</t>
        </is>
      </c>
      <c r="F1413" t="n">
        <v>1</v>
      </c>
      <c r="G1413" t="n">
        <v>139.99</v>
      </c>
      <c r="H1413" t="n">
        <v>14.73</v>
      </c>
      <c r="I1413" t="inlineStr">
        <is>
          <t>credit_card</t>
        </is>
      </c>
      <c r="J1413" t="n">
        <v>10</v>
      </c>
      <c r="K1413" t="inlineStr">
        <is>
          <t>On Time</t>
        </is>
      </c>
      <c r="L1413" t="n">
        <v>5</v>
      </c>
      <c r="M1413">
        <f>VLOOKUP(D1413,State_Lookup!$A$2:$B$28,2,FALSE)</f>
        <v/>
      </c>
    </row>
    <row r="1414">
      <c r="A1414" t="inlineStr">
        <is>
          <t>ee491eb103d02acce80f7c5950def51d</t>
        </is>
      </c>
      <c r="B1414" t="inlineStr">
        <is>
          <t>2017-10-06</t>
        </is>
      </c>
      <c r="C1414" t="inlineStr">
        <is>
          <t>2017-10</t>
        </is>
      </c>
      <c r="D1414" t="inlineStr">
        <is>
          <t>RS</t>
        </is>
      </c>
      <c r="E1414" t="inlineStr">
        <is>
          <t>toys</t>
        </is>
      </c>
      <c r="F1414" t="n">
        <v>1</v>
      </c>
      <c r="G1414" t="n">
        <v>49.9</v>
      </c>
      <c r="H1414" t="n">
        <v>14.1</v>
      </c>
      <c r="I1414" t="inlineStr">
        <is>
          <t>voucher</t>
        </is>
      </c>
      <c r="J1414" t="n">
        <v>12</v>
      </c>
      <c r="K1414" t="inlineStr">
        <is>
          <t>On Time</t>
        </is>
      </c>
      <c r="L1414" t="n">
        <v>5</v>
      </c>
      <c r="M1414">
        <f>VLOOKUP(D1414,State_Lookup!$A$2:$B$28,2,FALSE)</f>
        <v/>
      </c>
    </row>
    <row r="1415">
      <c r="A1415" t="inlineStr">
        <is>
          <t>72fcaaf6f276ca11244c4a82bb009eaf</t>
        </is>
      </c>
      <c r="B1415" t="inlineStr">
        <is>
          <t>2017-10-07</t>
        </is>
      </c>
      <c r="C1415" t="inlineStr">
        <is>
          <t>2017-10</t>
        </is>
      </c>
      <c r="D1415" t="inlineStr">
        <is>
          <t>RJ</t>
        </is>
      </c>
      <c r="E1415" t="inlineStr">
        <is>
          <t>bed_bath_table</t>
        </is>
      </c>
      <c r="F1415" t="n">
        <v>1</v>
      </c>
      <c r="G1415" t="n">
        <v>47.99</v>
      </c>
      <c r="H1415" t="n">
        <v>15.1</v>
      </c>
      <c r="I1415" t="inlineStr">
        <is>
          <t>credit_card</t>
        </is>
      </c>
      <c r="J1415" t="n">
        <v>12</v>
      </c>
      <c r="K1415" t="inlineStr">
        <is>
          <t>On Time</t>
        </is>
      </c>
      <c r="L1415" t="n">
        <v>5</v>
      </c>
      <c r="M1415">
        <f>VLOOKUP(D1415,State_Lookup!$A$2:$B$28,2,FALSE)</f>
        <v/>
      </c>
    </row>
    <row r="1416">
      <c r="A1416" t="inlineStr">
        <is>
          <t>a82e51ce2f7042d9be38b0cee1764b46</t>
        </is>
      </c>
      <c r="B1416" t="inlineStr">
        <is>
          <t>2017-10-07</t>
        </is>
      </c>
      <c r="C1416" t="inlineStr">
        <is>
          <t>2017-10</t>
        </is>
      </c>
      <c r="D1416" t="inlineStr">
        <is>
          <t>SP</t>
        </is>
      </c>
      <c r="E1416" t="inlineStr">
        <is>
          <t>health_beauty</t>
        </is>
      </c>
      <c r="F1416" t="n">
        <v>1</v>
      </c>
      <c r="G1416" t="n">
        <v>16</v>
      </c>
      <c r="H1416" t="n">
        <v>7.78</v>
      </c>
      <c r="I1416" t="inlineStr">
        <is>
          <t>credit_card</t>
        </is>
      </c>
      <c r="J1416" t="n">
        <v>3</v>
      </c>
      <c r="K1416" t="inlineStr">
        <is>
          <t>On Time</t>
        </is>
      </c>
      <c r="L1416" t="n">
        <v>5</v>
      </c>
      <c r="M1416">
        <f>VLOOKUP(D1416,State_Lookup!$A$2:$B$28,2,FALSE)</f>
        <v/>
      </c>
    </row>
    <row r="1417">
      <c r="A1417" t="inlineStr">
        <is>
          <t>28c3c716d01cc934376d3bebea04da92</t>
        </is>
      </c>
      <c r="B1417" t="inlineStr">
        <is>
          <t>2017-10-07</t>
        </is>
      </c>
      <c r="C1417" t="inlineStr">
        <is>
          <t>2017-10</t>
        </is>
      </c>
      <c r="D1417" t="inlineStr">
        <is>
          <t>RS</t>
        </is>
      </c>
      <c r="E1417" t="inlineStr">
        <is>
          <t>electronics</t>
        </is>
      </c>
      <c r="F1417" t="n">
        <v>1</v>
      </c>
      <c r="G1417" t="n">
        <v>18.9</v>
      </c>
      <c r="H1417" t="n">
        <v>15.1</v>
      </c>
      <c r="I1417" t="inlineStr">
        <is>
          <t>credit_card</t>
        </is>
      </c>
      <c r="J1417" t="n">
        <v>18</v>
      </c>
      <c r="K1417" t="inlineStr">
        <is>
          <t>On Time</t>
        </is>
      </c>
      <c r="L1417" t="n">
        <v>2</v>
      </c>
      <c r="M1417">
        <f>VLOOKUP(D1417,State_Lookup!$A$2:$B$28,2,FALSE)</f>
        <v/>
      </c>
    </row>
    <row r="1418">
      <c r="A1418" t="inlineStr">
        <is>
          <t>d4a07b48835f3637cdf8baeab13c8a9a</t>
        </is>
      </c>
      <c r="B1418" t="inlineStr">
        <is>
          <t>2017-10-07</t>
        </is>
      </c>
      <c r="C1418" t="inlineStr">
        <is>
          <t>2017-10</t>
        </is>
      </c>
      <c r="D1418" t="inlineStr">
        <is>
          <t>RJ</t>
        </is>
      </c>
      <c r="E1418" t="inlineStr">
        <is>
          <t>computers</t>
        </is>
      </c>
      <c r="F1418" t="n">
        <v>1</v>
      </c>
      <c r="G1418" t="n">
        <v>1599.99</v>
      </c>
      <c r="H1418" t="n">
        <v>35.65</v>
      </c>
      <c r="I1418" t="inlineStr">
        <is>
          <t>credit_card</t>
        </is>
      </c>
      <c r="J1418" t="n">
        <v>13</v>
      </c>
      <c r="K1418" t="inlineStr">
        <is>
          <t>On Time</t>
        </is>
      </c>
      <c r="L1418" t="n">
        <v>5</v>
      </c>
      <c r="M1418">
        <f>VLOOKUP(D1418,State_Lookup!$A$2:$B$28,2,FALSE)</f>
        <v/>
      </c>
    </row>
    <row r="1419">
      <c r="A1419" t="inlineStr">
        <is>
          <t>6d2fc09d62a66a0e432cb3d6e98a504e</t>
        </is>
      </c>
      <c r="B1419" t="inlineStr">
        <is>
          <t>2017-10-07</t>
        </is>
      </c>
      <c r="C1419" t="inlineStr">
        <is>
          <t>2017-10</t>
        </is>
      </c>
      <c r="D1419" t="inlineStr">
        <is>
          <t>SP</t>
        </is>
      </c>
      <c r="E1419" t="inlineStr">
        <is>
          <t>toys</t>
        </is>
      </c>
      <c r="F1419" t="n">
        <v>1</v>
      </c>
      <c r="G1419" t="n">
        <v>79.90000000000001</v>
      </c>
      <c r="H1419" t="n">
        <v>11.76</v>
      </c>
      <c r="I1419" t="inlineStr">
        <is>
          <t>credit_card</t>
        </is>
      </c>
      <c r="J1419" t="n">
        <v>6</v>
      </c>
      <c r="K1419" t="inlineStr">
        <is>
          <t>On Time</t>
        </is>
      </c>
      <c r="L1419" t="n">
        <v>4</v>
      </c>
      <c r="M1419">
        <f>VLOOKUP(D1419,State_Lookup!$A$2:$B$28,2,FALSE)</f>
        <v/>
      </c>
    </row>
    <row r="1420">
      <c r="A1420" t="inlineStr">
        <is>
          <t>64aa2d5878fc863f40dc4698a4feff6e</t>
        </is>
      </c>
      <c r="B1420" t="inlineStr">
        <is>
          <t>2017-10-08</t>
        </is>
      </c>
      <c r="C1420" t="inlineStr">
        <is>
          <t>2017-10</t>
        </is>
      </c>
      <c r="D1420" t="inlineStr">
        <is>
          <t>RJ</t>
        </is>
      </c>
      <c r="E1420" t="inlineStr">
        <is>
          <t>sports_leisure</t>
        </is>
      </c>
      <c r="F1420" t="n">
        <v>1</v>
      </c>
      <c r="G1420" t="n">
        <v>120</v>
      </c>
      <c r="H1420" t="n">
        <v>8.26</v>
      </c>
      <c r="I1420" t="inlineStr">
        <is>
          <t>boleto</t>
        </is>
      </c>
      <c r="J1420" t="n">
        <v>8</v>
      </c>
      <c r="K1420" t="inlineStr">
        <is>
          <t>On Time</t>
        </is>
      </c>
      <c r="L1420" t="n">
        <v>5</v>
      </c>
      <c r="M1420">
        <f>VLOOKUP(D1420,State_Lookup!$A$2:$B$28,2,FALSE)</f>
        <v/>
      </c>
    </row>
    <row r="1421">
      <c r="A1421" t="inlineStr">
        <is>
          <t>65a94ea3c1392f150ad232c92d64c3f8</t>
        </is>
      </c>
      <c r="B1421" t="inlineStr">
        <is>
          <t>2017-10-08</t>
        </is>
      </c>
      <c r="C1421" t="inlineStr">
        <is>
          <t>2017-10</t>
        </is>
      </c>
      <c r="D1421" t="inlineStr">
        <is>
          <t>SP</t>
        </is>
      </c>
      <c r="E1421" t="inlineStr">
        <is>
          <t>bed_bath_table</t>
        </is>
      </c>
      <c r="F1421" t="n">
        <v>1</v>
      </c>
      <c r="G1421" t="n">
        <v>51</v>
      </c>
      <c r="H1421" t="n">
        <v>12.7</v>
      </c>
      <c r="I1421" t="inlineStr">
        <is>
          <t>credit_card</t>
        </is>
      </c>
      <c r="J1421" t="n">
        <v>8</v>
      </c>
      <c r="K1421" t="inlineStr">
        <is>
          <t>On Time</t>
        </is>
      </c>
      <c r="L1421" t="n">
        <v>5</v>
      </c>
      <c r="M1421">
        <f>VLOOKUP(D1421,State_Lookup!$A$2:$B$28,2,FALSE)</f>
        <v/>
      </c>
    </row>
    <row r="1422">
      <c r="A1422" t="inlineStr">
        <is>
          <t>e213ae13799e8736ebbc653d21a441e5</t>
        </is>
      </c>
      <c r="B1422" t="inlineStr">
        <is>
          <t>2017-10-08</t>
        </is>
      </c>
      <c r="C1422" t="inlineStr">
        <is>
          <t>2017-10</t>
        </is>
      </c>
      <c r="D1422" t="inlineStr">
        <is>
          <t>RJ</t>
        </is>
      </c>
      <c r="E1422" t="inlineStr">
        <is>
          <t>bed_bath_table</t>
        </is>
      </c>
      <c r="F1422" t="n">
        <v>1</v>
      </c>
      <c r="G1422" t="n">
        <v>45.9</v>
      </c>
      <c r="H1422" t="n">
        <v>15.11</v>
      </c>
      <c r="I1422" t="inlineStr">
        <is>
          <t>credit_card</t>
        </is>
      </c>
      <c r="J1422" t="n">
        <v>23</v>
      </c>
      <c r="K1422" t="inlineStr">
        <is>
          <t>Late</t>
        </is>
      </c>
      <c r="L1422" t="n">
        <v>5</v>
      </c>
      <c r="M1422">
        <f>VLOOKUP(D1422,State_Lookup!$A$2:$B$28,2,FALSE)</f>
        <v/>
      </c>
    </row>
    <row r="1423">
      <c r="A1423" t="inlineStr">
        <is>
          <t>f67ed27c364607b4afba7d4d7b32f524</t>
        </is>
      </c>
      <c r="B1423" t="inlineStr">
        <is>
          <t>2017-10-08</t>
        </is>
      </c>
      <c r="C1423" t="inlineStr">
        <is>
          <t>2017-10</t>
        </is>
      </c>
      <c r="D1423" t="inlineStr">
        <is>
          <t>SP</t>
        </is>
      </c>
      <c r="E1423" t="inlineStr">
        <is>
          <t>furniture_decor</t>
        </is>
      </c>
      <c r="F1423" t="n">
        <v>1</v>
      </c>
      <c r="G1423" t="n">
        <v>199.99</v>
      </c>
      <c r="H1423" t="n">
        <v>37.49</v>
      </c>
      <c r="I1423" t="inlineStr">
        <is>
          <t>credit_card</t>
        </is>
      </c>
      <c r="J1423" t="n">
        <v>1</v>
      </c>
      <c r="K1423" t="inlineStr">
        <is>
          <t>On Time</t>
        </is>
      </c>
      <c r="L1423" t="n">
        <v>5</v>
      </c>
      <c r="M1423">
        <f>VLOOKUP(D1423,State_Lookup!$A$2:$B$28,2,FALSE)</f>
        <v/>
      </c>
    </row>
    <row r="1424">
      <c r="A1424" t="inlineStr">
        <is>
          <t>39686ff32951169c125d4f2bf5666774</t>
        </is>
      </c>
      <c r="B1424" t="inlineStr">
        <is>
          <t>2017-10-08</t>
        </is>
      </c>
      <c r="C1424" t="inlineStr">
        <is>
          <t>2017-10</t>
        </is>
      </c>
      <c r="D1424" t="inlineStr">
        <is>
          <t>MG</t>
        </is>
      </c>
      <c r="E1424" t="inlineStr">
        <is>
          <t>baby</t>
        </is>
      </c>
      <c r="F1424" t="n">
        <v>1</v>
      </c>
      <c r="G1424" t="n">
        <v>64.98999999999999</v>
      </c>
      <c r="H1424" t="n">
        <v>12.58</v>
      </c>
      <c r="I1424" t="inlineStr">
        <is>
          <t>credit_card</t>
        </is>
      </c>
      <c r="J1424" t="n">
        <v>5</v>
      </c>
      <c r="K1424" t="inlineStr">
        <is>
          <t>On Time</t>
        </is>
      </c>
      <c r="L1424" t="n">
        <v>5</v>
      </c>
      <c r="M1424">
        <f>VLOOKUP(D1424,State_Lookup!$A$2:$B$28,2,FALSE)</f>
        <v/>
      </c>
    </row>
    <row r="1425">
      <c r="A1425" t="inlineStr">
        <is>
          <t>bf3f150adb6cc38e1f3e6517534b24f6</t>
        </is>
      </c>
      <c r="B1425" t="inlineStr">
        <is>
          <t>2017-10-08</t>
        </is>
      </c>
      <c r="C1425" t="inlineStr">
        <is>
          <t>2017-10</t>
        </is>
      </c>
      <c r="D1425" t="inlineStr">
        <is>
          <t>SE</t>
        </is>
      </c>
      <c r="E1425" t="inlineStr">
        <is>
          <t>garden_tools</t>
        </is>
      </c>
      <c r="F1425" t="n">
        <v>1</v>
      </c>
      <c r="G1425" t="n">
        <v>69</v>
      </c>
      <c r="H1425" t="n">
        <v>38.03</v>
      </c>
      <c r="I1425" t="inlineStr">
        <is>
          <t>credit_card</t>
        </is>
      </c>
      <c r="J1425" t="n">
        <v>18</v>
      </c>
      <c r="K1425" t="inlineStr">
        <is>
          <t>On Time</t>
        </is>
      </c>
      <c r="L1425" t="n">
        <v>4</v>
      </c>
      <c r="M1425">
        <f>VLOOKUP(D1425,State_Lookup!$A$2:$B$28,2,FALSE)</f>
        <v/>
      </c>
    </row>
    <row r="1426">
      <c r="A1426" t="inlineStr">
        <is>
          <t>956fa289d4963732b9c806fcc3eb3d57</t>
        </is>
      </c>
      <c r="B1426" t="inlineStr">
        <is>
          <t>2017-10-08</t>
        </is>
      </c>
      <c r="C1426" t="inlineStr">
        <is>
          <t>2017-10</t>
        </is>
      </c>
      <c r="D1426" t="inlineStr">
        <is>
          <t>RJ</t>
        </is>
      </c>
      <c r="E1426" t="inlineStr">
        <is>
          <t>telephony</t>
        </is>
      </c>
      <c r="F1426" t="n">
        <v>1</v>
      </c>
      <c r="G1426" t="n">
        <v>299.99</v>
      </c>
      <c r="H1426" t="n">
        <v>27.38</v>
      </c>
      <c r="I1426" t="inlineStr">
        <is>
          <t>boleto</t>
        </is>
      </c>
      <c r="J1426" t="n">
        <v>23</v>
      </c>
      <c r="K1426" t="inlineStr">
        <is>
          <t>On Time</t>
        </is>
      </c>
      <c r="L1426" t="n">
        <v>5</v>
      </c>
      <c r="M1426">
        <f>VLOOKUP(D1426,State_Lookup!$A$2:$B$28,2,FALSE)</f>
        <v/>
      </c>
    </row>
    <row r="1427">
      <c r="A1427" t="inlineStr">
        <is>
          <t>93bf5323e2c3624fdc56fc6083bc71d4</t>
        </is>
      </c>
      <c r="B1427" t="inlineStr">
        <is>
          <t>2017-10-08</t>
        </is>
      </c>
      <c r="C1427" t="inlineStr">
        <is>
          <t>2017-10</t>
        </is>
      </c>
      <c r="D1427" t="inlineStr">
        <is>
          <t>RS</t>
        </is>
      </c>
      <c r="E1427" t="inlineStr">
        <is>
          <t>toys</t>
        </is>
      </c>
      <c r="F1427" t="n">
        <v>1</v>
      </c>
      <c r="G1427" t="n">
        <v>129.9</v>
      </c>
      <c r="H1427" t="n">
        <v>14.64</v>
      </c>
      <c r="I1427" t="inlineStr">
        <is>
          <t>boleto</t>
        </is>
      </c>
      <c r="J1427" t="n">
        <v>5</v>
      </c>
      <c r="K1427" t="inlineStr">
        <is>
          <t>On Time</t>
        </is>
      </c>
      <c r="L1427" t="n">
        <v>5</v>
      </c>
      <c r="M1427">
        <f>VLOOKUP(D1427,State_Lookup!$A$2:$B$28,2,FALSE)</f>
        <v/>
      </c>
    </row>
    <row r="1428">
      <c r="A1428" t="inlineStr">
        <is>
          <t>a486dfd6ae353f3b1b11f8670c57f60d</t>
        </is>
      </c>
      <c r="B1428" t="inlineStr">
        <is>
          <t>2017-10-08</t>
        </is>
      </c>
      <c r="C1428" t="inlineStr">
        <is>
          <t>2017-10</t>
        </is>
      </c>
      <c r="D1428" t="inlineStr">
        <is>
          <t>SP</t>
        </is>
      </c>
      <c r="E1428" t="inlineStr">
        <is>
          <t>housewares</t>
        </is>
      </c>
      <c r="F1428" t="n">
        <v>1</v>
      </c>
      <c r="G1428" t="n">
        <v>59.9</v>
      </c>
      <c r="H1428" t="n">
        <v>14.13</v>
      </c>
      <c r="I1428" t="inlineStr">
        <is>
          <t>credit_card</t>
        </is>
      </c>
      <c r="J1428" t="n">
        <v>5</v>
      </c>
      <c r="K1428" t="inlineStr">
        <is>
          <t>On Time</t>
        </is>
      </c>
      <c r="L1428" t="n">
        <v>3</v>
      </c>
      <c r="M1428">
        <f>VLOOKUP(D1428,State_Lookup!$A$2:$B$28,2,FALSE)</f>
        <v/>
      </c>
    </row>
    <row r="1429">
      <c r="A1429" t="inlineStr">
        <is>
          <t>71a378f8b8ef5f17a1518d5bf92f57c4</t>
        </is>
      </c>
      <c r="B1429" t="inlineStr">
        <is>
          <t>2017-10-09</t>
        </is>
      </c>
      <c r="C1429" t="inlineStr">
        <is>
          <t>2017-10</t>
        </is>
      </c>
      <c r="D1429" t="inlineStr">
        <is>
          <t>BA</t>
        </is>
      </c>
      <c r="E1429" t="inlineStr">
        <is>
          <t>auto</t>
        </is>
      </c>
      <c r="F1429" t="n">
        <v>1</v>
      </c>
      <c r="G1429" t="n">
        <v>117.48</v>
      </c>
      <c r="H1429" t="n">
        <v>17.26</v>
      </c>
      <c r="I1429" t="inlineStr">
        <is>
          <t>boleto</t>
        </is>
      </c>
      <c r="J1429" t="n">
        <v>15</v>
      </c>
      <c r="K1429" t="inlineStr">
        <is>
          <t>On Time</t>
        </is>
      </c>
      <c r="L1429" t="n">
        <v>4</v>
      </c>
      <c r="M1429">
        <f>VLOOKUP(D1429,State_Lookup!$A$2:$B$28,2,FALSE)</f>
        <v/>
      </c>
    </row>
    <row r="1430">
      <c r="A1430" t="inlineStr">
        <is>
          <t>fd4bcae925b879102eb780d2bfc495a8</t>
        </is>
      </c>
      <c r="B1430" t="inlineStr">
        <is>
          <t>2017-10-09</t>
        </is>
      </c>
      <c r="C1430" t="inlineStr">
        <is>
          <t>2017-10</t>
        </is>
      </c>
      <c r="D1430" t="inlineStr">
        <is>
          <t>SP</t>
        </is>
      </c>
      <c r="E1430" t="inlineStr">
        <is>
          <t>computers_accessories</t>
        </is>
      </c>
      <c r="F1430" t="n">
        <v>1</v>
      </c>
      <c r="G1430" t="n">
        <v>399.5</v>
      </c>
      <c r="H1430" t="n">
        <v>15.82</v>
      </c>
      <c r="I1430" t="inlineStr">
        <is>
          <t>boleto</t>
        </is>
      </c>
      <c r="J1430" t="n">
        <v>10</v>
      </c>
      <c r="K1430" t="inlineStr">
        <is>
          <t>On Time</t>
        </is>
      </c>
      <c r="L1430" t="n">
        <v>5</v>
      </c>
      <c r="M1430">
        <f>VLOOKUP(D1430,State_Lookup!$A$2:$B$28,2,FALSE)</f>
        <v/>
      </c>
    </row>
    <row r="1431">
      <c r="A1431" t="inlineStr">
        <is>
          <t>561d2ce55a3b6c040a6ba77fa5428056</t>
        </is>
      </c>
      <c r="B1431" t="inlineStr">
        <is>
          <t>2017-10-09</t>
        </is>
      </c>
      <c r="C1431" t="inlineStr">
        <is>
          <t>2017-10</t>
        </is>
      </c>
      <c r="D1431" t="inlineStr">
        <is>
          <t>RJ</t>
        </is>
      </c>
      <c r="E1431" t="inlineStr">
        <is>
          <t>perfumery</t>
        </is>
      </c>
      <c r="F1431" t="n">
        <v>1</v>
      </c>
      <c r="G1431" t="n">
        <v>75.90000000000001</v>
      </c>
      <c r="H1431" t="n">
        <v>14.28</v>
      </c>
      <c r="I1431" t="inlineStr">
        <is>
          <t>boleto</t>
        </is>
      </c>
      <c r="J1431" t="n">
        <v>36</v>
      </c>
      <c r="K1431" t="inlineStr">
        <is>
          <t>On Time</t>
        </is>
      </c>
      <c r="L1431" t="n">
        <v>1</v>
      </c>
      <c r="M1431">
        <f>VLOOKUP(D1431,State_Lookup!$A$2:$B$28,2,FALSE)</f>
        <v/>
      </c>
    </row>
    <row r="1432">
      <c r="A1432" t="inlineStr">
        <is>
          <t>be92e1caeb7ca0fd9ec8a0db83c1c7cc</t>
        </is>
      </c>
      <c r="B1432" t="inlineStr">
        <is>
          <t>2017-10-09</t>
        </is>
      </c>
      <c r="C1432" t="inlineStr">
        <is>
          <t>2017-10</t>
        </is>
      </c>
      <c r="D1432" t="inlineStr">
        <is>
          <t>RS</t>
        </is>
      </c>
      <c r="E1432" t="inlineStr">
        <is>
          <t>computers_accessories</t>
        </is>
      </c>
      <c r="F1432" t="n">
        <v>1</v>
      </c>
      <c r="G1432" t="n">
        <v>119</v>
      </c>
      <c r="H1432" t="n">
        <v>13.85</v>
      </c>
      <c r="I1432" t="inlineStr">
        <is>
          <t>credit_card</t>
        </is>
      </c>
      <c r="J1432" t="n">
        <v>14</v>
      </c>
      <c r="K1432" t="inlineStr">
        <is>
          <t>On Time</t>
        </is>
      </c>
      <c r="L1432" t="n">
        <v>4</v>
      </c>
      <c r="M1432">
        <f>VLOOKUP(D1432,State_Lookup!$A$2:$B$28,2,FALSE)</f>
        <v/>
      </c>
    </row>
    <row r="1433">
      <c r="A1433" t="inlineStr">
        <is>
          <t>30eb68f1adec947261593a874308f991</t>
        </is>
      </c>
      <c r="B1433" t="inlineStr">
        <is>
          <t>2017-10-09</t>
        </is>
      </c>
      <c r="C1433" t="inlineStr">
        <is>
          <t>2017-10</t>
        </is>
      </c>
      <c r="D1433" t="inlineStr">
        <is>
          <t>DF</t>
        </is>
      </c>
      <c r="E1433" t="inlineStr">
        <is>
          <t>home_appliances</t>
        </is>
      </c>
      <c r="F1433" t="n">
        <v>1</v>
      </c>
      <c r="G1433" t="n">
        <v>699</v>
      </c>
      <c r="H1433" t="n">
        <v>57.49</v>
      </c>
      <c r="I1433" t="inlineStr">
        <is>
          <t>credit_card</t>
        </is>
      </c>
      <c r="J1433" t="n">
        <v>22</v>
      </c>
      <c r="K1433" t="inlineStr">
        <is>
          <t>Late</t>
        </is>
      </c>
      <c r="L1433" t="n">
        <v>5</v>
      </c>
      <c r="M1433">
        <f>VLOOKUP(D1433,State_Lookup!$A$2:$B$28,2,FALSE)</f>
        <v/>
      </c>
    </row>
    <row r="1434">
      <c r="A1434" t="inlineStr">
        <is>
          <t>f7b820ea870eadff426970af299e9384</t>
        </is>
      </c>
      <c r="B1434" t="inlineStr">
        <is>
          <t>2017-10-09</t>
        </is>
      </c>
      <c r="C1434" t="inlineStr">
        <is>
          <t>2017-10</t>
        </is>
      </c>
      <c r="D1434" t="inlineStr">
        <is>
          <t>RJ</t>
        </is>
      </c>
      <c r="E1434" t="inlineStr">
        <is>
          <t>home_construction</t>
        </is>
      </c>
      <c r="F1434" t="n">
        <v>2</v>
      </c>
      <c r="G1434" t="n">
        <v>179.98</v>
      </c>
      <c r="H1434" t="n">
        <v>33.76</v>
      </c>
      <c r="I1434" t="inlineStr">
        <is>
          <t>credit_card</t>
        </is>
      </c>
      <c r="J1434" t="n">
        <v>7</v>
      </c>
      <c r="K1434" t="inlineStr">
        <is>
          <t>On Time</t>
        </is>
      </c>
      <c r="L1434" t="n">
        <v>5</v>
      </c>
      <c r="M1434">
        <f>VLOOKUP(D1434,State_Lookup!$A$2:$B$28,2,FALSE)</f>
        <v/>
      </c>
    </row>
    <row r="1435">
      <c r="A1435" t="inlineStr">
        <is>
          <t>da00a701a6b06de5995ee998ae82ce43</t>
        </is>
      </c>
      <c r="B1435" t="inlineStr">
        <is>
          <t>2017-10-09</t>
        </is>
      </c>
      <c r="C1435" t="inlineStr">
        <is>
          <t>2017-10</t>
        </is>
      </c>
      <c r="D1435" t="inlineStr">
        <is>
          <t>MG</t>
        </is>
      </c>
      <c r="E1435" t="inlineStr">
        <is>
          <t>telephony</t>
        </is>
      </c>
      <c r="F1435" t="n">
        <v>1</v>
      </c>
      <c r="G1435" t="n">
        <v>35</v>
      </c>
      <c r="H1435" t="n">
        <v>15.1</v>
      </c>
      <c r="I1435" t="inlineStr">
        <is>
          <t>credit_card</t>
        </is>
      </c>
      <c r="J1435" t="n">
        <v>17</v>
      </c>
      <c r="K1435" t="inlineStr">
        <is>
          <t>Late</t>
        </is>
      </c>
      <c r="L1435" t="n">
        <v>5</v>
      </c>
      <c r="M1435">
        <f>VLOOKUP(D1435,State_Lookup!$A$2:$B$28,2,FALSE)</f>
        <v/>
      </c>
    </row>
    <row r="1436">
      <c r="A1436" t="inlineStr">
        <is>
          <t>ed9f2f1d49ae779e0d1953d6197fbe43</t>
        </is>
      </c>
      <c r="B1436" t="inlineStr">
        <is>
          <t>2017-10-09</t>
        </is>
      </c>
      <c r="C1436" t="inlineStr">
        <is>
          <t>2017-10</t>
        </is>
      </c>
      <c r="D1436" t="inlineStr">
        <is>
          <t>SC</t>
        </is>
      </c>
      <c r="E1436" t="inlineStr">
        <is>
          <t>baby</t>
        </is>
      </c>
      <c r="F1436" t="n">
        <v>1</v>
      </c>
      <c r="G1436" t="n">
        <v>58.9</v>
      </c>
      <c r="H1436" t="n">
        <v>18</v>
      </c>
      <c r="I1436" t="inlineStr">
        <is>
          <t>boleto</t>
        </is>
      </c>
      <c r="J1436" t="n">
        <v>11</v>
      </c>
      <c r="K1436" t="inlineStr">
        <is>
          <t>On Time</t>
        </is>
      </c>
      <c r="L1436" t="n">
        <v>1</v>
      </c>
      <c r="M1436">
        <f>VLOOKUP(D1436,State_Lookup!$A$2:$B$28,2,FALSE)</f>
        <v/>
      </c>
    </row>
    <row r="1437">
      <c r="A1437" t="inlineStr">
        <is>
          <t>8ab12616ff9cf79ce869bcfd0c7dec3f</t>
        </is>
      </c>
      <c r="B1437" t="inlineStr">
        <is>
          <t>2017-10-09</t>
        </is>
      </c>
      <c r="C1437" t="inlineStr">
        <is>
          <t>2017-10</t>
        </is>
      </c>
      <c r="D1437" t="inlineStr">
        <is>
          <t>SP</t>
        </is>
      </c>
      <c r="E1437" t="inlineStr">
        <is>
          <t>pet_shop</t>
        </is>
      </c>
      <c r="F1437" t="n">
        <v>1</v>
      </c>
      <c r="G1437" t="n">
        <v>89.90000000000001</v>
      </c>
      <c r="H1437" t="n">
        <v>29.42</v>
      </c>
      <c r="I1437" t="inlineStr">
        <is>
          <t>credit_card</t>
        </is>
      </c>
      <c r="J1437" t="n">
        <v>10</v>
      </c>
      <c r="K1437" t="inlineStr">
        <is>
          <t>On Time</t>
        </is>
      </c>
      <c r="L1437" t="n">
        <v>4</v>
      </c>
      <c r="M1437">
        <f>VLOOKUP(D1437,State_Lookup!$A$2:$B$28,2,FALSE)</f>
        <v/>
      </c>
    </row>
    <row r="1438">
      <c r="A1438" t="inlineStr">
        <is>
          <t>232a2ccad012f3cb2ebe4ea479e0b1af</t>
        </is>
      </c>
      <c r="B1438" t="inlineStr">
        <is>
          <t>2017-10-09</t>
        </is>
      </c>
      <c r="C1438" t="inlineStr">
        <is>
          <t>2017-10</t>
        </is>
      </c>
      <c r="D1438" t="inlineStr">
        <is>
          <t>RJ</t>
        </is>
      </c>
      <c r="E1438" t="inlineStr">
        <is>
          <t>telephony</t>
        </is>
      </c>
      <c r="F1438" t="n">
        <v>1</v>
      </c>
      <c r="G1438" t="n">
        <v>19.99</v>
      </c>
      <c r="H1438" t="n">
        <v>14.1</v>
      </c>
      <c r="I1438" t="inlineStr">
        <is>
          <t>boleto</t>
        </is>
      </c>
      <c r="J1438" t="n">
        <v>8</v>
      </c>
      <c r="K1438" t="inlineStr">
        <is>
          <t>On Time</t>
        </is>
      </c>
      <c r="L1438" t="n">
        <v>5</v>
      </c>
      <c r="M1438">
        <f>VLOOKUP(D1438,State_Lookup!$A$2:$B$28,2,FALSE)</f>
        <v/>
      </c>
    </row>
    <row r="1439">
      <c r="A1439" t="inlineStr">
        <is>
          <t>e8e5d972d73d38807a474519f2f23658</t>
        </is>
      </c>
      <c r="B1439" t="inlineStr">
        <is>
          <t>2017-10-10</t>
        </is>
      </c>
      <c r="C1439" t="inlineStr">
        <is>
          <t>2017-10</t>
        </is>
      </c>
      <c r="D1439" t="inlineStr">
        <is>
          <t>RJ</t>
        </is>
      </c>
      <c r="E1439" t="inlineStr">
        <is>
          <t>cool_stuff</t>
        </is>
      </c>
      <c r="F1439" t="n">
        <v>1</v>
      </c>
      <c r="G1439" t="n">
        <v>99.90000000000001</v>
      </c>
      <c r="H1439" t="n">
        <v>15.46</v>
      </c>
      <c r="I1439" t="inlineStr">
        <is>
          <t>credit_card</t>
        </is>
      </c>
      <c r="J1439" t="n">
        <v>6</v>
      </c>
      <c r="K1439" t="inlineStr">
        <is>
          <t>On Time</t>
        </is>
      </c>
      <c r="L1439" t="n">
        <v>4</v>
      </c>
      <c r="M1439">
        <f>VLOOKUP(D1439,State_Lookup!$A$2:$B$28,2,FALSE)</f>
        <v/>
      </c>
    </row>
    <row r="1440">
      <c r="A1440" t="inlineStr">
        <is>
          <t>680d7235e89a19239f2562d940e7c86d</t>
        </is>
      </c>
      <c r="B1440" t="inlineStr">
        <is>
          <t>2017-10-10</t>
        </is>
      </c>
      <c r="C1440" t="inlineStr">
        <is>
          <t>2017-10</t>
        </is>
      </c>
      <c r="D1440" t="inlineStr">
        <is>
          <t>CE</t>
        </is>
      </c>
      <c r="E1440" t="inlineStr">
        <is>
          <t>health_beauty</t>
        </is>
      </c>
      <c r="F1440" t="n">
        <v>1</v>
      </c>
      <c r="G1440" t="n">
        <v>359</v>
      </c>
      <c r="H1440" t="n">
        <v>27.79</v>
      </c>
      <c r="I1440" t="inlineStr">
        <is>
          <t>credit_card</t>
        </is>
      </c>
      <c r="J1440" t="n">
        <v>24</v>
      </c>
      <c r="K1440" t="inlineStr">
        <is>
          <t>On Time</t>
        </is>
      </c>
      <c r="L1440" t="n">
        <v>5</v>
      </c>
      <c r="M1440">
        <f>VLOOKUP(D1440,State_Lookup!$A$2:$B$28,2,FALSE)</f>
        <v/>
      </c>
    </row>
    <row r="1441">
      <c r="A1441" t="inlineStr">
        <is>
          <t>f71548efb94082ec81596149dba6bc12</t>
        </is>
      </c>
      <c r="B1441" t="inlineStr">
        <is>
          <t>2017-10-10</t>
        </is>
      </c>
      <c r="C1441" t="inlineStr">
        <is>
          <t>2017-10</t>
        </is>
      </c>
      <c r="D1441" t="inlineStr">
        <is>
          <t>RJ</t>
        </is>
      </c>
      <c r="E1441" t="inlineStr">
        <is>
          <t>luggage_accessories</t>
        </is>
      </c>
      <c r="F1441" t="n">
        <v>1</v>
      </c>
      <c r="G1441" t="n">
        <v>43.9</v>
      </c>
      <c r="H1441" t="n">
        <v>16.11</v>
      </c>
      <c r="I1441" t="inlineStr">
        <is>
          <t>credit_card</t>
        </is>
      </c>
      <c r="J1441" t="n">
        <v>7</v>
      </c>
      <c r="K1441" t="inlineStr">
        <is>
          <t>On Time</t>
        </is>
      </c>
      <c r="L1441" t="n">
        <v>5</v>
      </c>
      <c r="M1441">
        <f>VLOOKUP(D1441,State_Lookup!$A$2:$B$28,2,FALSE)</f>
        <v/>
      </c>
    </row>
    <row r="1442">
      <c r="A1442" t="inlineStr">
        <is>
          <t>e23115216f6b79bda05036f94744a2dd</t>
        </is>
      </c>
      <c r="B1442" t="inlineStr">
        <is>
          <t>2017-10-10</t>
        </is>
      </c>
      <c r="C1442" t="inlineStr">
        <is>
          <t>2017-10</t>
        </is>
      </c>
      <c r="D1442" t="inlineStr">
        <is>
          <t>SP</t>
        </is>
      </c>
      <c r="E1442" t="inlineStr">
        <is>
          <t>housewares</t>
        </is>
      </c>
      <c r="F1442" t="n">
        <v>1</v>
      </c>
      <c r="G1442" t="n">
        <v>44.9</v>
      </c>
      <c r="H1442" t="n">
        <v>11.73</v>
      </c>
      <c r="I1442" t="inlineStr">
        <is>
          <t>boleto</t>
        </is>
      </c>
      <c r="J1442" t="n">
        <v>16</v>
      </c>
      <c r="K1442" t="inlineStr">
        <is>
          <t>Late</t>
        </is>
      </c>
      <c r="L1442" t="n">
        <v>4</v>
      </c>
      <c r="M1442">
        <f>VLOOKUP(D1442,State_Lookup!$A$2:$B$28,2,FALSE)</f>
        <v/>
      </c>
    </row>
    <row r="1443">
      <c r="A1443" t="inlineStr">
        <is>
          <t>3aa7ede1b23edf1284d91439d5ccaadc</t>
        </is>
      </c>
      <c r="B1443" t="inlineStr">
        <is>
          <t>2017-10-11</t>
        </is>
      </c>
      <c r="C1443" t="inlineStr">
        <is>
          <t>2017-10</t>
        </is>
      </c>
      <c r="D1443" t="inlineStr">
        <is>
          <t>PR</t>
        </is>
      </c>
      <c r="E1443" t="inlineStr">
        <is>
          <t>housewares</t>
        </is>
      </c>
      <c r="F1443" t="n">
        <v>2</v>
      </c>
      <c r="G1443" t="n">
        <v>178.9</v>
      </c>
      <c r="H1443" t="n">
        <v>34.74</v>
      </c>
      <c r="I1443" t="inlineStr">
        <is>
          <t>credit_card</t>
        </is>
      </c>
      <c r="J1443" t="n">
        <v>6</v>
      </c>
      <c r="K1443" t="inlineStr">
        <is>
          <t>On Time</t>
        </is>
      </c>
      <c r="L1443" t="n">
        <v>1</v>
      </c>
      <c r="M1443">
        <f>VLOOKUP(D1443,State_Lookup!$A$2:$B$28,2,FALSE)</f>
        <v/>
      </c>
    </row>
    <row r="1444">
      <c r="A1444" t="inlineStr">
        <is>
          <t>84e18f4b5b541150af97e94f3cc0b2a7</t>
        </is>
      </c>
      <c r="B1444" t="inlineStr">
        <is>
          <t>2017-10-11</t>
        </is>
      </c>
      <c r="C1444" t="inlineStr">
        <is>
          <t>2017-10</t>
        </is>
      </c>
      <c r="D1444" t="inlineStr">
        <is>
          <t>MA</t>
        </is>
      </c>
      <c r="E1444" t="inlineStr">
        <is>
          <t>telephony</t>
        </is>
      </c>
      <c r="F1444" t="n">
        <v>2</v>
      </c>
      <c r="G1444" t="n">
        <v>39.8</v>
      </c>
      <c r="H1444" t="n">
        <v>42.3</v>
      </c>
      <c r="I1444" t="inlineStr">
        <is>
          <t>credit_card</t>
        </is>
      </c>
      <c r="J1444" t="n">
        <v>26</v>
      </c>
      <c r="K1444" t="inlineStr">
        <is>
          <t>Late</t>
        </is>
      </c>
      <c r="L1444" t="n">
        <v>1</v>
      </c>
      <c r="M1444">
        <f>VLOOKUP(D1444,State_Lookup!$A$2:$B$28,2,FALSE)</f>
        <v/>
      </c>
    </row>
    <row r="1445">
      <c r="A1445" t="inlineStr">
        <is>
          <t>91501d5292dbe67f25d3c8867cd67f44</t>
        </is>
      </c>
      <c r="B1445" t="inlineStr">
        <is>
          <t>2017-10-11</t>
        </is>
      </c>
      <c r="C1445" t="inlineStr">
        <is>
          <t>2017-10</t>
        </is>
      </c>
      <c r="D1445" t="inlineStr">
        <is>
          <t>SC</t>
        </is>
      </c>
      <c r="E1445" t="inlineStr">
        <is>
          <t>telephony</t>
        </is>
      </c>
      <c r="F1445" t="n">
        <v>1</v>
      </c>
      <c r="G1445" t="n">
        <v>17.99</v>
      </c>
      <c r="H1445" t="n">
        <v>16.11</v>
      </c>
      <c r="I1445" t="inlineStr">
        <is>
          <t>credit_card</t>
        </is>
      </c>
      <c r="J1445" t="n">
        <v>9</v>
      </c>
      <c r="K1445" t="inlineStr">
        <is>
          <t>On Time</t>
        </is>
      </c>
      <c r="L1445" t="n">
        <v>5</v>
      </c>
      <c r="M1445">
        <f>VLOOKUP(D1445,State_Lookup!$A$2:$B$28,2,FALSE)</f>
        <v/>
      </c>
    </row>
    <row r="1446">
      <c r="A1446" t="inlineStr">
        <is>
          <t>0b98d69e5b550f6727dc0beb88d1694b</t>
        </is>
      </c>
      <c r="B1446" t="inlineStr">
        <is>
          <t>2017-10-11</t>
        </is>
      </c>
      <c r="C1446" t="inlineStr">
        <is>
          <t>2017-10</t>
        </is>
      </c>
      <c r="D1446" t="inlineStr">
        <is>
          <t>SP</t>
        </is>
      </c>
      <c r="E1446" t="inlineStr">
        <is>
          <t>toys</t>
        </is>
      </c>
      <c r="F1446" t="n">
        <v>1</v>
      </c>
      <c r="G1446" t="n">
        <v>329.9</v>
      </c>
      <c r="H1446" t="n">
        <v>67.40000000000001</v>
      </c>
      <c r="I1446" t="inlineStr">
        <is>
          <t>credit_card</t>
        </is>
      </c>
      <c r="J1446" t="n">
        <v>13</v>
      </c>
      <c r="K1446" t="inlineStr">
        <is>
          <t>On Time</t>
        </is>
      </c>
      <c r="L1446" t="n">
        <v>5</v>
      </c>
      <c r="M1446">
        <f>VLOOKUP(D1446,State_Lookup!$A$2:$B$28,2,FALSE)</f>
        <v/>
      </c>
    </row>
    <row r="1447">
      <c r="A1447" t="inlineStr">
        <is>
          <t>d2edbdf7b05aec925d270f089e79443e</t>
        </is>
      </c>
      <c r="B1447" t="inlineStr">
        <is>
          <t>2017-10-11</t>
        </is>
      </c>
      <c r="C1447" t="inlineStr">
        <is>
          <t>2017-10</t>
        </is>
      </c>
      <c r="D1447" t="inlineStr">
        <is>
          <t>SP</t>
        </is>
      </c>
      <c r="E1447" t="inlineStr">
        <is>
          <t>computers_accessories</t>
        </is>
      </c>
      <c r="F1447" t="n">
        <v>2</v>
      </c>
      <c r="G1447" t="n">
        <v>351.81</v>
      </c>
      <c r="H1447" t="n">
        <v>21.3</v>
      </c>
      <c r="I1447" t="inlineStr">
        <is>
          <t>credit_card</t>
        </is>
      </c>
      <c r="J1447" t="n">
        <v>9</v>
      </c>
      <c r="K1447" t="inlineStr">
        <is>
          <t>On Time</t>
        </is>
      </c>
      <c r="L1447" t="inlineStr"/>
      <c r="M1447">
        <f>VLOOKUP(D1447,State_Lookup!$A$2:$B$28,2,FALSE)</f>
        <v/>
      </c>
    </row>
    <row r="1448">
      <c r="A1448" t="inlineStr">
        <is>
          <t>2cc93fd6f68e6cfcb968814de8a14296</t>
        </is>
      </c>
      <c r="B1448" t="inlineStr">
        <is>
          <t>2017-10-11</t>
        </is>
      </c>
      <c r="C1448" t="inlineStr">
        <is>
          <t>2017-10</t>
        </is>
      </c>
      <c r="D1448" t="inlineStr">
        <is>
          <t>SP</t>
        </is>
      </c>
      <c r="E1448" t="inlineStr">
        <is>
          <t>unknown</t>
        </is>
      </c>
      <c r="F1448" t="n">
        <v>1</v>
      </c>
      <c r="G1448" t="n">
        <v>1989</v>
      </c>
      <c r="H1448" t="n">
        <v>34.58</v>
      </c>
      <c r="I1448" t="inlineStr">
        <is>
          <t>credit_card</t>
        </is>
      </c>
      <c r="J1448" t="inlineStr"/>
      <c r="K1448" t="inlineStr">
        <is>
          <t>Not Delivered</t>
        </is>
      </c>
      <c r="L1448" t="n">
        <v>4</v>
      </c>
      <c r="M1448">
        <f>VLOOKUP(D1448,State_Lookup!$A$2:$B$28,2,FALSE)</f>
        <v/>
      </c>
    </row>
    <row r="1449">
      <c r="A1449" t="inlineStr">
        <is>
          <t>848a8ddc7852a84bc58017be865b58f4</t>
        </is>
      </c>
      <c r="B1449" t="inlineStr">
        <is>
          <t>2017-10-11</t>
        </is>
      </c>
      <c r="C1449" t="inlineStr">
        <is>
          <t>2017-10</t>
        </is>
      </c>
      <c r="D1449" t="inlineStr">
        <is>
          <t>RS</t>
        </is>
      </c>
      <c r="E1449" t="inlineStr">
        <is>
          <t>furniture_decor</t>
        </is>
      </c>
      <c r="F1449" t="n">
        <v>1</v>
      </c>
      <c r="G1449" t="n">
        <v>95.90000000000001</v>
      </c>
      <c r="H1449" t="n">
        <v>21.16</v>
      </c>
      <c r="I1449" t="inlineStr">
        <is>
          <t>credit_card</t>
        </is>
      </c>
      <c r="J1449" t="n">
        <v>9</v>
      </c>
      <c r="K1449" t="inlineStr">
        <is>
          <t>On Time</t>
        </is>
      </c>
      <c r="L1449" t="n">
        <v>5</v>
      </c>
      <c r="M1449">
        <f>VLOOKUP(D1449,State_Lookup!$A$2:$B$28,2,FALSE)</f>
        <v/>
      </c>
    </row>
    <row r="1450">
      <c r="A1450" t="inlineStr">
        <is>
          <t>c79a29817509b8122a3b3c3a24414866</t>
        </is>
      </c>
      <c r="B1450" t="inlineStr">
        <is>
          <t>2017-10-11</t>
        </is>
      </c>
      <c r="C1450" t="inlineStr">
        <is>
          <t>2017-10</t>
        </is>
      </c>
      <c r="D1450" t="inlineStr">
        <is>
          <t>SP</t>
        </is>
      </c>
      <c r="E1450" t="inlineStr">
        <is>
          <t>sports_leisure</t>
        </is>
      </c>
      <c r="F1450" t="n">
        <v>1</v>
      </c>
      <c r="G1450" t="n">
        <v>92.90000000000001</v>
      </c>
      <c r="H1450" t="n">
        <v>14.38</v>
      </c>
      <c r="I1450" t="inlineStr">
        <is>
          <t>credit_card</t>
        </is>
      </c>
      <c r="J1450" t="n">
        <v>6</v>
      </c>
      <c r="K1450" t="inlineStr">
        <is>
          <t>On Time</t>
        </is>
      </c>
      <c r="L1450" t="n">
        <v>5</v>
      </c>
      <c r="M1450">
        <f>VLOOKUP(D1450,State_Lookup!$A$2:$B$28,2,FALSE)</f>
        <v/>
      </c>
    </row>
    <row r="1451">
      <c r="A1451" t="inlineStr">
        <is>
          <t>d6b77bc6a9aaaf549d60d3f5ae45fef7</t>
        </is>
      </c>
      <c r="B1451" t="inlineStr">
        <is>
          <t>2017-10-12</t>
        </is>
      </c>
      <c r="C1451" t="inlineStr">
        <is>
          <t>2017-10</t>
        </is>
      </c>
      <c r="D1451" t="inlineStr">
        <is>
          <t>MG</t>
        </is>
      </c>
      <c r="E1451" t="inlineStr">
        <is>
          <t>toys</t>
        </is>
      </c>
      <c r="F1451" t="n">
        <v>1</v>
      </c>
      <c r="G1451" t="n">
        <v>94.98999999999999</v>
      </c>
      <c r="H1451" t="n">
        <v>15.41</v>
      </c>
      <c r="I1451" t="inlineStr">
        <is>
          <t>voucher</t>
        </is>
      </c>
      <c r="J1451" t="n">
        <v>9</v>
      </c>
      <c r="K1451" t="inlineStr">
        <is>
          <t>On Time</t>
        </is>
      </c>
      <c r="L1451" t="n">
        <v>5</v>
      </c>
      <c r="M1451">
        <f>VLOOKUP(D1451,State_Lookup!$A$2:$B$28,2,FALSE)</f>
        <v/>
      </c>
    </row>
    <row r="1452">
      <c r="A1452" t="inlineStr">
        <is>
          <t>b21f839962bbc030f2dbab44e96b92bb</t>
        </is>
      </c>
      <c r="B1452" t="inlineStr">
        <is>
          <t>2017-10-12</t>
        </is>
      </c>
      <c r="C1452" t="inlineStr">
        <is>
          <t>2017-10</t>
        </is>
      </c>
      <c r="D1452" t="inlineStr">
        <is>
          <t>SP</t>
        </is>
      </c>
      <c r="E1452" t="inlineStr">
        <is>
          <t>perfumery</t>
        </is>
      </c>
      <c r="F1452" t="n">
        <v>1</v>
      </c>
      <c r="G1452" t="n">
        <v>56.99</v>
      </c>
      <c r="H1452" t="n">
        <v>8.720000000000001</v>
      </c>
      <c r="I1452" t="inlineStr">
        <is>
          <t>credit_card</t>
        </is>
      </c>
      <c r="J1452" t="n">
        <v>7</v>
      </c>
      <c r="K1452" t="inlineStr">
        <is>
          <t>On Time</t>
        </is>
      </c>
      <c r="L1452" t="n">
        <v>5</v>
      </c>
      <c r="M1452">
        <f>VLOOKUP(D1452,State_Lookup!$A$2:$B$28,2,FALSE)</f>
        <v/>
      </c>
    </row>
    <row r="1453">
      <c r="A1453" t="inlineStr">
        <is>
          <t>e8608de908926d0a19ad92ae1af61175</t>
        </is>
      </c>
      <c r="B1453" t="inlineStr">
        <is>
          <t>2017-10-12</t>
        </is>
      </c>
      <c r="C1453" t="inlineStr">
        <is>
          <t>2017-10</t>
        </is>
      </c>
      <c r="D1453" t="inlineStr">
        <is>
          <t>SP</t>
        </is>
      </c>
      <c r="E1453" t="inlineStr">
        <is>
          <t>unknown</t>
        </is>
      </c>
      <c r="F1453" t="n">
        <v>2</v>
      </c>
      <c r="G1453" t="n">
        <v>112</v>
      </c>
      <c r="H1453" t="n">
        <v>16.54</v>
      </c>
      <c r="I1453" t="inlineStr">
        <is>
          <t>credit_card</t>
        </is>
      </c>
      <c r="J1453" t="n">
        <v>4</v>
      </c>
      <c r="K1453" t="inlineStr">
        <is>
          <t>On Time</t>
        </is>
      </c>
      <c r="L1453" t="n">
        <v>5</v>
      </c>
      <c r="M1453">
        <f>VLOOKUP(D1453,State_Lookup!$A$2:$B$28,2,FALSE)</f>
        <v/>
      </c>
    </row>
    <row r="1454">
      <c r="A1454" t="inlineStr">
        <is>
          <t>6404e2bea6a36a8fd5bf64660a5e5187</t>
        </is>
      </c>
      <c r="B1454" t="inlineStr">
        <is>
          <t>2017-10-12</t>
        </is>
      </c>
      <c r="C1454" t="inlineStr">
        <is>
          <t>2017-10</t>
        </is>
      </c>
      <c r="D1454" t="inlineStr">
        <is>
          <t>PR</t>
        </is>
      </c>
      <c r="E1454" t="inlineStr">
        <is>
          <t>fashion_male_clothing</t>
        </is>
      </c>
      <c r="F1454" t="n">
        <v>1</v>
      </c>
      <c r="G1454" t="n">
        <v>139.9</v>
      </c>
      <c r="H1454" t="n">
        <v>15.73</v>
      </c>
      <c r="I1454" t="inlineStr">
        <is>
          <t>credit_card</t>
        </is>
      </c>
      <c r="J1454" t="n">
        <v>13</v>
      </c>
      <c r="K1454" t="inlineStr">
        <is>
          <t>On Time</t>
        </is>
      </c>
      <c r="L1454" t="n">
        <v>5</v>
      </c>
      <c r="M1454">
        <f>VLOOKUP(D1454,State_Lookup!$A$2:$B$28,2,FALSE)</f>
        <v/>
      </c>
    </row>
    <row r="1455">
      <c r="A1455" t="inlineStr">
        <is>
          <t>f19584f0d2c7cbccc05621c23dee5cb3</t>
        </is>
      </c>
      <c r="B1455" t="inlineStr">
        <is>
          <t>2017-10-12</t>
        </is>
      </c>
      <c r="C1455" t="inlineStr">
        <is>
          <t>2017-10</t>
        </is>
      </c>
      <c r="D1455" t="inlineStr">
        <is>
          <t>SP</t>
        </is>
      </c>
      <c r="E1455" t="inlineStr">
        <is>
          <t>housewares</t>
        </is>
      </c>
      <c r="F1455" t="n">
        <v>1</v>
      </c>
      <c r="G1455" t="n">
        <v>81.98999999999999</v>
      </c>
      <c r="H1455" t="n">
        <v>12.91</v>
      </c>
      <c r="I1455" t="inlineStr">
        <is>
          <t>credit_card</t>
        </is>
      </c>
      <c r="J1455" t="n">
        <v>19</v>
      </c>
      <c r="K1455" t="inlineStr">
        <is>
          <t>On Time</t>
        </is>
      </c>
      <c r="L1455" t="n">
        <v>5</v>
      </c>
      <c r="M1455">
        <f>VLOOKUP(D1455,State_Lookup!$A$2:$B$28,2,FALSE)</f>
        <v/>
      </c>
    </row>
    <row r="1456">
      <c r="A1456" t="inlineStr">
        <is>
          <t>4187736882d8e8b4e374d201151c0fa2</t>
        </is>
      </c>
      <c r="B1456" t="inlineStr">
        <is>
          <t>2017-10-12</t>
        </is>
      </c>
      <c r="C1456" t="inlineStr">
        <is>
          <t>2017-10</t>
        </is>
      </c>
      <c r="D1456" t="inlineStr">
        <is>
          <t>SP</t>
        </is>
      </c>
      <c r="E1456" t="inlineStr">
        <is>
          <t>cool_stuff</t>
        </is>
      </c>
      <c r="F1456" t="n">
        <v>1</v>
      </c>
      <c r="G1456" t="n">
        <v>70.90000000000001</v>
      </c>
      <c r="H1456" t="n">
        <v>26.82</v>
      </c>
      <c r="I1456" t="inlineStr">
        <is>
          <t>credit_card</t>
        </is>
      </c>
      <c r="J1456" t="n">
        <v>8</v>
      </c>
      <c r="K1456" t="inlineStr">
        <is>
          <t>On Time</t>
        </is>
      </c>
      <c r="L1456" t="n">
        <v>4</v>
      </c>
      <c r="M1456">
        <f>VLOOKUP(D1456,State_Lookup!$A$2:$B$28,2,FALSE)</f>
        <v/>
      </c>
    </row>
    <row r="1457">
      <c r="A1457" t="inlineStr">
        <is>
          <t>46347dc54e84dc7863cb5c90cf57a9d3</t>
        </is>
      </c>
      <c r="B1457" t="inlineStr">
        <is>
          <t>2017-10-12</t>
        </is>
      </c>
      <c r="C1457" t="inlineStr">
        <is>
          <t>2017-10</t>
        </is>
      </c>
      <c r="D1457" t="inlineStr">
        <is>
          <t>SP</t>
        </is>
      </c>
      <c r="E1457" t="inlineStr">
        <is>
          <t>luggage_accessories</t>
        </is>
      </c>
      <c r="F1457" t="n">
        <v>1</v>
      </c>
      <c r="G1457" t="n">
        <v>135</v>
      </c>
      <c r="H1457" t="n">
        <v>13.29</v>
      </c>
      <c r="I1457" t="inlineStr">
        <is>
          <t>credit_card</t>
        </is>
      </c>
      <c r="J1457" t="n">
        <v>20</v>
      </c>
      <c r="K1457" t="inlineStr">
        <is>
          <t>Late</t>
        </is>
      </c>
      <c r="L1457" t="n">
        <v>5</v>
      </c>
      <c r="M1457">
        <f>VLOOKUP(D1457,State_Lookup!$A$2:$B$28,2,FALSE)</f>
        <v/>
      </c>
    </row>
    <row r="1458">
      <c r="A1458" t="inlineStr">
        <is>
          <t>7e47240215d1672082248c49887b245a</t>
        </is>
      </c>
      <c r="B1458" t="inlineStr">
        <is>
          <t>2017-10-13</t>
        </is>
      </c>
      <c r="C1458" t="inlineStr">
        <is>
          <t>2017-10</t>
        </is>
      </c>
      <c r="D1458" t="inlineStr">
        <is>
          <t>MG</t>
        </is>
      </c>
      <c r="E1458" t="inlineStr">
        <is>
          <t>furniture_decor</t>
        </is>
      </c>
      <c r="F1458" t="n">
        <v>1</v>
      </c>
      <c r="G1458" t="n">
        <v>212.33</v>
      </c>
      <c r="H1458" t="n">
        <v>82.58</v>
      </c>
      <c r="I1458" t="inlineStr">
        <is>
          <t>boleto</t>
        </is>
      </c>
      <c r="J1458" t="n">
        <v>11</v>
      </c>
      <c r="K1458" t="inlineStr">
        <is>
          <t>On Time</t>
        </is>
      </c>
      <c r="L1458" t="n">
        <v>5</v>
      </c>
      <c r="M1458">
        <f>VLOOKUP(D1458,State_Lookup!$A$2:$B$28,2,FALSE)</f>
        <v/>
      </c>
    </row>
    <row r="1459">
      <c r="A1459" t="inlineStr">
        <is>
          <t>9e7b4dc19aadc8298e2984986d3bf014</t>
        </is>
      </c>
      <c r="B1459" t="inlineStr">
        <is>
          <t>2017-10-13</t>
        </is>
      </c>
      <c r="C1459" t="inlineStr">
        <is>
          <t>2017-10</t>
        </is>
      </c>
      <c r="D1459" t="inlineStr">
        <is>
          <t>PE</t>
        </is>
      </c>
      <c r="E1459" t="inlineStr">
        <is>
          <t>baby</t>
        </is>
      </c>
      <c r="F1459" t="n">
        <v>1</v>
      </c>
      <c r="G1459" t="n">
        <v>159.99</v>
      </c>
      <c r="H1459" t="n">
        <v>33.57</v>
      </c>
      <c r="I1459" t="inlineStr">
        <is>
          <t>credit_card</t>
        </is>
      </c>
      <c r="J1459" t="n">
        <v>67</v>
      </c>
      <c r="K1459" t="inlineStr">
        <is>
          <t>Late</t>
        </is>
      </c>
      <c r="L1459" t="inlineStr"/>
      <c r="M1459">
        <f>VLOOKUP(D1459,State_Lookup!$A$2:$B$28,2,FALSE)</f>
        <v/>
      </c>
    </row>
    <row r="1460">
      <c r="A1460" t="inlineStr">
        <is>
          <t>dd21beb23190fb08c8532bb31cd28b34</t>
        </is>
      </c>
      <c r="B1460" t="inlineStr">
        <is>
          <t>2017-10-13</t>
        </is>
      </c>
      <c r="C1460" t="inlineStr">
        <is>
          <t>2017-10</t>
        </is>
      </c>
      <c r="D1460" t="inlineStr">
        <is>
          <t>DF</t>
        </is>
      </c>
      <c r="E1460" t="inlineStr">
        <is>
          <t>watches_gifts</t>
        </is>
      </c>
      <c r="F1460" t="n">
        <v>1</v>
      </c>
      <c r="G1460" t="n">
        <v>29</v>
      </c>
      <c r="H1460" t="n">
        <v>14.1</v>
      </c>
      <c r="I1460" t="inlineStr">
        <is>
          <t>credit_card</t>
        </is>
      </c>
      <c r="J1460" t="n">
        <v>10</v>
      </c>
      <c r="K1460" t="inlineStr">
        <is>
          <t>On Time</t>
        </is>
      </c>
      <c r="L1460" t="n">
        <v>1</v>
      </c>
      <c r="M1460">
        <f>VLOOKUP(D1460,State_Lookup!$A$2:$B$28,2,FALSE)</f>
        <v/>
      </c>
    </row>
    <row r="1461">
      <c r="A1461" t="inlineStr">
        <is>
          <t>c5132855100a12d63ed4e8ae05f9594d</t>
        </is>
      </c>
      <c r="B1461" t="inlineStr">
        <is>
          <t>2017-10-13</t>
        </is>
      </c>
      <c r="C1461" t="inlineStr">
        <is>
          <t>2017-10</t>
        </is>
      </c>
      <c r="D1461" t="inlineStr">
        <is>
          <t>MG</t>
        </is>
      </c>
      <c r="E1461" t="inlineStr">
        <is>
          <t>furniture_decor</t>
        </is>
      </c>
      <c r="F1461" t="n">
        <v>1</v>
      </c>
      <c r="G1461" t="n">
        <v>119.9</v>
      </c>
      <c r="H1461" t="n">
        <v>20.75</v>
      </c>
      <c r="I1461" t="inlineStr">
        <is>
          <t>boleto</t>
        </is>
      </c>
      <c r="J1461" t="n">
        <v>12</v>
      </c>
      <c r="K1461" t="inlineStr">
        <is>
          <t>On Time</t>
        </is>
      </c>
      <c r="L1461" t="n">
        <v>5</v>
      </c>
      <c r="M1461">
        <f>VLOOKUP(D1461,State_Lookup!$A$2:$B$28,2,FALSE)</f>
        <v/>
      </c>
    </row>
    <row r="1462">
      <c r="A1462" t="inlineStr">
        <is>
          <t>50bc1ac9db5f38b0982adba11e35b948</t>
        </is>
      </c>
      <c r="B1462" t="inlineStr">
        <is>
          <t>2017-10-13</t>
        </is>
      </c>
      <c r="C1462" t="inlineStr">
        <is>
          <t>2017-10</t>
        </is>
      </c>
      <c r="D1462" t="inlineStr">
        <is>
          <t>RJ</t>
        </is>
      </c>
      <c r="E1462" t="inlineStr">
        <is>
          <t>watches_gifts</t>
        </is>
      </c>
      <c r="F1462" t="n">
        <v>1</v>
      </c>
      <c r="G1462" t="n">
        <v>179.99</v>
      </c>
      <c r="H1462" t="n">
        <v>16.01</v>
      </c>
      <c r="I1462" t="inlineStr">
        <is>
          <t>boleto</t>
        </is>
      </c>
      <c r="J1462" t="n">
        <v>24</v>
      </c>
      <c r="K1462" t="inlineStr">
        <is>
          <t>Late</t>
        </is>
      </c>
      <c r="L1462" t="n">
        <v>5</v>
      </c>
      <c r="M1462">
        <f>VLOOKUP(D1462,State_Lookup!$A$2:$B$28,2,FALSE)</f>
        <v/>
      </c>
    </row>
    <row r="1463">
      <c r="A1463" t="inlineStr">
        <is>
          <t>e07d09400c3676a4f529453627ed9460</t>
        </is>
      </c>
      <c r="B1463" t="inlineStr">
        <is>
          <t>2017-10-14</t>
        </is>
      </c>
      <c r="C1463" t="inlineStr">
        <is>
          <t>2017-10</t>
        </is>
      </c>
      <c r="D1463" t="inlineStr">
        <is>
          <t>RJ</t>
        </is>
      </c>
      <c r="E1463" t="inlineStr">
        <is>
          <t>cool_stuff</t>
        </is>
      </c>
      <c r="F1463" t="n">
        <v>1</v>
      </c>
      <c r="G1463" t="n">
        <v>249.9</v>
      </c>
      <c r="H1463" t="n">
        <v>69.20999999999999</v>
      </c>
      <c r="I1463" t="inlineStr">
        <is>
          <t>boleto</t>
        </is>
      </c>
      <c r="J1463" t="n">
        <v>10</v>
      </c>
      <c r="K1463" t="inlineStr">
        <is>
          <t>On Time</t>
        </is>
      </c>
      <c r="L1463" t="n">
        <v>1</v>
      </c>
      <c r="M1463">
        <f>VLOOKUP(D1463,State_Lookup!$A$2:$B$28,2,FALSE)</f>
        <v/>
      </c>
    </row>
    <row r="1464">
      <c r="A1464" t="inlineStr">
        <is>
          <t>62fb68c86804042f32e43982f71ebb1d</t>
        </is>
      </c>
      <c r="B1464" t="inlineStr">
        <is>
          <t>2017-10-14</t>
        </is>
      </c>
      <c r="C1464" t="inlineStr">
        <is>
          <t>2017-10</t>
        </is>
      </c>
      <c r="D1464" t="inlineStr">
        <is>
          <t>RJ</t>
        </is>
      </c>
      <c r="E1464" t="inlineStr">
        <is>
          <t>auto</t>
        </is>
      </c>
      <c r="F1464" t="n">
        <v>1</v>
      </c>
      <c r="G1464" t="n">
        <v>179.49</v>
      </c>
      <c r="H1464" t="n">
        <v>16.01</v>
      </c>
      <c r="I1464" t="inlineStr">
        <is>
          <t>credit_card</t>
        </is>
      </c>
      <c r="J1464" t="n">
        <v>12</v>
      </c>
      <c r="K1464" t="inlineStr">
        <is>
          <t>On Time</t>
        </is>
      </c>
      <c r="L1464" t="n">
        <v>3</v>
      </c>
      <c r="M1464">
        <f>VLOOKUP(D1464,State_Lookup!$A$2:$B$28,2,FALSE)</f>
        <v/>
      </c>
    </row>
    <row r="1465">
      <c r="A1465" t="inlineStr">
        <is>
          <t>fb8691657006882157a1c0c0f380a585</t>
        </is>
      </c>
      <c r="B1465" t="inlineStr">
        <is>
          <t>2017-10-14</t>
        </is>
      </c>
      <c r="C1465" t="inlineStr">
        <is>
          <t>2017-10</t>
        </is>
      </c>
      <c r="D1465" t="inlineStr">
        <is>
          <t>ES</t>
        </is>
      </c>
      <c r="E1465" t="inlineStr">
        <is>
          <t>toys</t>
        </is>
      </c>
      <c r="F1465" t="n">
        <v>1</v>
      </c>
      <c r="G1465" t="n">
        <v>299</v>
      </c>
      <c r="H1465" t="n">
        <v>21.58</v>
      </c>
      <c r="I1465" t="inlineStr">
        <is>
          <t>credit_card</t>
        </is>
      </c>
      <c r="J1465" t="n">
        <v>12</v>
      </c>
      <c r="K1465" t="inlineStr">
        <is>
          <t>On Time</t>
        </is>
      </c>
      <c r="L1465" t="n">
        <v>5</v>
      </c>
      <c r="M1465">
        <f>VLOOKUP(D1465,State_Lookup!$A$2:$B$28,2,FALSE)</f>
        <v/>
      </c>
    </row>
    <row r="1466">
      <c r="A1466" t="inlineStr">
        <is>
          <t>c26f6a2ea3a573319aa40ffebdc1a43a</t>
        </is>
      </c>
      <c r="B1466" t="inlineStr">
        <is>
          <t>2017-10-14</t>
        </is>
      </c>
      <c r="C1466" t="inlineStr">
        <is>
          <t>2017-10</t>
        </is>
      </c>
      <c r="D1466" t="inlineStr">
        <is>
          <t>PR</t>
        </is>
      </c>
      <c r="E1466" t="inlineStr">
        <is>
          <t>fashion_bags_accessories</t>
        </is>
      </c>
      <c r="F1466" t="n">
        <v>1</v>
      </c>
      <c r="G1466" t="n">
        <v>55.9</v>
      </c>
      <c r="H1466" t="n">
        <v>16.15</v>
      </c>
      <c r="I1466" t="inlineStr">
        <is>
          <t>credit_card</t>
        </is>
      </c>
      <c r="J1466" t="n">
        <v>9</v>
      </c>
      <c r="K1466" t="inlineStr">
        <is>
          <t>On Time</t>
        </is>
      </c>
      <c r="L1466" t="n">
        <v>1</v>
      </c>
      <c r="M1466">
        <f>VLOOKUP(D1466,State_Lookup!$A$2:$B$28,2,FALSE)</f>
        <v/>
      </c>
    </row>
    <row r="1467">
      <c r="A1467" t="inlineStr">
        <is>
          <t>065be848b8cc9a907f12d443b2e4df7f</t>
        </is>
      </c>
      <c r="B1467" t="inlineStr">
        <is>
          <t>2017-10-15</t>
        </is>
      </c>
      <c r="C1467" t="inlineStr">
        <is>
          <t>2017-10</t>
        </is>
      </c>
      <c r="D1467" t="inlineStr">
        <is>
          <t>SP</t>
        </is>
      </c>
      <c r="E1467" t="inlineStr">
        <is>
          <t>housewares</t>
        </is>
      </c>
      <c r="F1467" t="n">
        <v>1</v>
      </c>
      <c r="G1467" t="n">
        <v>69.90000000000001</v>
      </c>
      <c r="H1467" t="n">
        <v>13.08</v>
      </c>
      <c r="I1467" t="inlineStr">
        <is>
          <t>boleto</t>
        </is>
      </c>
      <c r="J1467" t="n">
        <v>3</v>
      </c>
      <c r="K1467" t="inlineStr">
        <is>
          <t>On Time</t>
        </is>
      </c>
      <c r="L1467" t="n">
        <v>4</v>
      </c>
      <c r="M1467">
        <f>VLOOKUP(D1467,State_Lookup!$A$2:$B$28,2,FALSE)</f>
        <v/>
      </c>
    </row>
    <row r="1468">
      <c r="A1468" t="inlineStr">
        <is>
          <t>aaff8afa47c8426e414a6d908a97713c</t>
        </is>
      </c>
      <c r="B1468" t="inlineStr">
        <is>
          <t>2017-10-15</t>
        </is>
      </c>
      <c r="C1468" t="inlineStr">
        <is>
          <t>2017-10</t>
        </is>
      </c>
      <c r="D1468" t="inlineStr">
        <is>
          <t>GO</t>
        </is>
      </c>
      <c r="E1468" t="inlineStr">
        <is>
          <t>garden_tools</t>
        </is>
      </c>
      <c r="F1468" t="n">
        <v>3</v>
      </c>
      <c r="G1468" t="n">
        <v>179.7</v>
      </c>
      <c r="H1468" t="n">
        <v>53.01000000000001</v>
      </c>
      <c r="I1468" t="inlineStr">
        <is>
          <t>credit_card</t>
        </is>
      </c>
      <c r="J1468" t="n">
        <v>10</v>
      </c>
      <c r="K1468" t="inlineStr">
        <is>
          <t>On Time</t>
        </is>
      </c>
      <c r="L1468" t="n">
        <v>1</v>
      </c>
      <c r="M1468">
        <f>VLOOKUP(D1468,State_Lookup!$A$2:$B$28,2,FALSE)</f>
        <v/>
      </c>
    </row>
    <row r="1469">
      <c r="A1469" t="inlineStr">
        <is>
          <t>b59ded0e2e4eb91f0a599b177a267f30</t>
        </is>
      </c>
      <c r="B1469" t="inlineStr">
        <is>
          <t>2017-10-15</t>
        </is>
      </c>
      <c r="C1469" t="inlineStr">
        <is>
          <t>2017-10</t>
        </is>
      </c>
      <c r="D1469" t="inlineStr">
        <is>
          <t>SP</t>
        </is>
      </c>
      <c r="E1469" t="inlineStr">
        <is>
          <t>bed_bath_table</t>
        </is>
      </c>
      <c r="F1469" t="n">
        <v>1</v>
      </c>
      <c r="G1469" t="n">
        <v>241.89</v>
      </c>
      <c r="H1469" t="n">
        <v>32.72</v>
      </c>
      <c r="I1469" t="inlineStr">
        <is>
          <t>credit_card</t>
        </is>
      </c>
      <c r="J1469" t="n">
        <v>8</v>
      </c>
      <c r="K1469" t="inlineStr">
        <is>
          <t>On Time</t>
        </is>
      </c>
      <c r="L1469" t="n">
        <v>5</v>
      </c>
      <c r="M1469">
        <f>VLOOKUP(D1469,State_Lookup!$A$2:$B$28,2,FALSE)</f>
        <v/>
      </c>
    </row>
    <row r="1470">
      <c r="A1470" t="inlineStr">
        <is>
          <t>2124d1e1d8114cf8b7637b46d40ce9c2</t>
        </is>
      </c>
      <c r="B1470" t="inlineStr">
        <is>
          <t>2017-10-15</t>
        </is>
      </c>
      <c r="C1470" t="inlineStr">
        <is>
          <t>2017-10</t>
        </is>
      </c>
      <c r="D1470" t="inlineStr">
        <is>
          <t>MG</t>
        </is>
      </c>
      <c r="E1470" t="inlineStr">
        <is>
          <t>computers_accessories</t>
        </is>
      </c>
      <c r="F1470" t="n">
        <v>1</v>
      </c>
      <c r="G1470" t="n">
        <v>31.9</v>
      </c>
      <c r="H1470" t="n">
        <v>8.109999999999999</v>
      </c>
      <c r="I1470" t="inlineStr">
        <is>
          <t>credit_card</t>
        </is>
      </c>
      <c r="J1470" t="n">
        <v>4</v>
      </c>
      <c r="K1470" t="inlineStr">
        <is>
          <t>On Time</t>
        </is>
      </c>
      <c r="L1470" t="n">
        <v>5</v>
      </c>
      <c r="M1470">
        <f>VLOOKUP(D1470,State_Lookup!$A$2:$B$28,2,FALSE)</f>
        <v/>
      </c>
    </row>
    <row r="1471">
      <c r="A1471" t="inlineStr">
        <is>
          <t>9b808cd87ad1f00034b9059946ce0e57</t>
        </is>
      </c>
      <c r="B1471" t="inlineStr">
        <is>
          <t>2017-10-15</t>
        </is>
      </c>
      <c r="C1471" t="inlineStr">
        <is>
          <t>2017-10</t>
        </is>
      </c>
      <c r="D1471" t="inlineStr">
        <is>
          <t>PR</t>
        </is>
      </c>
      <c r="E1471" t="inlineStr">
        <is>
          <t>sports_leisure</t>
        </is>
      </c>
      <c r="F1471" t="n">
        <v>1</v>
      </c>
      <c r="G1471" t="n">
        <v>35.9</v>
      </c>
      <c r="H1471" t="n">
        <v>14.1</v>
      </c>
      <c r="I1471" t="inlineStr">
        <is>
          <t>credit_card</t>
        </is>
      </c>
      <c r="J1471" t="n">
        <v>13</v>
      </c>
      <c r="K1471" t="inlineStr">
        <is>
          <t>On Time</t>
        </is>
      </c>
      <c r="L1471" t="n">
        <v>5</v>
      </c>
      <c r="M1471">
        <f>VLOOKUP(D1471,State_Lookup!$A$2:$B$28,2,FALSE)</f>
        <v/>
      </c>
    </row>
    <row r="1472">
      <c r="A1472" t="inlineStr">
        <is>
          <t>4798ef2f0de08baa8ddd97ceee3f7c60</t>
        </is>
      </c>
      <c r="B1472" t="inlineStr">
        <is>
          <t>2017-10-15</t>
        </is>
      </c>
      <c r="C1472" t="inlineStr">
        <is>
          <t>2017-10</t>
        </is>
      </c>
      <c r="D1472" t="inlineStr">
        <is>
          <t>RJ</t>
        </is>
      </c>
      <c r="E1472" t="inlineStr">
        <is>
          <t>bed_bath_table</t>
        </is>
      </c>
      <c r="F1472" t="n">
        <v>1</v>
      </c>
      <c r="G1472" t="n">
        <v>45.9</v>
      </c>
      <c r="H1472" t="n">
        <v>15.11</v>
      </c>
      <c r="I1472" t="inlineStr">
        <is>
          <t>credit_card</t>
        </is>
      </c>
      <c r="J1472" t="n">
        <v>11</v>
      </c>
      <c r="K1472" t="inlineStr">
        <is>
          <t>On Time</t>
        </is>
      </c>
      <c r="L1472" t="n">
        <v>5</v>
      </c>
      <c r="M1472">
        <f>VLOOKUP(D1472,State_Lookup!$A$2:$B$28,2,FALSE)</f>
        <v/>
      </c>
    </row>
    <row r="1473">
      <c r="A1473" t="inlineStr">
        <is>
          <t>047d7bce997c4e73c6efe724711fd3b8</t>
        </is>
      </c>
      <c r="B1473" t="inlineStr">
        <is>
          <t>2017-10-15</t>
        </is>
      </c>
      <c r="C1473" t="inlineStr">
        <is>
          <t>2017-10</t>
        </is>
      </c>
      <c r="D1473" t="inlineStr">
        <is>
          <t>SP</t>
        </is>
      </c>
      <c r="E1473" t="inlineStr">
        <is>
          <t>telephony</t>
        </is>
      </c>
      <c r="F1473" t="n">
        <v>1</v>
      </c>
      <c r="G1473" t="n">
        <v>49.9</v>
      </c>
      <c r="H1473" t="n">
        <v>8.720000000000001</v>
      </c>
      <c r="I1473" t="inlineStr">
        <is>
          <t>boleto</t>
        </is>
      </c>
      <c r="J1473" t="n">
        <v>16</v>
      </c>
      <c r="K1473" t="inlineStr">
        <is>
          <t>Late</t>
        </is>
      </c>
      <c r="L1473" t="n">
        <v>1</v>
      </c>
      <c r="M1473">
        <f>VLOOKUP(D1473,State_Lookup!$A$2:$B$28,2,FALSE)</f>
        <v/>
      </c>
    </row>
    <row r="1474">
      <c r="A1474" t="inlineStr">
        <is>
          <t>916f6a4c3dcd2f31f59a340a281e888e</t>
        </is>
      </c>
      <c r="B1474" t="inlineStr">
        <is>
          <t>2017-10-15</t>
        </is>
      </c>
      <c r="C1474" t="inlineStr">
        <is>
          <t>2017-10</t>
        </is>
      </c>
      <c r="D1474" t="inlineStr">
        <is>
          <t>PR</t>
        </is>
      </c>
      <c r="E1474" t="inlineStr">
        <is>
          <t>sports_leisure</t>
        </is>
      </c>
      <c r="F1474" t="n">
        <v>1</v>
      </c>
      <c r="G1474" t="n">
        <v>59.9</v>
      </c>
      <c r="H1474" t="n">
        <v>13.44</v>
      </c>
      <c r="I1474" t="inlineStr">
        <is>
          <t>boleto</t>
        </is>
      </c>
      <c r="J1474" t="n">
        <v>12</v>
      </c>
      <c r="K1474" t="inlineStr">
        <is>
          <t>On Time</t>
        </is>
      </c>
      <c r="L1474" t="n">
        <v>4</v>
      </c>
      <c r="M1474">
        <f>VLOOKUP(D1474,State_Lookup!$A$2:$B$28,2,FALSE)</f>
        <v/>
      </c>
    </row>
    <row r="1475">
      <c r="A1475" t="inlineStr">
        <is>
          <t>61cbfd453bec6d149c4607df0632496f</t>
        </is>
      </c>
      <c r="B1475" t="inlineStr">
        <is>
          <t>2017-10-15</t>
        </is>
      </c>
      <c r="C1475" t="inlineStr">
        <is>
          <t>2017-10</t>
        </is>
      </c>
      <c r="D1475" t="inlineStr">
        <is>
          <t>SP</t>
        </is>
      </c>
      <c r="E1475" t="inlineStr">
        <is>
          <t>housewares</t>
        </is>
      </c>
      <c r="F1475" t="n">
        <v>1</v>
      </c>
      <c r="G1475" t="n">
        <v>129</v>
      </c>
      <c r="H1475" t="n">
        <v>27.45</v>
      </c>
      <c r="I1475" t="inlineStr">
        <is>
          <t>credit_card</t>
        </is>
      </c>
      <c r="J1475" t="n">
        <v>10</v>
      </c>
      <c r="K1475" t="inlineStr">
        <is>
          <t>On Time</t>
        </is>
      </c>
      <c r="L1475" t="n">
        <v>5</v>
      </c>
      <c r="M1475">
        <f>VLOOKUP(D1475,State_Lookup!$A$2:$B$28,2,FALSE)</f>
        <v/>
      </c>
    </row>
    <row r="1476">
      <c r="A1476" t="inlineStr">
        <is>
          <t>fd4ebf52ca607b4487b38826f0c78adf</t>
        </is>
      </c>
      <c r="B1476" t="inlineStr">
        <is>
          <t>2017-10-16</t>
        </is>
      </c>
      <c r="C1476" t="inlineStr">
        <is>
          <t>2017-10</t>
        </is>
      </c>
      <c r="D1476" t="inlineStr">
        <is>
          <t>RS</t>
        </is>
      </c>
      <c r="E1476" t="inlineStr">
        <is>
          <t>health_beauty</t>
        </is>
      </c>
      <c r="F1476" t="n">
        <v>3</v>
      </c>
      <c r="G1476" t="n">
        <v>71.97</v>
      </c>
      <c r="H1476" t="n">
        <v>45.3</v>
      </c>
      <c r="I1476" t="inlineStr">
        <is>
          <t>boleto</t>
        </is>
      </c>
      <c r="J1476" t="n">
        <v>11</v>
      </c>
      <c r="K1476" t="inlineStr">
        <is>
          <t>On Time</t>
        </is>
      </c>
      <c r="L1476" t="n">
        <v>4</v>
      </c>
      <c r="M1476">
        <f>VLOOKUP(D1476,State_Lookup!$A$2:$B$28,2,FALSE)</f>
        <v/>
      </c>
    </row>
    <row r="1477">
      <c r="A1477" t="inlineStr">
        <is>
          <t>b5a7d68509ebd7effa2445cff7eca791</t>
        </is>
      </c>
      <c r="B1477" t="inlineStr">
        <is>
          <t>2017-10-16</t>
        </is>
      </c>
      <c r="C1477" t="inlineStr">
        <is>
          <t>2017-10</t>
        </is>
      </c>
      <c r="D1477" t="inlineStr">
        <is>
          <t>SP</t>
        </is>
      </c>
      <c r="E1477" t="inlineStr">
        <is>
          <t>watches_gifts</t>
        </is>
      </c>
      <c r="F1477" t="n">
        <v>1</v>
      </c>
      <c r="G1477" t="n">
        <v>699.99</v>
      </c>
      <c r="H1477" t="n">
        <v>13.71</v>
      </c>
      <c r="I1477" t="inlineStr">
        <is>
          <t>credit_card</t>
        </is>
      </c>
      <c r="J1477" t="n">
        <v>4</v>
      </c>
      <c r="K1477" t="inlineStr">
        <is>
          <t>On Time</t>
        </is>
      </c>
      <c r="L1477" t="n">
        <v>4</v>
      </c>
      <c r="M1477">
        <f>VLOOKUP(D1477,State_Lookup!$A$2:$B$28,2,FALSE)</f>
        <v/>
      </c>
    </row>
    <row r="1478">
      <c r="A1478" t="inlineStr">
        <is>
          <t>b2270b13a48230d3898b0e5a2abcac01</t>
        </is>
      </c>
      <c r="B1478" t="inlineStr">
        <is>
          <t>2017-10-16</t>
        </is>
      </c>
      <c r="C1478" t="inlineStr">
        <is>
          <t>2017-10</t>
        </is>
      </c>
      <c r="D1478" t="inlineStr">
        <is>
          <t>PR</t>
        </is>
      </c>
      <c r="E1478" t="inlineStr">
        <is>
          <t>baby</t>
        </is>
      </c>
      <c r="F1478" t="n">
        <v>1</v>
      </c>
      <c r="G1478" t="n">
        <v>159.99</v>
      </c>
      <c r="H1478" t="n">
        <v>57.79</v>
      </c>
      <c r="I1478" t="inlineStr">
        <is>
          <t>credit_card</t>
        </is>
      </c>
      <c r="J1478" t="n">
        <v>16</v>
      </c>
      <c r="K1478" t="inlineStr">
        <is>
          <t>On Time</t>
        </is>
      </c>
      <c r="L1478" t="n">
        <v>1</v>
      </c>
      <c r="M1478">
        <f>VLOOKUP(D1478,State_Lookup!$A$2:$B$28,2,FALSE)</f>
        <v/>
      </c>
    </row>
    <row r="1479">
      <c r="A1479" t="inlineStr">
        <is>
          <t>e72e22dce48aaee824371b8e02641f15</t>
        </is>
      </c>
      <c r="B1479" t="inlineStr">
        <is>
          <t>2017-10-16</t>
        </is>
      </c>
      <c r="C1479" t="inlineStr">
        <is>
          <t>2017-10</t>
        </is>
      </c>
      <c r="D1479" t="inlineStr">
        <is>
          <t>RJ</t>
        </is>
      </c>
      <c r="E1479" t="inlineStr">
        <is>
          <t>computers</t>
        </is>
      </c>
      <c r="F1479" t="n">
        <v>1</v>
      </c>
      <c r="G1479" t="n">
        <v>1437</v>
      </c>
      <c r="H1479" t="n">
        <v>34.51</v>
      </c>
      <c r="I1479" t="inlineStr">
        <is>
          <t>credit_card</t>
        </is>
      </c>
      <c r="J1479" t="n">
        <v>9</v>
      </c>
      <c r="K1479" t="inlineStr">
        <is>
          <t>On Time</t>
        </is>
      </c>
      <c r="L1479" t="inlineStr"/>
      <c r="M1479">
        <f>VLOOKUP(D1479,State_Lookup!$A$2:$B$28,2,FALSE)</f>
        <v/>
      </c>
    </row>
    <row r="1480">
      <c r="A1480" t="inlineStr">
        <is>
          <t>fb415a86a28d4698a9be26d2e871d31c</t>
        </is>
      </c>
      <c r="B1480" t="inlineStr">
        <is>
          <t>2017-10-16</t>
        </is>
      </c>
      <c r="C1480" t="inlineStr">
        <is>
          <t>2017-10</t>
        </is>
      </c>
      <c r="D1480" t="inlineStr">
        <is>
          <t>BA</t>
        </is>
      </c>
      <c r="E1480" t="inlineStr">
        <is>
          <t>health_beauty</t>
        </is>
      </c>
      <c r="F1480" t="n">
        <v>1</v>
      </c>
      <c r="G1480" t="n">
        <v>550</v>
      </c>
      <c r="H1480" t="n">
        <v>135.4</v>
      </c>
      <c r="I1480" t="inlineStr">
        <is>
          <t>credit_card</t>
        </is>
      </c>
      <c r="J1480" t="n">
        <v>18</v>
      </c>
      <c r="K1480" t="inlineStr">
        <is>
          <t>On Time</t>
        </is>
      </c>
      <c r="L1480" t="n">
        <v>5</v>
      </c>
      <c r="M1480">
        <f>VLOOKUP(D1480,State_Lookup!$A$2:$B$28,2,FALSE)</f>
        <v/>
      </c>
    </row>
    <row r="1481">
      <c r="A1481" t="inlineStr">
        <is>
          <t>1313a242a48f98101da4d48b310bf517</t>
        </is>
      </c>
      <c r="B1481" t="inlineStr">
        <is>
          <t>2017-10-16</t>
        </is>
      </c>
      <c r="C1481" t="inlineStr">
        <is>
          <t>2017-10</t>
        </is>
      </c>
      <c r="D1481" t="inlineStr">
        <is>
          <t>GO</t>
        </is>
      </c>
      <c r="E1481" t="inlineStr">
        <is>
          <t>cool_stuff</t>
        </is>
      </c>
      <c r="F1481" t="n">
        <v>1</v>
      </c>
      <c r="G1481" t="n">
        <v>129.99</v>
      </c>
      <c r="H1481" t="n">
        <v>18.16</v>
      </c>
      <c r="I1481" t="inlineStr">
        <is>
          <t>credit_card</t>
        </is>
      </c>
      <c r="J1481" t="n">
        <v>8</v>
      </c>
      <c r="K1481" t="inlineStr">
        <is>
          <t>On Time</t>
        </is>
      </c>
      <c r="L1481" t="n">
        <v>5</v>
      </c>
      <c r="M1481">
        <f>VLOOKUP(D1481,State_Lookup!$A$2:$B$28,2,FALSE)</f>
        <v/>
      </c>
    </row>
    <row r="1482">
      <c r="A1482" t="inlineStr">
        <is>
          <t>06ebe0964f3c6ad099d9117fb1e66980</t>
        </is>
      </c>
      <c r="B1482" t="inlineStr">
        <is>
          <t>2017-10-16</t>
        </is>
      </c>
      <c r="C1482" t="inlineStr">
        <is>
          <t>2017-10</t>
        </is>
      </c>
      <c r="D1482" t="inlineStr">
        <is>
          <t>MG</t>
        </is>
      </c>
      <c r="E1482" t="inlineStr">
        <is>
          <t>cool_stuff</t>
        </is>
      </c>
      <c r="F1482" t="n">
        <v>1</v>
      </c>
      <c r="G1482" t="n">
        <v>239.99</v>
      </c>
      <c r="H1482" t="n">
        <v>22.17</v>
      </c>
      <c r="I1482" t="inlineStr">
        <is>
          <t>credit_card</t>
        </is>
      </c>
      <c r="J1482" t="n">
        <v>6</v>
      </c>
      <c r="K1482" t="inlineStr">
        <is>
          <t>On Time</t>
        </is>
      </c>
      <c r="L1482" t="n">
        <v>5</v>
      </c>
      <c r="M1482">
        <f>VLOOKUP(D1482,State_Lookup!$A$2:$B$28,2,FALSE)</f>
        <v/>
      </c>
    </row>
    <row r="1483">
      <c r="A1483" t="inlineStr">
        <is>
          <t>8d45ba0ad212829bdc547dacea18c3a2</t>
        </is>
      </c>
      <c r="B1483" t="inlineStr">
        <is>
          <t>2017-10-16</t>
        </is>
      </c>
      <c r="C1483" t="inlineStr">
        <is>
          <t>2017-10</t>
        </is>
      </c>
      <c r="D1483" t="inlineStr">
        <is>
          <t>PR</t>
        </is>
      </c>
      <c r="E1483" t="inlineStr">
        <is>
          <t>sports_leisure</t>
        </is>
      </c>
      <c r="F1483" t="n">
        <v>1</v>
      </c>
      <c r="G1483" t="n">
        <v>115</v>
      </c>
      <c r="H1483" t="n">
        <v>21.3</v>
      </c>
      <c r="I1483" t="inlineStr">
        <is>
          <t>credit_card</t>
        </is>
      </c>
      <c r="J1483" t="n">
        <v>9</v>
      </c>
      <c r="K1483" t="inlineStr">
        <is>
          <t>On Time</t>
        </is>
      </c>
      <c r="L1483" t="n">
        <v>5</v>
      </c>
      <c r="M1483">
        <f>VLOOKUP(D1483,State_Lookup!$A$2:$B$28,2,FALSE)</f>
        <v/>
      </c>
    </row>
    <row r="1484">
      <c r="A1484" t="inlineStr">
        <is>
          <t>e4803f41016244f8ce3dca5bb8b37aee</t>
        </is>
      </c>
      <c r="B1484" t="inlineStr">
        <is>
          <t>2017-10-17</t>
        </is>
      </c>
      <c r="C1484" t="inlineStr">
        <is>
          <t>2017-10</t>
        </is>
      </c>
      <c r="D1484" t="inlineStr">
        <is>
          <t>ES</t>
        </is>
      </c>
      <c r="E1484" t="inlineStr">
        <is>
          <t>office_furniture</t>
        </is>
      </c>
      <c r="F1484" t="n">
        <v>2</v>
      </c>
      <c r="G1484" t="n">
        <v>399.98</v>
      </c>
      <c r="H1484" t="n">
        <v>148.7</v>
      </c>
      <c r="I1484" t="inlineStr">
        <is>
          <t>credit_card</t>
        </is>
      </c>
      <c r="J1484" t="n">
        <v>20</v>
      </c>
      <c r="K1484" t="inlineStr">
        <is>
          <t>On Time</t>
        </is>
      </c>
      <c r="L1484" t="n">
        <v>3</v>
      </c>
      <c r="M1484">
        <f>VLOOKUP(D1484,State_Lookup!$A$2:$B$28,2,FALSE)</f>
        <v/>
      </c>
    </row>
    <row r="1485">
      <c r="A1485" t="inlineStr">
        <is>
          <t>570b8c11496979f54bf5bb027e86fcd2</t>
        </is>
      </c>
      <c r="B1485" t="inlineStr">
        <is>
          <t>2017-10-17</t>
        </is>
      </c>
      <c r="C1485" t="inlineStr">
        <is>
          <t>2017-10</t>
        </is>
      </c>
      <c r="D1485" t="inlineStr">
        <is>
          <t>ES</t>
        </is>
      </c>
      <c r="E1485" t="inlineStr">
        <is>
          <t>electronics</t>
        </is>
      </c>
      <c r="F1485" t="n">
        <v>1</v>
      </c>
      <c r="G1485" t="n">
        <v>28.9</v>
      </c>
      <c r="H1485" t="n">
        <v>25.63</v>
      </c>
      <c r="I1485" t="inlineStr">
        <is>
          <t>boleto</t>
        </is>
      </c>
      <c r="J1485" t="n">
        <v>10</v>
      </c>
      <c r="K1485" t="inlineStr">
        <is>
          <t>On Time</t>
        </is>
      </c>
      <c r="L1485" t="n">
        <v>5</v>
      </c>
      <c r="M1485">
        <f>VLOOKUP(D1485,State_Lookup!$A$2:$B$28,2,FALSE)</f>
        <v/>
      </c>
    </row>
    <row r="1486">
      <c r="A1486" t="inlineStr">
        <is>
          <t>f2fecc6e386231f071a5ec6438b7ede4</t>
        </is>
      </c>
      <c r="B1486" t="inlineStr">
        <is>
          <t>2017-10-17</t>
        </is>
      </c>
      <c r="C1486" t="inlineStr">
        <is>
          <t>2017-10</t>
        </is>
      </c>
      <c r="D1486" t="inlineStr">
        <is>
          <t>RJ</t>
        </is>
      </c>
      <c r="E1486" t="inlineStr">
        <is>
          <t>costruction_tools_garden</t>
        </is>
      </c>
      <c r="F1486" t="n">
        <v>1</v>
      </c>
      <c r="G1486" t="n">
        <v>33.6</v>
      </c>
      <c r="H1486" t="n">
        <v>17.6</v>
      </c>
      <c r="I1486" t="inlineStr">
        <is>
          <t>credit_card</t>
        </is>
      </c>
      <c r="J1486" t="n">
        <v>6</v>
      </c>
      <c r="K1486" t="inlineStr">
        <is>
          <t>On Time</t>
        </is>
      </c>
      <c r="L1486" t="n">
        <v>5</v>
      </c>
      <c r="M1486">
        <f>VLOOKUP(D1486,State_Lookup!$A$2:$B$28,2,FALSE)</f>
        <v/>
      </c>
    </row>
    <row r="1487">
      <c r="A1487" t="inlineStr">
        <is>
          <t>791b4a44bd8319b5598f703141db400f</t>
        </is>
      </c>
      <c r="B1487" t="inlineStr">
        <is>
          <t>2017-10-17</t>
        </is>
      </c>
      <c r="C1487" t="inlineStr">
        <is>
          <t>2017-10</t>
        </is>
      </c>
      <c r="D1487" t="inlineStr">
        <is>
          <t>PE</t>
        </is>
      </c>
      <c r="E1487" t="inlineStr">
        <is>
          <t>agro_industry_and_commerce</t>
        </is>
      </c>
      <c r="F1487" t="n">
        <v>1</v>
      </c>
      <c r="G1487" t="n">
        <v>849.98</v>
      </c>
      <c r="H1487" t="n">
        <v>98.37</v>
      </c>
      <c r="I1487" t="inlineStr">
        <is>
          <t>credit_card</t>
        </is>
      </c>
      <c r="J1487" t="n">
        <v>15</v>
      </c>
      <c r="K1487" t="inlineStr">
        <is>
          <t>On Time</t>
        </is>
      </c>
      <c r="L1487" t="n">
        <v>5</v>
      </c>
      <c r="M1487">
        <f>VLOOKUP(D1487,State_Lookup!$A$2:$B$28,2,FALSE)</f>
        <v/>
      </c>
    </row>
    <row r="1488">
      <c r="A1488" t="inlineStr">
        <is>
          <t>474eb7e66d3c88d69883090e5d308390</t>
        </is>
      </c>
      <c r="B1488" t="inlineStr">
        <is>
          <t>2017-10-17</t>
        </is>
      </c>
      <c r="C1488" t="inlineStr">
        <is>
          <t>2017-10</t>
        </is>
      </c>
      <c r="D1488" t="inlineStr">
        <is>
          <t>MG</t>
        </is>
      </c>
      <c r="E1488" t="inlineStr">
        <is>
          <t>drinks</t>
        </is>
      </c>
      <c r="F1488" t="n">
        <v>1</v>
      </c>
      <c r="G1488" t="n">
        <v>65</v>
      </c>
      <c r="H1488" t="n">
        <v>15.2</v>
      </c>
      <c r="I1488" t="inlineStr">
        <is>
          <t>credit_card</t>
        </is>
      </c>
      <c r="J1488" t="n">
        <v>9</v>
      </c>
      <c r="K1488" t="inlineStr">
        <is>
          <t>On Time</t>
        </is>
      </c>
      <c r="L1488" t="n">
        <v>5</v>
      </c>
      <c r="M1488">
        <f>VLOOKUP(D1488,State_Lookup!$A$2:$B$28,2,FALSE)</f>
        <v/>
      </c>
    </row>
    <row r="1489">
      <c r="A1489" t="inlineStr">
        <is>
          <t>6c6e45db63667bd55633d47a10d77607</t>
        </is>
      </c>
      <c r="B1489" t="inlineStr">
        <is>
          <t>2017-10-17</t>
        </is>
      </c>
      <c r="C1489" t="inlineStr">
        <is>
          <t>2017-10</t>
        </is>
      </c>
      <c r="D1489" t="inlineStr">
        <is>
          <t>MG</t>
        </is>
      </c>
      <c r="E1489" t="inlineStr">
        <is>
          <t>sports_leisure</t>
        </is>
      </c>
      <c r="F1489" t="n">
        <v>1</v>
      </c>
      <c r="G1489" t="n">
        <v>113.9</v>
      </c>
      <c r="H1489" t="n">
        <v>16.56</v>
      </c>
      <c r="I1489" t="inlineStr">
        <is>
          <t>credit_card</t>
        </is>
      </c>
      <c r="J1489" t="n">
        <v>7</v>
      </c>
      <c r="K1489" t="inlineStr">
        <is>
          <t>On Time</t>
        </is>
      </c>
      <c r="L1489" t="n">
        <v>5</v>
      </c>
      <c r="M1489">
        <f>VLOOKUP(D1489,State_Lookup!$A$2:$B$28,2,FALSE)</f>
        <v/>
      </c>
    </row>
    <row r="1490">
      <c r="A1490" t="inlineStr">
        <is>
          <t>e6aa8f1226387a88bdcb5b2f0a9f95eb</t>
        </is>
      </c>
      <c r="B1490" t="inlineStr">
        <is>
          <t>2017-10-18</t>
        </is>
      </c>
      <c r="C1490" t="inlineStr">
        <is>
          <t>2017-10</t>
        </is>
      </c>
      <c r="D1490" t="inlineStr">
        <is>
          <t>RJ</t>
        </is>
      </c>
      <c r="E1490" t="inlineStr">
        <is>
          <t>watches_gifts</t>
        </is>
      </c>
      <c r="F1490" t="n">
        <v>1</v>
      </c>
      <c r="G1490" t="n">
        <v>65</v>
      </c>
      <c r="H1490" t="n">
        <v>15.2</v>
      </c>
      <c r="I1490" t="inlineStr">
        <is>
          <t>credit_card</t>
        </is>
      </c>
      <c r="J1490" t="n">
        <v>9</v>
      </c>
      <c r="K1490" t="inlineStr">
        <is>
          <t>On Time</t>
        </is>
      </c>
      <c r="L1490" t="n">
        <v>5</v>
      </c>
      <c r="M1490">
        <f>VLOOKUP(D1490,State_Lookup!$A$2:$B$28,2,FALSE)</f>
        <v/>
      </c>
    </row>
    <row r="1491">
      <c r="A1491" t="inlineStr">
        <is>
          <t>9d74929fefd45dd3ebce40cc681596b3</t>
        </is>
      </c>
      <c r="B1491" t="inlineStr">
        <is>
          <t>2017-10-18</t>
        </is>
      </c>
      <c r="C1491" t="inlineStr">
        <is>
          <t>2017-10</t>
        </is>
      </c>
      <c r="D1491" t="inlineStr">
        <is>
          <t>RN</t>
        </is>
      </c>
      <c r="E1491" t="inlineStr">
        <is>
          <t>health_beauty</t>
        </is>
      </c>
      <c r="F1491" t="n">
        <v>1</v>
      </c>
      <c r="G1491" t="n">
        <v>47</v>
      </c>
      <c r="H1491" t="n">
        <v>34.15</v>
      </c>
      <c r="I1491" t="inlineStr">
        <is>
          <t>boleto</t>
        </is>
      </c>
      <c r="J1491" t="n">
        <v>19</v>
      </c>
      <c r="K1491" t="inlineStr">
        <is>
          <t>On Time</t>
        </is>
      </c>
      <c r="L1491" t="n">
        <v>4</v>
      </c>
      <c r="M1491">
        <f>VLOOKUP(D1491,State_Lookup!$A$2:$B$28,2,FALSE)</f>
        <v/>
      </c>
    </row>
    <row r="1492">
      <c r="A1492" t="inlineStr">
        <is>
          <t>dcbc872c5cda84c5d6373c44570b4889</t>
        </is>
      </c>
      <c r="B1492" t="inlineStr">
        <is>
          <t>2017-10-18</t>
        </is>
      </c>
      <c r="C1492" t="inlineStr">
        <is>
          <t>2017-10</t>
        </is>
      </c>
      <c r="D1492" t="inlineStr">
        <is>
          <t>MG</t>
        </is>
      </c>
      <c r="E1492" t="inlineStr">
        <is>
          <t>consoles_games</t>
        </is>
      </c>
      <c r="F1492" t="n">
        <v>1</v>
      </c>
      <c r="G1492" t="n">
        <v>39.9</v>
      </c>
      <c r="H1492" t="n">
        <v>12.48</v>
      </c>
      <c r="I1492" t="inlineStr">
        <is>
          <t>credit_card</t>
        </is>
      </c>
      <c r="J1492" t="n">
        <v>5</v>
      </c>
      <c r="K1492" t="inlineStr">
        <is>
          <t>On Time</t>
        </is>
      </c>
      <c r="L1492" t="n">
        <v>5</v>
      </c>
      <c r="M1492">
        <f>VLOOKUP(D1492,State_Lookup!$A$2:$B$28,2,FALSE)</f>
        <v/>
      </c>
    </row>
    <row r="1493">
      <c r="A1493" t="inlineStr">
        <is>
          <t>eeb2e664debf2c0bd41c970e2122858a</t>
        </is>
      </c>
      <c r="B1493" t="inlineStr">
        <is>
          <t>2017-10-18</t>
        </is>
      </c>
      <c r="C1493" t="inlineStr">
        <is>
          <t>2017-10</t>
        </is>
      </c>
      <c r="D1493" t="inlineStr">
        <is>
          <t>SP</t>
        </is>
      </c>
      <c r="E1493" t="inlineStr">
        <is>
          <t>consoles_games</t>
        </is>
      </c>
      <c r="F1493" t="n">
        <v>1</v>
      </c>
      <c r="G1493" t="n">
        <v>19.9</v>
      </c>
      <c r="H1493" t="n">
        <v>11.85</v>
      </c>
      <c r="I1493" t="inlineStr">
        <is>
          <t>credit_card</t>
        </is>
      </c>
      <c r="J1493" t="n">
        <v>11</v>
      </c>
      <c r="K1493" t="inlineStr">
        <is>
          <t>On Time</t>
        </is>
      </c>
      <c r="L1493" t="n">
        <v>4</v>
      </c>
      <c r="M1493">
        <f>VLOOKUP(D1493,State_Lookup!$A$2:$B$28,2,FALSE)</f>
        <v/>
      </c>
    </row>
    <row r="1494">
      <c r="A1494" t="inlineStr">
        <is>
          <t>7a5ff6680378afabf6b6a1e75bff8b8c</t>
        </is>
      </c>
      <c r="B1494" t="inlineStr">
        <is>
          <t>2017-10-18</t>
        </is>
      </c>
      <c r="C1494" t="inlineStr">
        <is>
          <t>2017-10</t>
        </is>
      </c>
      <c r="D1494" t="inlineStr">
        <is>
          <t>SP</t>
        </is>
      </c>
      <c r="E1494" t="inlineStr">
        <is>
          <t>air_conditioning</t>
        </is>
      </c>
      <c r="F1494" t="n">
        <v>1</v>
      </c>
      <c r="G1494" t="n">
        <v>79</v>
      </c>
      <c r="H1494" t="n">
        <v>9.369999999999999</v>
      </c>
      <c r="I1494" t="inlineStr">
        <is>
          <t>credit_card</t>
        </is>
      </c>
      <c r="J1494" t="n">
        <v>1</v>
      </c>
      <c r="K1494" t="inlineStr">
        <is>
          <t>On Time</t>
        </is>
      </c>
      <c r="L1494" t="n">
        <v>5</v>
      </c>
      <c r="M1494">
        <f>VLOOKUP(D1494,State_Lookup!$A$2:$B$28,2,FALSE)</f>
        <v/>
      </c>
    </row>
    <row r="1495">
      <c r="A1495" t="inlineStr">
        <is>
          <t>98a613c82d389a76b358d963e0390e33</t>
        </is>
      </c>
      <c r="B1495" t="inlineStr">
        <is>
          <t>2017-10-18</t>
        </is>
      </c>
      <c r="C1495" t="inlineStr">
        <is>
          <t>2017-10</t>
        </is>
      </c>
      <c r="D1495" t="inlineStr">
        <is>
          <t>RJ</t>
        </is>
      </c>
      <c r="E1495" t="inlineStr">
        <is>
          <t>toys</t>
        </is>
      </c>
      <c r="F1495" t="n">
        <v>1</v>
      </c>
      <c r="G1495" t="n">
        <v>129.8</v>
      </c>
      <c r="H1495" t="n">
        <v>24.29</v>
      </c>
      <c r="I1495" t="inlineStr">
        <is>
          <t>credit_card</t>
        </is>
      </c>
      <c r="J1495" t="n">
        <v>13</v>
      </c>
      <c r="K1495" t="inlineStr">
        <is>
          <t>On Time</t>
        </is>
      </c>
      <c r="L1495" t="n">
        <v>5</v>
      </c>
      <c r="M1495">
        <f>VLOOKUP(D1495,State_Lookup!$A$2:$B$28,2,FALSE)</f>
        <v/>
      </c>
    </row>
    <row r="1496">
      <c r="A1496" t="inlineStr">
        <is>
          <t>35e5585976ac906f5b04e7f491ec300c</t>
        </is>
      </c>
      <c r="B1496" t="inlineStr">
        <is>
          <t>2017-10-18</t>
        </is>
      </c>
      <c r="C1496" t="inlineStr">
        <is>
          <t>2017-10</t>
        </is>
      </c>
      <c r="D1496" t="inlineStr">
        <is>
          <t>SC</t>
        </is>
      </c>
      <c r="E1496" t="inlineStr">
        <is>
          <t>health_beauty</t>
        </is>
      </c>
      <c r="F1496" t="n">
        <v>1</v>
      </c>
      <c r="G1496" t="n">
        <v>23.99</v>
      </c>
      <c r="H1496" t="n">
        <v>15.1</v>
      </c>
      <c r="I1496" t="inlineStr">
        <is>
          <t>credit_card</t>
        </is>
      </c>
      <c r="J1496" t="n">
        <v>9</v>
      </c>
      <c r="K1496" t="inlineStr">
        <is>
          <t>On Time</t>
        </is>
      </c>
      <c r="L1496" t="n">
        <v>5</v>
      </c>
      <c r="M1496">
        <f>VLOOKUP(D1496,State_Lookup!$A$2:$B$28,2,FALSE)</f>
        <v/>
      </c>
    </row>
    <row r="1497">
      <c r="A1497" t="inlineStr">
        <is>
          <t>80ed095971ca276965730f312de98fcf</t>
        </is>
      </c>
      <c r="B1497" t="inlineStr">
        <is>
          <t>2017-10-18</t>
        </is>
      </c>
      <c r="C1497" t="inlineStr">
        <is>
          <t>2017-10</t>
        </is>
      </c>
      <c r="D1497" t="inlineStr">
        <is>
          <t>BA</t>
        </is>
      </c>
      <c r="E1497" t="inlineStr">
        <is>
          <t>toys</t>
        </is>
      </c>
      <c r="F1497" t="n">
        <v>1</v>
      </c>
      <c r="G1497" t="n">
        <v>629</v>
      </c>
      <c r="H1497" t="n">
        <v>36.85</v>
      </c>
      <c r="I1497" t="inlineStr">
        <is>
          <t>credit_card</t>
        </is>
      </c>
      <c r="J1497" t="n">
        <v>14</v>
      </c>
      <c r="K1497" t="inlineStr">
        <is>
          <t>On Time</t>
        </is>
      </c>
      <c r="L1497" t="n">
        <v>4</v>
      </c>
      <c r="M1497">
        <f>VLOOKUP(D1497,State_Lookup!$A$2:$B$28,2,FALSE)</f>
        <v/>
      </c>
    </row>
    <row r="1498">
      <c r="A1498" t="inlineStr">
        <is>
          <t>50b043a46bc9296628ad3ea3e0ca01b8</t>
        </is>
      </c>
      <c r="B1498" t="inlineStr">
        <is>
          <t>2017-10-18</t>
        </is>
      </c>
      <c r="C1498" t="inlineStr">
        <is>
          <t>2017-10</t>
        </is>
      </c>
      <c r="D1498" t="inlineStr">
        <is>
          <t>SP</t>
        </is>
      </c>
      <c r="E1498" t="inlineStr">
        <is>
          <t>sports_leisure</t>
        </is>
      </c>
      <c r="F1498" t="n">
        <v>1</v>
      </c>
      <c r="G1498" t="n">
        <v>29.5</v>
      </c>
      <c r="H1498" t="n">
        <v>16.11</v>
      </c>
      <c r="I1498" t="inlineStr">
        <is>
          <t>boleto</t>
        </is>
      </c>
      <c r="J1498" t="n">
        <v>6</v>
      </c>
      <c r="K1498" t="inlineStr">
        <is>
          <t>On Time</t>
        </is>
      </c>
      <c r="L1498" t="n">
        <v>4</v>
      </c>
      <c r="M1498">
        <f>VLOOKUP(D1498,State_Lookup!$A$2:$B$28,2,FALSE)</f>
        <v/>
      </c>
    </row>
    <row r="1499">
      <c r="A1499" t="inlineStr">
        <is>
          <t>21e28426bf49f15032c93153c7a3e206</t>
        </is>
      </c>
      <c r="B1499" t="inlineStr">
        <is>
          <t>2017-10-18</t>
        </is>
      </c>
      <c r="C1499" t="inlineStr">
        <is>
          <t>2017-10</t>
        </is>
      </c>
      <c r="D1499" t="inlineStr">
        <is>
          <t>RJ</t>
        </is>
      </c>
      <c r="E1499" t="inlineStr">
        <is>
          <t>stationery</t>
        </is>
      </c>
      <c r="F1499" t="n">
        <v>1</v>
      </c>
      <c r="G1499" t="n">
        <v>149</v>
      </c>
      <c r="H1499" t="n">
        <v>16.48</v>
      </c>
      <c r="I1499" t="inlineStr">
        <is>
          <t>credit_card</t>
        </is>
      </c>
      <c r="J1499" t="n">
        <v>15</v>
      </c>
      <c r="K1499" t="inlineStr">
        <is>
          <t>On Time</t>
        </is>
      </c>
      <c r="L1499" t="n">
        <v>5</v>
      </c>
      <c r="M1499">
        <f>VLOOKUP(D1499,State_Lookup!$A$2:$B$28,2,FALSE)</f>
        <v/>
      </c>
    </row>
    <row r="1500">
      <c r="A1500" t="inlineStr">
        <is>
          <t>02e6bcccce2e88560389846400e74e50</t>
        </is>
      </c>
      <c r="B1500" t="inlineStr">
        <is>
          <t>2017-10-18</t>
        </is>
      </c>
      <c r="C1500" t="inlineStr">
        <is>
          <t>2017-10</t>
        </is>
      </c>
      <c r="D1500" t="inlineStr">
        <is>
          <t>PE</t>
        </is>
      </c>
      <c r="E1500" t="inlineStr">
        <is>
          <t>consoles_games</t>
        </is>
      </c>
      <c r="F1500" t="n">
        <v>1</v>
      </c>
      <c r="G1500" t="n">
        <v>219</v>
      </c>
      <c r="H1500" t="n">
        <v>45.38</v>
      </c>
      <c r="I1500" t="inlineStr">
        <is>
          <t>credit_card</t>
        </is>
      </c>
      <c r="J1500" t="n">
        <v>19</v>
      </c>
      <c r="K1500" t="inlineStr">
        <is>
          <t>On Time</t>
        </is>
      </c>
      <c r="L1500" t="n">
        <v>5</v>
      </c>
      <c r="M1500">
        <f>VLOOKUP(D1500,State_Lookup!$A$2:$B$28,2,FALSE)</f>
        <v/>
      </c>
    </row>
    <row r="1501">
      <c r="A1501" t="inlineStr">
        <is>
          <t>a669137c06cc23b7962d63be3a2ad6d1</t>
        </is>
      </c>
      <c r="B1501" t="inlineStr">
        <is>
          <t>2017-10-18</t>
        </is>
      </c>
      <c r="C1501" t="inlineStr">
        <is>
          <t>2017-10</t>
        </is>
      </c>
      <c r="D1501" t="inlineStr">
        <is>
          <t>RJ</t>
        </is>
      </c>
      <c r="E1501" t="inlineStr">
        <is>
          <t>toys</t>
        </is>
      </c>
      <c r="F1501" t="n">
        <v>5</v>
      </c>
      <c r="G1501" t="n">
        <v>599.9499999999999</v>
      </c>
      <c r="H1501" t="n">
        <v>41.25</v>
      </c>
      <c r="I1501" t="inlineStr">
        <is>
          <t>credit_card</t>
        </is>
      </c>
      <c r="J1501" t="n">
        <v>1</v>
      </c>
      <c r="K1501" t="inlineStr">
        <is>
          <t>On Time</t>
        </is>
      </c>
      <c r="L1501" t="n">
        <v>5</v>
      </c>
      <c r="M1501">
        <f>VLOOKUP(D1501,State_Lookup!$A$2:$B$28,2,FALSE)</f>
        <v/>
      </c>
    </row>
    <row r="1502">
      <c r="A1502" t="inlineStr">
        <is>
          <t>d5f9f12e76db82f85d145c5c5e5b9af6</t>
        </is>
      </c>
      <c r="B1502" t="inlineStr">
        <is>
          <t>2017-10-18</t>
        </is>
      </c>
      <c r="C1502" t="inlineStr">
        <is>
          <t>2017-10</t>
        </is>
      </c>
      <c r="D1502" t="inlineStr">
        <is>
          <t>ES</t>
        </is>
      </c>
      <c r="E1502" t="inlineStr">
        <is>
          <t>bed_bath_table</t>
        </is>
      </c>
      <c r="F1502" t="n">
        <v>1</v>
      </c>
      <c r="G1502" t="n">
        <v>45.9</v>
      </c>
      <c r="H1502" t="n">
        <v>16.11</v>
      </c>
      <c r="I1502" t="inlineStr">
        <is>
          <t>boleto</t>
        </is>
      </c>
      <c r="J1502" t="n">
        <v>16</v>
      </c>
      <c r="K1502" t="inlineStr">
        <is>
          <t>On Time</t>
        </is>
      </c>
      <c r="L1502" t="n">
        <v>4</v>
      </c>
      <c r="M1502">
        <f>VLOOKUP(D1502,State_Lookup!$A$2:$B$28,2,FALSE)</f>
        <v/>
      </c>
    </row>
    <row r="1503">
      <c r="A1503" t="inlineStr">
        <is>
          <t>eef277f1b21da736aeb8b4dbcdeb36bd</t>
        </is>
      </c>
      <c r="B1503" t="inlineStr">
        <is>
          <t>2017-10-18</t>
        </is>
      </c>
      <c r="C1503" t="inlineStr">
        <is>
          <t>2017-10</t>
        </is>
      </c>
      <c r="D1503" t="inlineStr">
        <is>
          <t>RS</t>
        </is>
      </c>
      <c r="E1503" t="inlineStr">
        <is>
          <t>bed_bath_table</t>
        </is>
      </c>
      <c r="F1503" t="n">
        <v>1</v>
      </c>
      <c r="G1503" t="n">
        <v>219.99</v>
      </c>
      <c r="H1503" t="n">
        <v>22.38</v>
      </c>
      <c r="I1503" t="inlineStr">
        <is>
          <t>credit_card</t>
        </is>
      </c>
      <c r="J1503" t="n">
        <v>13</v>
      </c>
      <c r="K1503" t="inlineStr">
        <is>
          <t>On Time</t>
        </is>
      </c>
      <c r="L1503" t="n">
        <v>5</v>
      </c>
      <c r="M1503">
        <f>VLOOKUP(D1503,State_Lookup!$A$2:$B$28,2,FALSE)</f>
        <v/>
      </c>
    </row>
    <row r="1504">
      <c r="A1504" t="inlineStr">
        <is>
          <t>bf5e4ec5374a3d9097193f671a74b42c</t>
        </is>
      </c>
      <c r="B1504" t="inlineStr">
        <is>
          <t>2017-10-19</t>
        </is>
      </c>
      <c r="C1504" t="inlineStr">
        <is>
          <t>2017-10</t>
        </is>
      </c>
      <c r="D1504" t="inlineStr">
        <is>
          <t>ES</t>
        </is>
      </c>
      <c r="E1504" t="inlineStr">
        <is>
          <t>cool_stuff</t>
        </is>
      </c>
      <c r="F1504" t="n">
        <v>1</v>
      </c>
      <c r="G1504" t="n">
        <v>199</v>
      </c>
      <c r="H1504" t="n">
        <v>21.79</v>
      </c>
      <c r="I1504" t="inlineStr">
        <is>
          <t>boleto</t>
        </is>
      </c>
      <c r="J1504" t="n">
        <v>18</v>
      </c>
      <c r="K1504" t="inlineStr">
        <is>
          <t>On Time</t>
        </is>
      </c>
      <c r="L1504" t="n">
        <v>5</v>
      </c>
      <c r="M1504">
        <f>VLOOKUP(D1504,State_Lookup!$A$2:$B$28,2,FALSE)</f>
        <v/>
      </c>
    </row>
    <row r="1505">
      <c r="A1505" t="inlineStr">
        <is>
          <t>b4d23e6126fce26562cf8bb6b5ae876f</t>
        </is>
      </c>
      <c r="B1505" t="inlineStr">
        <is>
          <t>2017-10-19</t>
        </is>
      </c>
      <c r="C1505" t="inlineStr">
        <is>
          <t>2017-10</t>
        </is>
      </c>
      <c r="D1505" t="inlineStr">
        <is>
          <t>MG</t>
        </is>
      </c>
      <c r="E1505" t="inlineStr">
        <is>
          <t>housewares</t>
        </is>
      </c>
      <c r="F1505" t="n">
        <v>1</v>
      </c>
      <c r="G1505" t="n">
        <v>85</v>
      </c>
      <c r="H1505" t="n">
        <v>21.08</v>
      </c>
      <c r="I1505" t="inlineStr">
        <is>
          <t>credit_card</t>
        </is>
      </c>
      <c r="J1505" t="n">
        <v>5</v>
      </c>
      <c r="K1505" t="inlineStr">
        <is>
          <t>On Time</t>
        </is>
      </c>
      <c r="L1505" t="n">
        <v>5</v>
      </c>
      <c r="M1505">
        <f>VLOOKUP(D1505,State_Lookup!$A$2:$B$28,2,FALSE)</f>
        <v/>
      </c>
    </row>
    <row r="1506">
      <c r="A1506" t="inlineStr">
        <is>
          <t>7fda376286b806cee8955685bf02fc4f</t>
        </is>
      </c>
      <c r="B1506" t="inlineStr">
        <is>
          <t>2017-10-19</t>
        </is>
      </c>
      <c r="C1506" t="inlineStr">
        <is>
          <t>2017-10</t>
        </is>
      </c>
      <c r="D1506" t="inlineStr">
        <is>
          <t>SP</t>
        </is>
      </c>
      <c r="E1506" t="inlineStr">
        <is>
          <t>perfumery</t>
        </is>
      </c>
      <c r="F1506" t="n">
        <v>1</v>
      </c>
      <c r="G1506" t="n">
        <v>13.99</v>
      </c>
      <c r="H1506" t="n">
        <v>11.85</v>
      </c>
      <c r="I1506" t="inlineStr">
        <is>
          <t>credit_card</t>
        </is>
      </c>
      <c r="J1506" t="n">
        <v>5</v>
      </c>
      <c r="K1506" t="inlineStr">
        <is>
          <t>On Time</t>
        </is>
      </c>
      <c r="L1506" t="n">
        <v>4</v>
      </c>
      <c r="M1506">
        <f>VLOOKUP(D1506,State_Lookup!$A$2:$B$28,2,FALSE)</f>
        <v/>
      </c>
    </row>
    <row r="1507">
      <c r="A1507" t="inlineStr">
        <is>
          <t>1fe7be398f57b2c40691376b673de1bb</t>
        </is>
      </c>
      <c r="B1507" t="inlineStr">
        <is>
          <t>2017-10-19</t>
        </is>
      </c>
      <c r="C1507" t="inlineStr">
        <is>
          <t>2017-10</t>
        </is>
      </c>
      <c r="D1507" t="inlineStr">
        <is>
          <t>RJ</t>
        </is>
      </c>
      <c r="E1507" t="inlineStr">
        <is>
          <t>housewares</t>
        </is>
      </c>
      <c r="F1507" t="n">
        <v>1</v>
      </c>
      <c r="G1507" t="n">
        <v>32.9</v>
      </c>
      <c r="H1507" t="n">
        <v>17.63</v>
      </c>
      <c r="I1507" t="inlineStr">
        <is>
          <t>credit_card</t>
        </is>
      </c>
      <c r="J1507" t="n">
        <v>13</v>
      </c>
      <c r="K1507" t="inlineStr">
        <is>
          <t>On Time</t>
        </is>
      </c>
      <c r="L1507" t="n">
        <v>1</v>
      </c>
      <c r="M1507">
        <f>VLOOKUP(D1507,State_Lookup!$A$2:$B$28,2,FALSE)</f>
        <v/>
      </c>
    </row>
    <row r="1508">
      <c r="A1508" t="inlineStr">
        <is>
          <t>a5a76b3c38acb63a4d867b5f3f59f941</t>
        </is>
      </c>
      <c r="B1508" t="inlineStr">
        <is>
          <t>2017-10-19</t>
        </is>
      </c>
      <c r="C1508" t="inlineStr">
        <is>
          <t>2017-10</t>
        </is>
      </c>
      <c r="D1508" t="inlineStr">
        <is>
          <t>MG</t>
        </is>
      </c>
      <c r="E1508" t="inlineStr">
        <is>
          <t>computers_accessories</t>
        </is>
      </c>
      <c r="F1508" t="n">
        <v>1</v>
      </c>
      <c r="G1508" t="n">
        <v>31.9</v>
      </c>
      <c r="H1508" t="n">
        <v>9.09</v>
      </c>
      <c r="I1508" t="inlineStr">
        <is>
          <t>boleto</t>
        </is>
      </c>
      <c r="J1508" t="n">
        <v>15</v>
      </c>
      <c r="K1508" t="inlineStr">
        <is>
          <t>On Time</t>
        </is>
      </c>
      <c r="L1508" t="n">
        <v>5</v>
      </c>
      <c r="M1508">
        <f>VLOOKUP(D1508,State_Lookup!$A$2:$B$28,2,FALSE)</f>
        <v/>
      </c>
    </row>
    <row r="1509">
      <c r="A1509" t="inlineStr">
        <is>
          <t>9d6dce9148e0eb3c4c1700f477b113b6</t>
        </is>
      </c>
      <c r="B1509" t="inlineStr">
        <is>
          <t>2017-10-19</t>
        </is>
      </c>
      <c r="C1509" t="inlineStr">
        <is>
          <t>2017-10</t>
        </is>
      </c>
      <c r="D1509" t="inlineStr">
        <is>
          <t>AL</t>
        </is>
      </c>
      <c r="E1509" t="inlineStr">
        <is>
          <t>stationery</t>
        </is>
      </c>
      <c r="F1509" t="n">
        <v>1</v>
      </c>
      <c r="G1509" t="n">
        <v>95</v>
      </c>
      <c r="H1509" t="n">
        <v>38.22</v>
      </c>
      <c r="I1509" t="inlineStr">
        <is>
          <t>boleto</t>
        </is>
      </c>
      <c r="J1509" t="n">
        <v>21</v>
      </c>
      <c r="K1509" t="inlineStr">
        <is>
          <t>On Time</t>
        </is>
      </c>
      <c r="L1509" t="n">
        <v>5</v>
      </c>
      <c r="M1509">
        <f>VLOOKUP(D1509,State_Lookup!$A$2:$B$28,2,FALSE)</f>
        <v/>
      </c>
    </row>
    <row r="1510">
      <c r="A1510" t="inlineStr">
        <is>
          <t>9c0edf679ee9524c3cded05020212ca3</t>
        </is>
      </c>
      <c r="B1510" t="inlineStr">
        <is>
          <t>2017-10-19</t>
        </is>
      </c>
      <c r="C1510" t="inlineStr">
        <is>
          <t>2017-10</t>
        </is>
      </c>
      <c r="D1510" t="inlineStr">
        <is>
          <t>MG</t>
        </is>
      </c>
      <c r="E1510" t="inlineStr">
        <is>
          <t>housewares</t>
        </is>
      </c>
      <c r="F1510" t="n">
        <v>1</v>
      </c>
      <c r="G1510" t="n">
        <v>129</v>
      </c>
      <c r="H1510" t="n">
        <v>17.38</v>
      </c>
      <c r="I1510" t="inlineStr">
        <is>
          <t>credit_card</t>
        </is>
      </c>
      <c r="J1510" t="n">
        <v>7</v>
      </c>
      <c r="K1510" t="inlineStr">
        <is>
          <t>On Time</t>
        </is>
      </c>
      <c r="L1510" t="n">
        <v>5</v>
      </c>
      <c r="M1510">
        <f>VLOOKUP(D1510,State_Lookup!$A$2:$B$28,2,FALSE)</f>
        <v/>
      </c>
    </row>
    <row r="1511">
      <c r="A1511" t="inlineStr">
        <is>
          <t>889d204697bec781401132649cffa867</t>
        </is>
      </c>
      <c r="B1511" t="inlineStr">
        <is>
          <t>2017-10-19</t>
        </is>
      </c>
      <c r="C1511" t="inlineStr">
        <is>
          <t>2017-10</t>
        </is>
      </c>
      <c r="D1511" t="inlineStr">
        <is>
          <t>SP</t>
        </is>
      </c>
      <c r="E1511" t="inlineStr">
        <is>
          <t>sports_leisure</t>
        </is>
      </c>
      <c r="F1511" t="n">
        <v>2</v>
      </c>
      <c r="G1511" t="n">
        <v>105.89</v>
      </c>
      <c r="H1511" t="n">
        <v>18</v>
      </c>
      <c r="I1511" t="inlineStr">
        <is>
          <t>credit_card</t>
        </is>
      </c>
      <c r="J1511" t="n">
        <v>4</v>
      </c>
      <c r="K1511" t="inlineStr">
        <is>
          <t>On Time</t>
        </is>
      </c>
      <c r="L1511" t="n">
        <v>1</v>
      </c>
      <c r="M1511">
        <f>VLOOKUP(D1511,State_Lookup!$A$2:$B$28,2,FALSE)</f>
        <v/>
      </c>
    </row>
    <row r="1512">
      <c r="A1512" t="inlineStr">
        <is>
          <t>bbcde37a6b3008557c47e31e37523380</t>
        </is>
      </c>
      <c r="B1512" t="inlineStr">
        <is>
          <t>2017-10-19</t>
        </is>
      </c>
      <c r="C1512" t="inlineStr">
        <is>
          <t>2017-10</t>
        </is>
      </c>
      <c r="D1512" t="inlineStr">
        <is>
          <t>PE</t>
        </is>
      </c>
      <c r="E1512" t="inlineStr">
        <is>
          <t>bed_bath_table</t>
        </is>
      </c>
      <c r="F1512" t="n">
        <v>1</v>
      </c>
      <c r="G1512" t="n">
        <v>113.57</v>
      </c>
      <c r="H1512" t="n">
        <v>29.19</v>
      </c>
      <c r="I1512" t="inlineStr">
        <is>
          <t>boleto</t>
        </is>
      </c>
      <c r="J1512" t="n">
        <v>13</v>
      </c>
      <c r="K1512" t="inlineStr">
        <is>
          <t>On Time</t>
        </is>
      </c>
      <c r="L1512" t="n">
        <v>1</v>
      </c>
      <c r="M1512">
        <f>VLOOKUP(D1512,State_Lookup!$A$2:$B$28,2,FALSE)</f>
        <v/>
      </c>
    </row>
    <row r="1513">
      <c r="A1513" t="inlineStr">
        <is>
          <t>761d39ded287ade72b1e8bdd95fe0253</t>
        </is>
      </c>
      <c r="B1513" t="inlineStr">
        <is>
          <t>2017-10-20</t>
        </is>
      </c>
      <c r="C1513" t="inlineStr">
        <is>
          <t>2017-10</t>
        </is>
      </c>
      <c r="D1513" t="inlineStr">
        <is>
          <t>PA</t>
        </is>
      </c>
      <c r="E1513" t="inlineStr">
        <is>
          <t>furniture_decor</t>
        </is>
      </c>
      <c r="F1513" t="n">
        <v>1</v>
      </c>
      <c r="G1513" t="n">
        <v>49.9</v>
      </c>
      <c r="H1513" t="n">
        <v>17.63</v>
      </c>
      <c r="I1513" t="inlineStr">
        <is>
          <t>boleto</t>
        </is>
      </c>
      <c r="J1513" t="n">
        <v>27</v>
      </c>
      <c r="K1513" t="inlineStr">
        <is>
          <t>On Time</t>
        </is>
      </c>
      <c r="L1513" t="n">
        <v>3</v>
      </c>
      <c r="M1513">
        <f>VLOOKUP(D1513,State_Lookup!$A$2:$B$28,2,FALSE)</f>
        <v/>
      </c>
    </row>
    <row r="1514">
      <c r="A1514" t="inlineStr">
        <is>
          <t>5040757d4e06a4be96d3827b860b4e7c</t>
        </is>
      </c>
      <c r="B1514" t="inlineStr">
        <is>
          <t>2017-10-20</t>
        </is>
      </c>
      <c r="C1514" t="inlineStr">
        <is>
          <t>2017-10</t>
        </is>
      </c>
      <c r="D1514" t="inlineStr">
        <is>
          <t>PR</t>
        </is>
      </c>
      <c r="E1514" t="inlineStr">
        <is>
          <t>office_furniture</t>
        </is>
      </c>
      <c r="F1514" t="n">
        <v>1</v>
      </c>
      <c r="G1514" t="n">
        <v>196.99</v>
      </c>
      <c r="H1514" t="n">
        <v>56.66</v>
      </c>
      <c r="I1514" t="inlineStr">
        <is>
          <t>credit_card</t>
        </is>
      </c>
      <c r="J1514" t="n">
        <v>16</v>
      </c>
      <c r="K1514" t="inlineStr">
        <is>
          <t>On Time</t>
        </is>
      </c>
      <c r="L1514" t="n">
        <v>5</v>
      </c>
      <c r="M1514">
        <f>VLOOKUP(D1514,State_Lookup!$A$2:$B$28,2,FALSE)</f>
        <v/>
      </c>
    </row>
    <row r="1515">
      <c r="A1515" t="inlineStr">
        <is>
          <t>fece1a5c7d5e72767ad76c233788b414</t>
        </is>
      </c>
      <c r="B1515" t="inlineStr">
        <is>
          <t>2017-10-20</t>
        </is>
      </c>
      <c r="C1515" t="inlineStr">
        <is>
          <t>2017-10</t>
        </is>
      </c>
      <c r="D1515" t="inlineStr">
        <is>
          <t>SP</t>
        </is>
      </c>
      <c r="E1515" t="inlineStr">
        <is>
          <t>garden_tools</t>
        </is>
      </c>
      <c r="F1515" t="n">
        <v>1</v>
      </c>
      <c r="G1515" t="n">
        <v>89</v>
      </c>
      <c r="H1515" t="n">
        <v>45.08</v>
      </c>
      <c r="I1515" t="inlineStr">
        <is>
          <t>credit_card</t>
        </is>
      </c>
      <c r="J1515" t="n">
        <v>6</v>
      </c>
      <c r="K1515" t="inlineStr">
        <is>
          <t>On Time</t>
        </is>
      </c>
      <c r="L1515" t="n">
        <v>5</v>
      </c>
      <c r="M1515">
        <f>VLOOKUP(D1515,State_Lookup!$A$2:$B$28,2,FALSE)</f>
        <v/>
      </c>
    </row>
    <row r="1516">
      <c r="A1516" t="inlineStr">
        <is>
          <t>851b8de268e532c930dc8f315d1434d0</t>
        </is>
      </c>
      <c r="B1516" t="inlineStr">
        <is>
          <t>2017-10-20</t>
        </is>
      </c>
      <c r="C1516" t="inlineStr">
        <is>
          <t>2017-10</t>
        </is>
      </c>
      <c r="D1516" t="inlineStr">
        <is>
          <t>MS</t>
        </is>
      </c>
      <c r="E1516" t="inlineStr">
        <is>
          <t>books_technical</t>
        </is>
      </c>
      <c r="F1516" t="n">
        <v>1</v>
      </c>
      <c r="G1516" t="n">
        <v>70</v>
      </c>
      <c r="H1516" t="n">
        <v>14.24</v>
      </c>
      <c r="I1516" t="inlineStr">
        <is>
          <t>credit_card</t>
        </is>
      </c>
      <c r="J1516" t="n">
        <v>7</v>
      </c>
      <c r="K1516" t="inlineStr">
        <is>
          <t>On Time</t>
        </is>
      </c>
      <c r="L1516" t="n">
        <v>4</v>
      </c>
      <c r="M1516">
        <f>VLOOKUP(D1516,State_Lookup!$A$2:$B$28,2,FALSE)</f>
        <v/>
      </c>
    </row>
    <row r="1517">
      <c r="A1517" t="inlineStr">
        <is>
          <t>8b982020bb9eb478d9cacb4d7e7f4a05</t>
        </is>
      </c>
      <c r="B1517" t="inlineStr">
        <is>
          <t>2017-10-20</t>
        </is>
      </c>
      <c r="C1517" t="inlineStr">
        <is>
          <t>2017-10</t>
        </is>
      </c>
      <c r="D1517" t="inlineStr">
        <is>
          <t>RJ</t>
        </is>
      </c>
      <c r="E1517" t="inlineStr">
        <is>
          <t>cool_stuff</t>
        </is>
      </c>
      <c r="F1517" t="n">
        <v>1</v>
      </c>
      <c r="G1517" t="n">
        <v>139.9</v>
      </c>
      <c r="H1517" t="n">
        <v>22.85</v>
      </c>
      <c r="I1517" t="inlineStr">
        <is>
          <t>credit_card</t>
        </is>
      </c>
      <c r="J1517" t="n">
        <v>10</v>
      </c>
      <c r="K1517" t="inlineStr">
        <is>
          <t>On Time</t>
        </is>
      </c>
      <c r="L1517" t="n">
        <v>4</v>
      </c>
      <c r="M1517">
        <f>VLOOKUP(D1517,State_Lookup!$A$2:$B$28,2,FALSE)</f>
        <v/>
      </c>
    </row>
    <row r="1518">
      <c r="A1518" t="inlineStr">
        <is>
          <t>ccfa13cff25aa5ad005e434ac68acaaa</t>
        </is>
      </c>
      <c r="B1518" t="inlineStr">
        <is>
          <t>2017-10-21</t>
        </is>
      </c>
      <c r="C1518" t="inlineStr">
        <is>
          <t>2017-10</t>
        </is>
      </c>
      <c r="D1518" t="inlineStr">
        <is>
          <t>MG</t>
        </is>
      </c>
      <c r="E1518" t="inlineStr">
        <is>
          <t>health_beauty</t>
        </is>
      </c>
      <c r="F1518" t="n">
        <v>1</v>
      </c>
      <c r="G1518" t="n">
        <v>23.99</v>
      </c>
      <c r="H1518" t="n">
        <v>14.1</v>
      </c>
      <c r="I1518" t="inlineStr">
        <is>
          <t>boleto</t>
        </is>
      </c>
      <c r="J1518" t="inlineStr"/>
      <c r="K1518" t="inlineStr">
        <is>
          <t>Not Delivered</t>
        </is>
      </c>
      <c r="L1518" t="n">
        <v>4</v>
      </c>
      <c r="M1518">
        <f>VLOOKUP(D1518,State_Lookup!$A$2:$B$28,2,FALSE)</f>
        <v/>
      </c>
    </row>
    <row r="1519">
      <c r="A1519" t="inlineStr">
        <is>
          <t>beece9368912132712839b6b9194180d</t>
        </is>
      </c>
      <c r="B1519" t="inlineStr">
        <is>
          <t>2017-10-21</t>
        </is>
      </c>
      <c r="C1519" t="inlineStr">
        <is>
          <t>2017-10</t>
        </is>
      </c>
      <c r="D1519" t="inlineStr">
        <is>
          <t>RJ</t>
        </is>
      </c>
      <c r="E1519" t="inlineStr">
        <is>
          <t>toys</t>
        </is>
      </c>
      <c r="F1519" t="n">
        <v>1</v>
      </c>
      <c r="G1519" t="n">
        <v>82.90000000000001</v>
      </c>
      <c r="H1519" t="n">
        <v>15.33</v>
      </c>
      <c r="I1519" t="inlineStr">
        <is>
          <t>credit_card</t>
        </is>
      </c>
      <c r="J1519" t="n">
        <v>5</v>
      </c>
      <c r="K1519" t="inlineStr">
        <is>
          <t>On Time</t>
        </is>
      </c>
      <c r="L1519" t="n">
        <v>5</v>
      </c>
      <c r="M1519">
        <f>VLOOKUP(D1519,State_Lookup!$A$2:$B$28,2,FALSE)</f>
        <v/>
      </c>
    </row>
    <row r="1520">
      <c r="A1520" t="inlineStr">
        <is>
          <t>739b9020863344c26e8215b55208591e</t>
        </is>
      </c>
      <c r="B1520" t="inlineStr">
        <is>
          <t>2017-10-21</t>
        </is>
      </c>
      <c r="C1520" t="inlineStr">
        <is>
          <t>2017-10</t>
        </is>
      </c>
      <c r="D1520" t="inlineStr">
        <is>
          <t>SP</t>
        </is>
      </c>
      <c r="E1520" t="inlineStr">
        <is>
          <t>watches_gifts</t>
        </is>
      </c>
      <c r="F1520" t="n">
        <v>1</v>
      </c>
      <c r="G1520" t="n">
        <v>146</v>
      </c>
      <c r="H1520" t="n">
        <v>12.52</v>
      </c>
      <c r="I1520" t="inlineStr">
        <is>
          <t>credit_card</t>
        </is>
      </c>
      <c r="J1520" t="n">
        <v>6</v>
      </c>
      <c r="K1520" t="inlineStr">
        <is>
          <t>On Time</t>
        </is>
      </c>
      <c r="L1520" t="n">
        <v>5</v>
      </c>
      <c r="M1520">
        <f>VLOOKUP(D1520,State_Lookup!$A$2:$B$28,2,FALSE)</f>
        <v/>
      </c>
    </row>
    <row r="1521">
      <c r="A1521" t="inlineStr">
        <is>
          <t>17c6fca3637ae29093221f080840ff9e</t>
        </is>
      </c>
      <c r="B1521" t="inlineStr">
        <is>
          <t>2017-10-21</t>
        </is>
      </c>
      <c r="C1521" t="inlineStr">
        <is>
          <t>2017-10</t>
        </is>
      </c>
      <c r="D1521" t="inlineStr">
        <is>
          <t>MG</t>
        </is>
      </c>
      <c r="E1521" t="inlineStr">
        <is>
          <t>garden_tools</t>
        </is>
      </c>
      <c r="F1521" t="n">
        <v>1</v>
      </c>
      <c r="G1521" t="n">
        <v>179.9</v>
      </c>
      <c r="H1521" t="n">
        <v>17.02</v>
      </c>
      <c r="I1521" t="inlineStr">
        <is>
          <t>credit_card</t>
        </is>
      </c>
      <c r="J1521" t="n">
        <v>6</v>
      </c>
      <c r="K1521" t="inlineStr">
        <is>
          <t>On Time</t>
        </is>
      </c>
      <c r="L1521" t="n">
        <v>5</v>
      </c>
      <c r="M1521">
        <f>VLOOKUP(D1521,State_Lookup!$A$2:$B$28,2,FALSE)</f>
        <v/>
      </c>
    </row>
    <row r="1522">
      <c r="A1522" t="inlineStr">
        <is>
          <t>c40dde193e5c66baefaaace305961861</t>
        </is>
      </c>
      <c r="B1522" t="inlineStr">
        <is>
          <t>2017-10-21</t>
        </is>
      </c>
      <c r="C1522" t="inlineStr">
        <is>
          <t>2017-10</t>
        </is>
      </c>
      <c r="D1522" t="inlineStr">
        <is>
          <t>MG</t>
        </is>
      </c>
      <c r="E1522" t="inlineStr">
        <is>
          <t>computers_accessories</t>
        </is>
      </c>
      <c r="F1522" t="n">
        <v>1</v>
      </c>
      <c r="G1522" t="n">
        <v>31.9</v>
      </c>
      <c r="H1522" t="n">
        <v>9.09</v>
      </c>
      <c r="I1522" t="inlineStr">
        <is>
          <t>credit_card</t>
        </is>
      </c>
      <c r="J1522" t="n">
        <v>5</v>
      </c>
      <c r="K1522" t="inlineStr">
        <is>
          <t>On Time</t>
        </is>
      </c>
      <c r="L1522" t="n">
        <v>5</v>
      </c>
      <c r="M1522">
        <f>VLOOKUP(D1522,State_Lookup!$A$2:$B$28,2,FALSE)</f>
        <v/>
      </c>
    </row>
    <row r="1523">
      <c r="A1523" t="inlineStr">
        <is>
          <t>3cf35e66383eac0fa651e99728d09c8c</t>
        </is>
      </c>
      <c r="B1523" t="inlineStr">
        <is>
          <t>2017-10-21</t>
        </is>
      </c>
      <c r="C1523" t="inlineStr">
        <is>
          <t>2017-10</t>
        </is>
      </c>
      <c r="D1523" t="inlineStr">
        <is>
          <t>MG</t>
        </is>
      </c>
      <c r="E1523" t="inlineStr">
        <is>
          <t>health_beauty</t>
        </is>
      </c>
      <c r="F1523" t="n">
        <v>1</v>
      </c>
      <c r="G1523" t="n">
        <v>149.9</v>
      </c>
      <c r="H1523" t="n">
        <v>18.3</v>
      </c>
      <c r="I1523" t="inlineStr">
        <is>
          <t>credit_card</t>
        </is>
      </c>
      <c r="J1523" t="n">
        <v>12</v>
      </c>
      <c r="K1523" t="inlineStr">
        <is>
          <t>On Time</t>
        </is>
      </c>
      <c r="L1523" t="n">
        <v>4</v>
      </c>
      <c r="M1523">
        <f>VLOOKUP(D1523,State_Lookup!$A$2:$B$28,2,FALSE)</f>
        <v/>
      </c>
    </row>
    <row r="1524">
      <c r="A1524" t="inlineStr">
        <is>
          <t>7b38728b3f2fb3b9c622306b2ddcbe96</t>
        </is>
      </c>
      <c r="B1524" t="inlineStr">
        <is>
          <t>2017-10-22</t>
        </is>
      </c>
      <c r="C1524" t="inlineStr">
        <is>
          <t>2017-10</t>
        </is>
      </c>
      <c r="D1524" t="inlineStr">
        <is>
          <t>RJ</t>
        </is>
      </c>
      <c r="E1524" t="inlineStr">
        <is>
          <t>garden_tools</t>
        </is>
      </c>
      <c r="F1524" t="n">
        <v>4</v>
      </c>
      <c r="G1524" t="n">
        <v>239.6</v>
      </c>
      <c r="H1524" t="n">
        <v>70.68000000000001</v>
      </c>
      <c r="I1524" t="inlineStr">
        <is>
          <t>credit_card</t>
        </is>
      </c>
      <c r="J1524" t="n">
        <v>10</v>
      </c>
      <c r="K1524" t="inlineStr">
        <is>
          <t>On Time</t>
        </is>
      </c>
      <c r="L1524" t="n">
        <v>5</v>
      </c>
      <c r="M1524">
        <f>VLOOKUP(D1524,State_Lookup!$A$2:$B$28,2,FALSE)</f>
        <v/>
      </c>
    </row>
    <row r="1525">
      <c r="A1525" t="inlineStr">
        <is>
          <t>42560dfc8d7863a190293678f01f6bbd</t>
        </is>
      </c>
      <c r="B1525" t="inlineStr">
        <is>
          <t>2017-10-22</t>
        </is>
      </c>
      <c r="C1525" t="inlineStr">
        <is>
          <t>2017-10</t>
        </is>
      </c>
      <c r="D1525" t="inlineStr">
        <is>
          <t>SP</t>
        </is>
      </c>
      <c r="E1525" t="inlineStr">
        <is>
          <t>housewares</t>
        </is>
      </c>
      <c r="F1525" t="n">
        <v>2</v>
      </c>
      <c r="G1525" t="n">
        <v>29.8</v>
      </c>
      <c r="H1525" t="n">
        <v>15.56</v>
      </c>
      <c r="I1525" t="inlineStr">
        <is>
          <t>credit_card</t>
        </is>
      </c>
      <c r="J1525" t="n">
        <v>2</v>
      </c>
      <c r="K1525" t="inlineStr">
        <is>
          <t>On Time</t>
        </is>
      </c>
      <c r="L1525" t="n">
        <v>5</v>
      </c>
      <c r="M1525">
        <f>VLOOKUP(D1525,State_Lookup!$A$2:$B$28,2,FALSE)</f>
        <v/>
      </c>
    </row>
    <row r="1526">
      <c r="A1526" t="inlineStr">
        <is>
          <t>775dfb31da346e5cf77c2fda51ae7bd4</t>
        </is>
      </c>
      <c r="B1526" t="inlineStr">
        <is>
          <t>2017-10-22</t>
        </is>
      </c>
      <c r="C1526" t="inlineStr">
        <is>
          <t>2017-10</t>
        </is>
      </c>
      <c r="D1526" t="inlineStr">
        <is>
          <t>RS</t>
        </is>
      </c>
      <c r="E1526" t="inlineStr">
        <is>
          <t>audio</t>
        </is>
      </c>
      <c r="F1526" t="n">
        <v>1</v>
      </c>
      <c r="G1526" t="n">
        <v>89</v>
      </c>
      <c r="H1526" t="n">
        <v>14.37</v>
      </c>
      <c r="I1526" t="inlineStr">
        <is>
          <t>credit_card</t>
        </is>
      </c>
      <c r="J1526" t="n">
        <v>15</v>
      </c>
      <c r="K1526" t="inlineStr">
        <is>
          <t>On Time</t>
        </is>
      </c>
      <c r="L1526" t="n">
        <v>5</v>
      </c>
      <c r="M1526">
        <f>VLOOKUP(D1526,State_Lookup!$A$2:$B$28,2,FALSE)</f>
        <v/>
      </c>
    </row>
    <row r="1527">
      <c r="A1527" t="inlineStr">
        <is>
          <t>c1b87c671fed6c43d7d20e5142646cee</t>
        </is>
      </c>
      <c r="B1527" t="inlineStr">
        <is>
          <t>2017-10-22</t>
        </is>
      </c>
      <c r="C1527" t="inlineStr">
        <is>
          <t>2017-10</t>
        </is>
      </c>
      <c r="D1527" t="inlineStr">
        <is>
          <t>MG</t>
        </is>
      </c>
      <c r="E1527" t="inlineStr">
        <is>
          <t>telephony</t>
        </is>
      </c>
      <c r="F1527" t="n">
        <v>1</v>
      </c>
      <c r="G1527" t="n">
        <v>27.99</v>
      </c>
      <c r="H1527" t="n">
        <v>15.1</v>
      </c>
      <c r="I1527" t="inlineStr">
        <is>
          <t>credit_card</t>
        </is>
      </c>
      <c r="J1527" t="n">
        <v>5</v>
      </c>
      <c r="K1527" t="inlineStr">
        <is>
          <t>On Time</t>
        </is>
      </c>
      <c r="L1527" t="n">
        <v>5</v>
      </c>
      <c r="M1527">
        <f>VLOOKUP(D1527,State_Lookup!$A$2:$B$28,2,FALSE)</f>
        <v/>
      </c>
    </row>
    <row r="1528">
      <c r="A1528" t="inlineStr">
        <is>
          <t>31148380343ee0a6d9c87f7e80e574ec</t>
        </is>
      </c>
      <c r="B1528" t="inlineStr">
        <is>
          <t>2017-10-22</t>
        </is>
      </c>
      <c r="C1528" t="inlineStr">
        <is>
          <t>2017-10</t>
        </is>
      </c>
      <c r="D1528" t="inlineStr">
        <is>
          <t>BA</t>
        </is>
      </c>
      <c r="E1528" t="inlineStr">
        <is>
          <t>stationery</t>
        </is>
      </c>
      <c r="F1528" t="n">
        <v>1</v>
      </c>
      <c r="G1528" t="n">
        <v>97.47</v>
      </c>
      <c r="H1528" t="n">
        <v>47.21</v>
      </c>
      <c r="I1528" t="inlineStr">
        <is>
          <t>credit_card</t>
        </is>
      </c>
      <c r="J1528" t="n">
        <v>26</v>
      </c>
      <c r="K1528" t="inlineStr">
        <is>
          <t>On Time</t>
        </is>
      </c>
      <c r="L1528" t="n">
        <v>5</v>
      </c>
      <c r="M1528">
        <f>VLOOKUP(D1528,State_Lookup!$A$2:$B$28,2,FALSE)</f>
        <v/>
      </c>
    </row>
    <row r="1529">
      <c r="A1529" t="inlineStr">
        <is>
          <t>d6d672062a715f1a2bd844d2797c1dcd</t>
        </is>
      </c>
      <c r="B1529" t="inlineStr">
        <is>
          <t>2017-10-22</t>
        </is>
      </c>
      <c r="C1529" t="inlineStr">
        <is>
          <t>2017-10</t>
        </is>
      </c>
      <c r="D1529" t="inlineStr">
        <is>
          <t>RJ</t>
        </is>
      </c>
      <c r="E1529" t="inlineStr">
        <is>
          <t>baby</t>
        </is>
      </c>
      <c r="F1529" t="n">
        <v>1</v>
      </c>
      <c r="G1529" t="n">
        <v>79.90000000000001</v>
      </c>
      <c r="H1529" t="n">
        <v>16.32</v>
      </c>
      <c r="I1529" t="inlineStr">
        <is>
          <t>credit_card</t>
        </is>
      </c>
      <c r="J1529" t="n">
        <v>16</v>
      </c>
      <c r="K1529" t="inlineStr">
        <is>
          <t>On Time</t>
        </is>
      </c>
      <c r="L1529" t="n">
        <v>4</v>
      </c>
      <c r="M1529">
        <f>VLOOKUP(D1529,State_Lookup!$A$2:$B$28,2,FALSE)</f>
        <v/>
      </c>
    </row>
    <row r="1530">
      <c r="A1530" t="inlineStr">
        <is>
          <t>b662bdadd70714c6b51d0d66049c6afb</t>
        </is>
      </c>
      <c r="B1530" t="inlineStr">
        <is>
          <t>2017-10-22</t>
        </is>
      </c>
      <c r="C1530" t="inlineStr">
        <is>
          <t>2017-10</t>
        </is>
      </c>
      <c r="D1530" t="inlineStr">
        <is>
          <t>SP</t>
        </is>
      </c>
      <c r="E1530" t="inlineStr">
        <is>
          <t>cool_stuff</t>
        </is>
      </c>
      <c r="F1530" t="n">
        <v>1</v>
      </c>
      <c r="G1530" t="n">
        <v>146.99</v>
      </c>
      <c r="H1530" t="n">
        <v>13.58</v>
      </c>
      <c r="I1530" t="inlineStr">
        <is>
          <t>boleto</t>
        </is>
      </c>
      <c r="J1530" t="n">
        <v>4</v>
      </c>
      <c r="K1530" t="inlineStr">
        <is>
          <t>On Time</t>
        </is>
      </c>
      <c r="L1530" t="n">
        <v>5</v>
      </c>
      <c r="M1530">
        <f>VLOOKUP(D1530,State_Lookup!$A$2:$B$28,2,FALSE)</f>
        <v/>
      </c>
    </row>
    <row r="1531">
      <c r="A1531" t="inlineStr">
        <is>
          <t>6d6491e68b2e416f68ec6e23e004d3a3</t>
        </is>
      </c>
      <c r="B1531" t="inlineStr">
        <is>
          <t>2017-10-22</t>
        </is>
      </c>
      <c r="C1531" t="inlineStr">
        <is>
          <t>2017-10</t>
        </is>
      </c>
      <c r="D1531" t="inlineStr">
        <is>
          <t>RJ</t>
        </is>
      </c>
      <c r="E1531" t="inlineStr">
        <is>
          <t>housewares</t>
        </is>
      </c>
      <c r="F1531" t="n">
        <v>6</v>
      </c>
      <c r="G1531" t="n">
        <v>57.6</v>
      </c>
      <c r="H1531" t="n">
        <v>96.66</v>
      </c>
      <c r="I1531" t="inlineStr">
        <is>
          <t>credit_card</t>
        </is>
      </c>
      <c r="J1531" t="n">
        <v>10</v>
      </c>
      <c r="K1531" t="inlineStr">
        <is>
          <t>On Time</t>
        </is>
      </c>
      <c r="L1531" t="n">
        <v>1</v>
      </c>
      <c r="M1531">
        <f>VLOOKUP(D1531,State_Lookup!$A$2:$B$28,2,FALSE)</f>
        <v/>
      </c>
    </row>
    <row r="1532">
      <c r="A1532" t="inlineStr">
        <is>
          <t>affd57fb0daa6ba18e47cb9f31c2bc65</t>
        </is>
      </c>
      <c r="B1532" t="inlineStr">
        <is>
          <t>2017-10-23</t>
        </is>
      </c>
      <c r="C1532" t="inlineStr">
        <is>
          <t>2017-10</t>
        </is>
      </c>
      <c r="D1532" t="inlineStr">
        <is>
          <t>RJ</t>
        </is>
      </c>
      <c r="E1532" t="inlineStr">
        <is>
          <t>health_beauty</t>
        </is>
      </c>
      <c r="F1532" t="n">
        <v>1</v>
      </c>
      <c r="G1532" t="n">
        <v>79.90000000000001</v>
      </c>
      <c r="H1532" t="n">
        <v>18.8</v>
      </c>
      <c r="I1532" t="inlineStr">
        <is>
          <t>boleto</t>
        </is>
      </c>
      <c r="J1532" t="n">
        <v>8</v>
      </c>
      <c r="K1532" t="inlineStr">
        <is>
          <t>On Time</t>
        </is>
      </c>
      <c r="L1532" t="n">
        <v>2</v>
      </c>
      <c r="M1532">
        <f>VLOOKUP(D1532,State_Lookup!$A$2:$B$28,2,FALSE)</f>
        <v/>
      </c>
    </row>
    <row r="1533">
      <c r="A1533" t="inlineStr">
        <is>
          <t>cefe510f726c2a8d6a5f0a8a515ebf50</t>
        </is>
      </c>
      <c r="B1533" t="inlineStr">
        <is>
          <t>2017-10-23</t>
        </is>
      </c>
      <c r="C1533" t="inlineStr">
        <is>
          <t>2017-10</t>
        </is>
      </c>
      <c r="D1533" t="inlineStr">
        <is>
          <t>MG</t>
        </is>
      </c>
      <c r="E1533" t="inlineStr">
        <is>
          <t>telephony</t>
        </is>
      </c>
      <c r="F1533" t="n">
        <v>1</v>
      </c>
      <c r="G1533" t="n">
        <v>28.99</v>
      </c>
      <c r="H1533" t="n">
        <v>15.1</v>
      </c>
      <c r="I1533" t="inlineStr">
        <is>
          <t>credit_card</t>
        </is>
      </c>
      <c r="J1533" t="n">
        <v>11</v>
      </c>
      <c r="K1533" t="inlineStr">
        <is>
          <t>On Time</t>
        </is>
      </c>
      <c r="L1533" t="n">
        <v>1</v>
      </c>
      <c r="M1533">
        <f>VLOOKUP(D1533,State_Lookup!$A$2:$B$28,2,FALSE)</f>
        <v/>
      </c>
    </row>
    <row r="1534">
      <c r="A1534" t="inlineStr">
        <is>
          <t>a24c341da692fe0a57ba6140bf33e1a5</t>
        </is>
      </c>
      <c r="B1534" t="inlineStr">
        <is>
          <t>2017-10-23</t>
        </is>
      </c>
      <c r="C1534" t="inlineStr">
        <is>
          <t>2017-10</t>
        </is>
      </c>
      <c r="D1534" t="inlineStr">
        <is>
          <t>RJ</t>
        </is>
      </c>
      <c r="E1534" t="inlineStr">
        <is>
          <t>cool_stuff</t>
        </is>
      </c>
      <c r="F1534" t="n">
        <v>1</v>
      </c>
      <c r="G1534" t="n">
        <v>99.98999999999999</v>
      </c>
      <c r="H1534" t="n">
        <v>15.46</v>
      </c>
      <c r="I1534" t="inlineStr">
        <is>
          <t>credit_card</t>
        </is>
      </c>
      <c r="J1534" t="n">
        <v>3</v>
      </c>
      <c r="K1534" t="inlineStr">
        <is>
          <t>On Time</t>
        </is>
      </c>
      <c r="L1534" t="n">
        <v>5</v>
      </c>
      <c r="M1534">
        <f>VLOOKUP(D1534,State_Lookup!$A$2:$B$28,2,FALSE)</f>
        <v/>
      </c>
    </row>
    <row r="1535">
      <c r="A1535" t="inlineStr">
        <is>
          <t>045b7b7bf230ace5044f87ad5de18dd0</t>
        </is>
      </c>
      <c r="B1535" t="inlineStr">
        <is>
          <t>2017-10-23</t>
        </is>
      </c>
      <c r="C1535" t="inlineStr">
        <is>
          <t>2017-10</t>
        </is>
      </c>
      <c r="D1535" t="inlineStr">
        <is>
          <t>SP</t>
        </is>
      </c>
      <c r="E1535" t="inlineStr">
        <is>
          <t>toys</t>
        </is>
      </c>
      <c r="F1535" t="n">
        <v>1</v>
      </c>
      <c r="G1535" t="n">
        <v>15</v>
      </c>
      <c r="H1535" t="n">
        <v>11.85</v>
      </c>
      <c r="I1535" t="inlineStr">
        <is>
          <t>credit_card</t>
        </is>
      </c>
      <c r="J1535" t="n">
        <v>4</v>
      </c>
      <c r="K1535" t="inlineStr">
        <is>
          <t>On Time</t>
        </is>
      </c>
      <c r="L1535" t="n">
        <v>5</v>
      </c>
      <c r="M1535">
        <f>VLOOKUP(D1535,State_Lookup!$A$2:$B$28,2,FALSE)</f>
        <v/>
      </c>
    </row>
    <row r="1536">
      <c r="A1536" t="inlineStr">
        <is>
          <t>2121cb62043eb2269ab8bc218100c2e4</t>
        </is>
      </c>
      <c r="B1536" t="inlineStr">
        <is>
          <t>2017-10-23</t>
        </is>
      </c>
      <c r="C1536" t="inlineStr">
        <is>
          <t>2017-10</t>
        </is>
      </c>
      <c r="D1536" t="inlineStr">
        <is>
          <t>ES</t>
        </is>
      </c>
      <c r="E1536" t="inlineStr">
        <is>
          <t>agro_industry_and_commerce</t>
        </is>
      </c>
      <c r="F1536" t="n">
        <v>1</v>
      </c>
      <c r="G1536" t="n">
        <v>44.3</v>
      </c>
      <c r="H1536" t="n">
        <v>17.63</v>
      </c>
      <c r="I1536" t="inlineStr">
        <is>
          <t>boleto</t>
        </is>
      </c>
      <c r="J1536" t="n">
        <v>14</v>
      </c>
      <c r="K1536" t="inlineStr">
        <is>
          <t>On Time</t>
        </is>
      </c>
      <c r="L1536" t="n">
        <v>5</v>
      </c>
      <c r="M1536">
        <f>VLOOKUP(D1536,State_Lookup!$A$2:$B$28,2,FALSE)</f>
        <v/>
      </c>
    </row>
    <row r="1537">
      <c r="A1537" t="inlineStr">
        <is>
          <t>4c4dfbd9dceafac8eb2e502352559f18</t>
        </is>
      </c>
      <c r="B1537" t="inlineStr">
        <is>
          <t>2017-10-23</t>
        </is>
      </c>
      <c r="C1537" t="inlineStr">
        <is>
          <t>2017-10</t>
        </is>
      </c>
      <c r="D1537" t="inlineStr">
        <is>
          <t>SP</t>
        </is>
      </c>
      <c r="E1537" t="inlineStr">
        <is>
          <t>bed_bath_table</t>
        </is>
      </c>
      <c r="F1537" t="n">
        <v>1</v>
      </c>
      <c r="G1537" t="n">
        <v>113.57</v>
      </c>
      <c r="H1537" t="n">
        <v>13.81</v>
      </c>
      <c r="I1537" t="inlineStr">
        <is>
          <t>credit_card</t>
        </is>
      </c>
      <c r="J1537" t="n">
        <v>4</v>
      </c>
      <c r="K1537" t="inlineStr">
        <is>
          <t>On Time</t>
        </is>
      </c>
      <c r="L1537" t="n">
        <v>2</v>
      </c>
      <c r="M1537">
        <f>VLOOKUP(D1537,State_Lookup!$A$2:$B$28,2,FALSE)</f>
        <v/>
      </c>
    </row>
    <row r="1538">
      <c r="A1538" t="inlineStr">
        <is>
          <t>70623d7ff2e126f3688dba1042ec9531</t>
        </is>
      </c>
      <c r="B1538" t="inlineStr">
        <is>
          <t>2017-10-23</t>
        </is>
      </c>
      <c r="C1538" t="inlineStr">
        <is>
          <t>2017-10</t>
        </is>
      </c>
      <c r="D1538" t="inlineStr">
        <is>
          <t>RJ</t>
        </is>
      </c>
      <c r="E1538" t="inlineStr">
        <is>
          <t>computers</t>
        </is>
      </c>
      <c r="F1538" t="n">
        <v>1</v>
      </c>
      <c r="G1538" t="n">
        <v>1437</v>
      </c>
      <c r="H1538" t="n">
        <v>34.51</v>
      </c>
      <c r="I1538" t="inlineStr">
        <is>
          <t>credit_card</t>
        </is>
      </c>
      <c r="J1538" t="n">
        <v>7</v>
      </c>
      <c r="K1538" t="inlineStr">
        <is>
          <t>On Time</t>
        </is>
      </c>
      <c r="L1538" t="n">
        <v>5</v>
      </c>
      <c r="M1538">
        <f>VLOOKUP(D1538,State_Lookup!$A$2:$B$28,2,FALSE)</f>
        <v/>
      </c>
    </row>
    <row r="1539">
      <c r="A1539" t="inlineStr">
        <is>
          <t>83a0a5e31aac098fd9926b97e3b15459</t>
        </is>
      </c>
      <c r="B1539" t="inlineStr">
        <is>
          <t>2017-10-23</t>
        </is>
      </c>
      <c r="C1539" t="inlineStr">
        <is>
          <t>2017-10</t>
        </is>
      </c>
      <c r="D1539" t="inlineStr">
        <is>
          <t>SC</t>
        </is>
      </c>
      <c r="E1539" t="inlineStr">
        <is>
          <t>telephony</t>
        </is>
      </c>
      <c r="F1539" t="n">
        <v>1</v>
      </c>
      <c r="G1539" t="n">
        <v>29.99</v>
      </c>
      <c r="H1539" t="n">
        <v>15.1</v>
      </c>
      <c r="I1539" t="inlineStr">
        <is>
          <t>boleto</t>
        </is>
      </c>
      <c r="J1539" t="n">
        <v>23</v>
      </c>
      <c r="K1539" t="inlineStr">
        <is>
          <t>On Time</t>
        </is>
      </c>
      <c r="L1539" t="n">
        <v>5</v>
      </c>
      <c r="M1539">
        <f>VLOOKUP(D1539,State_Lookup!$A$2:$B$28,2,FALSE)</f>
        <v/>
      </c>
    </row>
    <row r="1540">
      <c r="A1540" t="inlineStr">
        <is>
          <t>00c405bd71187154a7846862f585a9d4</t>
        </is>
      </c>
      <c r="B1540" t="inlineStr">
        <is>
          <t>2017-10-23</t>
        </is>
      </c>
      <c r="C1540" t="inlineStr">
        <is>
          <t>2017-10</t>
        </is>
      </c>
      <c r="D1540" t="inlineStr">
        <is>
          <t>BA</t>
        </is>
      </c>
      <c r="E1540" t="inlineStr">
        <is>
          <t>health_beauty</t>
        </is>
      </c>
      <c r="F1540" t="n">
        <v>1</v>
      </c>
      <c r="G1540" t="n">
        <v>29.9</v>
      </c>
      <c r="H1540" t="n">
        <v>16.79</v>
      </c>
      <c r="I1540" t="inlineStr">
        <is>
          <t>voucher</t>
        </is>
      </c>
      <c r="J1540" t="n">
        <v>8</v>
      </c>
      <c r="K1540" t="inlineStr">
        <is>
          <t>On Time</t>
        </is>
      </c>
      <c r="L1540" t="n">
        <v>1</v>
      </c>
      <c r="M1540">
        <f>VLOOKUP(D1540,State_Lookup!$A$2:$B$28,2,FALSE)</f>
        <v/>
      </c>
    </row>
    <row r="1541">
      <c r="A1541" t="inlineStr">
        <is>
          <t>e5610cab06772aed838e6db4d682722a</t>
        </is>
      </c>
      <c r="B1541" t="inlineStr">
        <is>
          <t>2017-10-24</t>
        </is>
      </c>
      <c r="C1541" t="inlineStr">
        <is>
          <t>2017-10</t>
        </is>
      </c>
      <c r="D1541" t="inlineStr">
        <is>
          <t>SC</t>
        </is>
      </c>
      <c r="E1541" t="inlineStr">
        <is>
          <t>housewares</t>
        </is>
      </c>
      <c r="F1541" t="n">
        <v>1</v>
      </c>
      <c r="G1541" t="n">
        <v>52.9</v>
      </c>
      <c r="H1541" t="n">
        <v>15.12</v>
      </c>
      <c r="I1541" t="inlineStr">
        <is>
          <t>boleto</t>
        </is>
      </c>
      <c r="J1541" t="n">
        <v>14</v>
      </c>
      <c r="K1541" t="inlineStr">
        <is>
          <t>On Time</t>
        </is>
      </c>
      <c r="L1541" t="n">
        <v>5</v>
      </c>
      <c r="M1541">
        <f>VLOOKUP(D1541,State_Lookup!$A$2:$B$28,2,FALSE)</f>
        <v/>
      </c>
    </row>
    <row r="1542">
      <c r="A1542" t="inlineStr">
        <is>
          <t>c2deaee5e0fe626293e81bcfb557932e</t>
        </is>
      </c>
      <c r="B1542" t="inlineStr">
        <is>
          <t>2017-10-24</t>
        </is>
      </c>
      <c r="C1542" t="inlineStr">
        <is>
          <t>2017-10</t>
        </is>
      </c>
      <c r="D1542" t="inlineStr">
        <is>
          <t>RJ</t>
        </is>
      </c>
      <c r="E1542" t="inlineStr">
        <is>
          <t>consoles_games</t>
        </is>
      </c>
      <c r="F1542" t="n">
        <v>2</v>
      </c>
      <c r="G1542" t="n">
        <v>31.8</v>
      </c>
      <c r="H1542" t="n">
        <v>33.58</v>
      </c>
      <c r="I1542" t="inlineStr">
        <is>
          <t>boleto</t>
        </is>
      </c>
      <c r="J1542" t="n">
        <v>8</v>
      </c>
      <c r="K1542" t="inlineStr">
        <is>
          <t>On Time</t>
        </is>
      </c>
      <c r="L1542" t="n">
        <v>1</v>
      </c>
      <c r="M1542">
        <f>VLOOKUP(D1542,State_Lookup!$A$2:$B$28,2,FALSE)</f>
        <v/>
      </c>
    </row>
    <row r="1543">
      <c r="A1543" t="inlineStr">
        <is>
          <t>2728209b1b0553533bce4afc52716b60</t>
        </is>
      </c>
      <c r="B1543" t="inlineStr">
        <is>
          <t>2017-10-24</t>
        </is>
      </c>
      <c r="C1543" t="inlineStr">
        <is>
          <t>2017-10</t>
        </is>
      </c>
      <c r="D1543" t="inlineStr">
        <is>
          <t>RS</t>
        </is>
      </c>
      <c r="E1543" t="inlineStr">
        <is>
          <t>computers_accessories</t>
        </is>
      </c>
      <c r="F1543" t="n">
        <v>2</v>
      </c>
      <c r="G1543" t="n">
        <v>350</v>
      </c>
      <c r="H1543" t="n">
        <v>33.98</v>
      </c>
      <c r="I1543" t="inlineStr">
        <is>
          <t>boleto</t>
        </is>
      </c>
      <c r="J1543" t="n">
        <v>8</v>
      </c>
      <c r="K1543" t="inlineStr">
        <is>
          <t>On Time</t>
        </is>
      </c>
      <c r="L1543" t="n">
        <v>4</v>
      </c>
      <c r="M1543">
        <f>VLOOKUP(D1543,State_Lookup!$A$2:$B$28,2,FALSE)</f>
        <v/>
      </c>
    </row>
    <row r="1544">
      <c r="A1544" t="inlineStr">
        <is>
          <t>8774dccac317f54e3e9b3c6096a9b2c6</t>
        </is>
      </c>
      <c r="B1544" t="inlineStr">
        <is>
          <t>2017-10-24</t>
        </is>
      </c>
      <c r="C1544" t="inlineStr">
        <is>
          <t>2017-10</t>
        </is>
      </c>
      <c r="D1544" t="inlineStr">
        <is>
          <t>DF</t>
        </is>
      </c>
      <c r="E1544" t="inlineStr">
        <is>
          <t>consoles_games</t>
        </is>
      </c>
      <c r="F1544" t="n">
        <v>1</v>
      </c>
      <c r="G1544" t="n">
        <v>223.64</v>
      </c>
      <c r="H1544" t="n">
        <v>16.32</v>
      </c>
      <c r="I1544" t="inlineStr">
        <is>
          <t>credit_card</t>
        </is>
      </c>
      <c r="J1544" t="n">
        <v>10</v>
      </c>
      <c r="K1544" t="inlineStr">
        <is>
          <t>On Time</t>
        </is>
      </c>
      <c r="L1544" t="n">
        <v>5</v>
      </c>
      <c r="M1544">
        <f>VLOOKUP(D1544,State_Lookup!$A$2:$B$28,2,FALSE)</f>
        <v/>
      </c>
    </row>
    <row r="1545">
      <c r="A1545" t="inlineStr">
        <is>
          <t>0c0c250234e385578b31a38b198cf900</t>
        </is>
      </c>
      <c r="B1545" t="inlineStr">
        <is>
          <t>2017-10-24</t>
        </is>
      </c>
      <c r="C1545" t="inlineStr">
        <is>
          <t>2017-10</t>
        </is>
      </c>
      <c r="D1545" t="inlineStr">
        <is>
          <t>MG</t>
        </is>
      </c>
      <c r="E1545" t="inlineStr">
        <is>
          <t>perfumery</t>
        </is>
      </c>
      <c r="F1545" t="n">
        <v>1</v>
      </c>
      <c r="G1545" t="n">
        <v>149.9</v>
      </c>
      <c r="H1545" t="n">
        <v>15.8</v>
      </c>
      <c r="I1545" t="inlineStr">
        <is>
          <t>boleto</t>
        </is>
      </c>
      <c r="J1545" t="n">
        <v>14</v>
      </c>
      <c r="K1545" t="inlineStr">
        <is>
          <t>On Time</t>
        </is>
      </c>
      <c r="L1545" t="n">
        <v>5</v>
      </c>
      <c r="M1545">
        <f>VLOOKUP(D1545,State_Lookup!$A$2:$B$28,2,FALSE)</f>
        <v/>
      </c>
    </row>
    <row r="1546">
      <c r="A1546" t="inlineStr">
        <is>
          <t>d8921ec6a676e398ec918a0cc755af21</t>
        </is>
      </c>
      <c r="B1546" t="inlineStr">
        <is>
          <t>2017-10-24</t>
        </is>
      </c>
      <c r="C1546" t="inlineStr">
        <is>
          <t>2017-10</t>
        </is>
      </c>
      <c r="D1546" t="inlineStr">
        <is>
          <t>CE</t>
        </is>
      </c>
      <c r="E1546" t="inlineStr">
        <is>
          <t>food_drink</t>
        </is>
      </c>
      <c r="F1546" t="n">
        <v>1</v>
      </c>
      <c r="G1546" t="n">
        <v>215.56</v>
      </c>
      <c r="H1546" t="n">
        <v>21.91</v>
      </c>
      <c r="I1546" t="inlineStr">
        <is>
          <t>credit_card</t>
        </is>
      </c>
      <c r="J1546" t="n">
        <v>7</v>
      </c>
      <c r="K1546" t="inlineStr">
        <is>
          <t>On Time</t>
        </is>
      </c>
      <c r="L1546" t="n">
        <v>5</v>
      </c>
      <c r="M1546">
        <f>VLOOKUP(D1546,State_Lookup!$A$2:$B$28,2,FALSE)</f>
        <v/>
      </c>
    </row>
    <row r="1547">
      <c r="A1547" t="inlineStr">
        <is>
          <t>db681ddec887abf991bac122d6c6d4e9</t>
        </is>
      </c>
      <c r="B1547" t="inlineStr">
        <is>
          <t>2017-10-24</t>
        </is>
      </c>
      <c r="C1547" t="inlineStr">
        <is>
          <t>2017-10</t>
        </is>
      </c>
      <c r="D1547" t="inlineStr">
        <is>
          <t>DF</t>
        </is>
      </c>
      <c r="E1547" t="inlineStr">
        <is>
          <t>toys</t>
        </is>
      </c>
      <c r="F1547" t="n">
        <v>1</v>
      </c>
      <c r="G1547" t="n">
        <v>99</v>
      </c>
      <c r="H1547" t="n">
        <v>16.94</v>
      </c>
      <c r="I1547" t="inlineStr">
        <is>
          <t>boleto</t>
        </is>
      </c>
      <c r="J1547" t="n">
        <v>11</v>
      </c>
      <c r="K1547" t="inlineStr">
        <is>
          <t>On Time</t>
        </is>
      </c>
      <c r="L1547" t="n">
        <v>4</v>
      </c>
      <c r="M1547">
        <f>VLOOKUP(D1547,State_Lookup!$A$2:$B$28,2,FALSE)</f>
        <v/>
      </c>
    </row>
    <row r="1548">
      <c r="A1548" t="inlineStr">
        <is>
          <t>1662d64304e6e02a627e29b14898060c</t>
        </is>
      </c>
      <c r="B1548" t="inlineStr">
        <is>
          <t>2017-10-24</t>
        </is>
      </c>
      <c r="C1548" t="inlineStr">
        <is>
          <t>2017-10</t>
        </is>
      </c>
      <c r="D1548" t="inlineStr">
        <is>
          <t>SP</t>
        </is>
      </c>
      <c r="E1548" t="inlineStr">
        <is>
          <t>cool_stuff</t>
        </is>
      </c>
      <c r="F1548" t="n">
        <v>1</v>
      </c>
      <c r="G1548" t="n">
        <v>59.9</v>
      </c>
      <c r="H1548" t="n">
        <v>11.73</v>
      </c>
      <c r="I1548" t="inlineStr">
        <is>
          <t>boleto</t>
        </is>
      </c>
      <c r="J1548" t="n">
        <v>5</v>
      </c>
      <c r="K1548" t="inlineStr">
        <is>
          <t>On Time</t>
        </is>
      </c>
      <c r="L1548" t="n">
        <v>4</v>
      </c>
      <c r="M1548">
        <f>VLOOKUP(D1548,State_Lookup!$A$2:$B$28,2,FALSE)</f>
        <v/>
      </c>
    </row>
    <row r="1549">
      <c r="A1549" t="inlineStr">
        <is>
          <t>d2926e7840bb47e67fc52b79646cc2bb</t>
        </is>
      </c>
      <c r="B1549" t="inlineStr">
        <is>
          <t>2017-10-24</t>
        </is>
      </c>
      <c r="C1549" t="inlineStr">
        <is>
          <t>2017-10</t>
        </is>
      </c>
      <c r="D1549" t="inlineStr">
        <is>
          <t>RJ</t>
        </is>
      </c>
      <c r="E1549" t="inlineStr">
        <is>
          <t>perfumery</t>
        </is>
      </c>
      <c r="F1549" t="n">
        <v>1</v>
      </c>
      <c r="G1549" t="n">
        <v>259.9</v>
      </c>
      <c r="H1549" t="n">
        <v>19.39</v>
      </c>
      <c r="I1549" t="inlineStr">
        <is>
          <t>credit_card</t>
        </is>
      </c>
      <c r="J1549" t="n">
        <v>29</v>
      </c>
      <c r="K1549" t="inlineStr">
        <is>
          <t>Late</t>
        </is>
      </c>
      <c r="L1549" t="n">
        <v>5</v>
      </c>
      <c r="M1549">
        <f>VLOOKUP(D1549,State_Lookup!$A$2:$B$28,2,FALSE)</f>
        <v/>
      </c>
    </row>
    <row r="1550">
      <c r="A1550" t="inlineStr">
        <is>
          <t>4a3848a973c57b3f244f9a2433b43a0f</t>
        </is>
      </c>
      <c r="B1550" t="inlineStr">
        <is>
          <t>2017-10-24</t>
        </is>
      </c>
      <c r="C1550" t="inlineStr">
        <is>
          <t>2017-10</t>
        </is>
      </c>
      <c r="D1550" t="inlineStr">
        <is>
          <t>SP</t>
        </is>
      </c>
      <c r="E1550" t="inlineStr">
        <is>
          <t>market_place</t>
        </is>
      </c>
      <c r="F1550" t="n">
        <v>1</v>
      </c>
      <c r="G1550" t="n">
        <v>27.93</v>
      </c>
      <c r="H1550" t="n">
        <v>8.720000000000001</v>
      </c>
      <c r="I1550" t="inlineStr">
        <is>
          <t>boleto</t>
        </is>
      </c>
      <c r="J1550" t="n">
        <v>16</v>
      </c>
      <c r="K1550" t="inlineStr">
        <is>
          <t>Late</t>
        </is>
      </c>
      <c r="L1550" t="n">
        <v>5</v>
      </c>
      <c r="M1550">
        <f>VLOOKUP(D1550,State_Lookup!$A$2:$B$28,2,FALSE)</f>
        <v/>
      </c>
    </row>
    <row r="1551">
      <c r="A1551" t="inlineStr">
        <is>
          <t>90d36c9ade58b86290e2b48ca7348cc2</t>
        </is>
      </c>
      <c r="B1551" t="inlineStr">
        <is>
          <t>2017-10-25</t>
        </is>
      </c>
      <c r="C1551" t="inlineStr">
        <is>
          <t>2017-10</t>
        </is>
      </c>
      <c r="D1551" t="inlineStr">
        <is>
          <t>MG</t>
        </is>
      </c>
      <c r="E1551" t="inlineStr">
        <is>
          <t>home_construction</t>
        </is>
      </c>
      <c r="F1551" t="n">
        <v>1</v>
      </c>
      <c r="G1551" t="n">
        <v>660.45</v>
      </c>
      <c r="H1551" t="n">
        <v>25.11</v>
      </c>
      <c r="I1551" t="inlineStr">
        <is>
          <t>credit_card</t>
        </is>
      </c>
      <c r="J1551" t="n">
        <v>30</v>
      </c>
      <c r="K1551" t="inlineStr">
        <is>
          <t>Late</t>
        </is>
      </c>
      <c r="L1551" t="n">
        <v>1</v>
      </c>
      <c r="M1551">
        <f>VLOOKUP(D1551,State_Lookup!$A$2:$B$28,2,FALSE)</f>
        <v/>
      </c>
    </row>
    <row r="1552">
      <c r="A1552" t="inlineStr">
        <is>
          <t>4ab7de78c72f664992f3171d28974c87</t>
        </is>
      </c>
      <c r="B1552" t="inlineStr">
        <is>
          <t>2017-10-25</t>
        </is>
      </c>
      <c r="C1552" t="inlineStr">
        <is>
          <t>2017-10</t>
        </is>
      </c>
      <c r="D1552" t="inlineStr">
        <is>
          <t>SP</t>
        </is>
      </c>
      <c r="E1552" t="inlineStr">
        <is>
          <t>furniture_decor</t>
        </is>
      </c>
      <c r="F1552" t="n">
        <v>1</v>
      </c>
      <c r="G1552" t="n">
        <v>89.90000000000001</v>
      </c>
      <c r="H1552" t="n">
        <v>36.14</v>
      </c>
      <c r="I1552" t="inlineStr">
        <is>
          <t>boleto</t>
        </is>
      </c>
      <c r="J1552" t="n">
        <v>16</v>
      </c>
      <c r="K1552" t="inlineStr">
        <is>
          <t>On Time</t>
        </is>
      </c>
      <c r="L1552" t="n">
        <v>2</v>
      </c>
      <c r="M1552">
        <f>VLOOKUP(D1552,State_Lookup!$A$2:$B$28,2,FALSE)</f>
        <v/>
      </c>
    </row>
    <row r="1553">
      <c r="A1553" t="inlineStr">
        <is>
          <t>3303a91e8a879bd0c64fe750485298b0</t>
        </is>
      </c>
      <c r="B1553" t="inlineStr">
        <is>
          <t>2017-10-25</t>
        </is>
      </c>
      <c r="C1553" t="inlineStr">
        <is>
          <t>2017-10</t>
        </is>
      </c>
      <c r="D1553" t="inlineStr">
        <is>
          <t>RJ</t>
        </is>
      </c>
      <c r="E1553" t="inlineStr">
        <is>
          <t>bed_bath_table</t>
        </is>
      </c>
      <c r="F1553" t="n">
        <v>1</v>
      </c>
      <c r="G1553" t="n">
        <v>69.90000000000001</v>
      </c>
      <c r="H1553" t="n">
        <v>18.06</v>
      </c>
      <c r="I1553" t="inlineStr">
        <is>
          <t>credit_card</t>
        </is>
      </c>
      <c r="J1553" t="n">
        <v>11</v>
      </c>
      <c r="K1553" t="inlineStr">
        <is>
          <t>On Time</t>
        </is>
      </c>
      <c r="L1553" t="n">
        <v>5</v>
      </c>
      <c r="M1553">
        <f>VLOOKUP(D1553,State_Lookup!$A$2:$B$28,2,FALSE)</f>
        <v/>
      </c>
    </row>
    <row r="1554">
      <c r="A1554" t="inlineStr">
        <is>
          <t>3cc744d9a46682c354778726d30e384f</t>
        </is>
      </c>
      <c r="B1554" t="inlineStr">
        <is>
          <t>2017-10-25</t>
        </is>
      </c>
      <c r="C1554" t="inlineStr">
        <is>
          <t>2017-10</t>
        </is>
      </c>
      <c r="D1554" t="inlineStr">
        <is>
          <t>MS</t>
        </is>
      </c>
      <c r="E1554" t="inlineStr">
        <is>
          <t>watches_gifts</t>
        </is>
      </c>
      <c r="F1554" t="n">
        <v>6</v>
      </c>
      <c r="G1554" t="n">
        <v>330</v>
      </c>
      <c r="H1554" t="n">
        <v>100.98</v>
      </c>
      <c r="I1554" t="inlineStr">
        <is>
          <t>credit_card</t>
        </is>
      </c>
      <c r="J1554" t="n">
        <v>13</v>
      </c>
      <c r="K1554" t="inlineStr">
        <is>
          <t>On Time</t>
        </is>
      </c>
      <c r="L1554" t="n">
        <v>3</v>
      </c>
      <c r="M1554">
        <f>VLOOKUP(D1554,State_Lookup!$A$2:$B$28,2,FALSE)</f>
        <v/>
      </c>
    </row>
    <row r="1555">
      <c r="A1555" t="inlineStr">
        <is>
          <t>02b9a87c19eb57b9ebaebb3a6850de9f</t>
        </is>
      </c>
      <c r="B1555" t="inlineStr">
        <is>
          <t>2017-10-25</t>
        </is>
      </c>
      <c r="C1555" t="inlineStr">
        <is>
          <t>2017-10</t>
        </is>
      </c>
      <c r="D1555" t="inlineStr">
        <is>
          <t>MG</t>
        </is>
      </c>
      <c r="E1555" t="inlineStr">
        <is>
          <t>sports_leisure</t>
        </is>
      </c>
      <c r="F1555" t="n">
        <v>1</v>
      </c>
      <c r="G1555" t="n">
        <v>97</v>
      </c>
      <c r="H1555" t="n">
        <v>17.93</v>
      </c>
      <c r="I1555" t="inlineStr">
        <is>
          <t>credit_card</t>
        </is>
      </c>
      <c r="J1555" t="n">
        <v>12</v>
      </c>
      <c r="K1555" t="inlineStr">
        <is>
          <t>On Time</t>
        </is>
      </c>
      <c r="L1555" t="n">
        <v>5</v>
      </c>
      <c r="M1555">
        <f>VLOOKUP(D1555,State_Lookup!$A$2:$B$28,2,FALSE)</f>
        <v/>
      </c>
    </row>
    <row r="1556">
      <c r="A1556" t="inlineStr">
        <is>
          <t>01908071e35fdc75bc0d7764f153abc2</t>
        </is>
      </c>
      <c r="B1556" t="inlineStr">
        <is>
          <t>2017-10-25</t>
        </is>
      </c>
      <c r="C1556" t="inlineStr">
        <is>
          <t>2017-10</t>
        </is>
      </c>
      <c r="D1556" t="inlineStr">
        <is>
          <t>MA</t>
        </is>
      </c>
      <c r="E1556" t="inlineStr">
        <is>
          <t>fashion_bags_accessories</t>
        </is>
      </c>
      <c r="F1556" t="n">
        <v>1</v>
      </c>
      <c r="G1556" t="n">
        <v>89</v>
      </c>
      <c r="H1556" t="n">
        <v>25.65</v>
      </c>
      <c r="I1556" t="inlineStr">
        <is>
          <t>boleto</t>
        </is>
      </c>
      <c r="J1556" t="n">
        <v>18</v>
      </c>
      <c r="K1556" t="inlineStr">
        <is>
          <t>On Time</t>
        </is>
      </c>
      <c r="L1556" t="n">
        <v>5</v>
      </c>
      <c r="M1556">
        <f>VLOOKUP(D1556,State_Lookup!$A$2:$B$28,2,FALSE)</f>
        <v/>
      </c>
    </row>
    <row r="1557">
      <c r="A1557" t="inlineStr">
        <is>
          <t>3a02bd4d9f710f7720c8e36d15bbc6d1</t>
        </is>
      </c>
      <c r="B1557" t="inlineStr">
        <is>
          <t>2017-10-26</t>
        </is>
      </c>
      <c r="C1557" t="inlineStr">
        <is>
          <t>2017-10</t>
        </is>
      </c>
      <c r="D1557" t="inlineStr">
        <is>
          <t>MG</t>
        </is>
      </c>
      <c r="E1557" t="inlineStr">
        <is>
          <t>audio</t>
        </is>
      </c>
      <c r="F1557" t="n">
        <v>1</v>
      </c>
      <c r="G1557" t="n">
        <v>19.9</v>
      </c>
      <c r="H1557" t="n">
        <v>14.1</v>
      </c>
      <c r="I1557" t="inlineStr">
        <is>
          <t>boleto</t>
        </is>
      </c>
      <c r="J1557" t="n">
        <v>12</v>
      </c>
      <c r="K1557" t="inlineStr">
        <is>
          <t>On Time</t>
        </is>
      </c>
      <c r="L1557" t="n">
        <v>1</v>
      </c>
      <c r="M1557">
        <f>VLOOKUP(D1557,State_Lookup!$A$2:$B$28,2,FALSE)</f>
        <v/>
      </c>
    </row>
    <row r="1558">
      <c r="A1558" t="inlineStr">
        <is>
          <t>71865a55cb13d1685ed2ea7db1cb24d6</t>
        </is>
      </c>
      <c r="B1558" t="inlineStr">
        <is>
          <t>2017-10-26</t>
        </is>
      </c>
      <c r="C1558" t="inlineStr">
        <is>
          <t>2017-10</t>
        </is>
      </c>
      <c r="D1558" t="inlineStr">
        <is>
          <t>MS</t>
        </is>
      </c>
      <c r="E1558" t="inlineStr">
        <is>
          <t>computers_accessories</t>
        </is>
      </c>
      <c r="F1558" t="n">
        <v>1</v>
      </c>
      <c r="G1558" t="n">
        <v>42.99</v>
      </c>
      <c r="H1558" t="n">
        <v>15.1</v>
      </c>
      <c r="I1558" t="inlineStr">
        <is>
          <t>credit_card</t>
        </is>
      </c>
      <c r="J1558" t="n">
        <v>12</v>
      </c>
      <c r="K1558" t="inlineStr">
        <is>
          <t>On Time</t>
        </is>
      </c>
      <c r="L1558" t="n">
        <v>5</v>
      </c>
      <c r="M1558">
        <f>VLOOKUP(D1558,State_Lookup!$A$2:$B$28,2,FALSE)</f>
        <v/>
      </c>
    </row>
    <row r="1559">
      <c r="A1559" t="inlineStr">
        <is>
          <t>c8c13c8c58d62b12f9df992a5fb5710c</t>
        </is>
      </c>
      <c r="B1559" t="inlineStr">
        <is>
          <t>2017-10-26</t>
        </is>
      </c>
      <c r="C1559" t="inlineStr">
        <is>
          <t>2017-10</t>
        </is>
      </c>
      <c r="D1559" t="inlineStr">
        <is>
          <t>SP</t>
        </is>
      </c>
      <c r="E1559" t="inlineStr">
        <is>
          <t>sports_leisure</t>
        </is>
      </c>
      <c r="F1559" t="n">
        <v>1</v>
      </c>
      <c r="G1559" t="n">
        <v>19.99</v>
      </c>
      <c r="H1559" t="n">
        <v>7.78</v>
      </c>
      <c r="I1559" t="inlineStr">
        <is>
          <t>credit_card</t>
        </is>
      </c>
      <c r="J1559" t="n">
        <v>1</v>
      </c>
      <c r="K1559" t="inlineStr">
        <is>
          <t>On Time</t>
        </is>
      </c>
      <c r="L1559" t="n">
        <v>5</v>
      </c>
      <c r="M1559">
        <f>VLOOKUP(D1559,State_Lookup!$A$2:$B$28,2,FALSE)</f>
        <v/>
      </c>
    </row>
    <row r="1560">
      <c r="A1560" t="inlineStr">
        <is>
          <t>46cfd37753bbd00f768165cf4cb7ace1</t>
        </is>
      </c>
      <c r="B1560" t="inlineStr">
        <is>
          <t>2017-10-26</t>
        </is>
      </c>
      <c r="C1560" t="inlineStr">
        <is>
          <t>2017-10</t>
        </is>
      </c>
      <c r="D1560" t="inlineStr">
        <is>
          <t>SP</t>
        </is>
      </c>
      <c r="E1560" t="inlineStr">
        <is>
          <t>stationery</t>
        </is>
      </c>
      <c r="F1560" t="n">
        <v>5</v>
      </c>
      <c r="G1560" t="n">
        <v>322.7</v>
      </c>
      <c r="H1560" t="n">
        <v>65.3</v>
      </c>
      <c r="I1560" t="inlineStr">
        <is>
          <t>credit_card</t>
        </is>
      </c>
      <c r="J1560" t="n">
        <v>4</v>
      </c>
      <c r="K1560" t="inlineStr">
        <is>
          <t>On Time</t>
        </is>
      </c>
      <c r="L1560" t="n">
        <v>2</v>
      </c>
      <c r="M1560">
        <f>VLOOKUP(D1560,State_Lookup!$A$2:$B$28,2,FALSE)</f>
        <v/>
      </c>
    </row>
    <row r="1561">
      <c r="A1561" t="inlineStr">
        <is>
          <t>07bebda8aee4b9a600d9c2c1a73f93a5</t>
        </is>
      </c>
      <c r="B1561" t="inlineStr">
        <is>
          <t>2017-10-26</t>
        </is>
      </c>
      <c r="C1561" t="inlineStr">
        <is>
          <t>2017-10</t>
        </is>
      </c>
      <c r="D1561" t="inlineStr">
        <is>
          <t>MT</t>
        </is>
      </c>
      <c r="E1561" t="inlineStr">
        <is>
          <t>sports_leisure</t>
        </is>
      </c>
      <c r="F1561" t="n">
        <v>1</v>
      </c>
      <c r="G1561" t="n">
        <v>65</v>
      </c>
      <c r="H1561" t="n">
        <v>15.89</v>
      </c>
      <c r="I1561" t="inlineStr">
        <is>
          <t>credit_card</t>
        </is>
      </c>
      <c r="J1561" t="n">
        <v>11</v>
      </c>
      <c r="K1561" t="inlineStr">
        <is>
          <t>On Time</t>
        </is>
      </c>
      <c r="L1561" t="n">
        <v>4</v>
      </c>
      <c r="M1561">
        <f>VLOOKUP(D1561,State_Lookup!$A$2:$B$28,2,FALSE)</f>
        <v/>
      </c>
    </row>
    <row r="1562">
      <c r="A1562" t="inlineStr">
        <is>
          <t>780865d48893bd12dd23eb85abed0c6e</t>
        </is>
      </c>
      <c r="B1562" t="inlineStr">
        <is>
          <t>2017-10-26</t>
        </is>
      </c>
      <c r="C1562" t="inlineStr">
        <is>
          <t>2017-10</t>
        </is>
      </c>
      <c r="D1562" t="inlineStr">
        <is>
          <t>SP</t>
        </is>
      </c>
      <c r="E1562" t="inlineStr">
        <is>
          <t>unknown</t>
        </is>
      </c>
      <c r="F1562" t="n">
        <v>1</v>
      </c>
      <c r="G1562" t="n">
        <v>279.9</v>
      </c>
      <c r="H1562" t="n">
        <v>28.4</v>
      </c>
      <c r="I1562" t="inlineStr">
        <is>
          <t>credit_card</t>
        </is>
      </c>
      <c r="J1562" t="n">
        <v>5</v>
      </c>
      <c r="K1562" t="inlineStr">
        <is>
          <t>On Time</t>
        </is>
      </c>
      <c r="L1562" t="n">
        <v>5</v>
      </c>
      <c r="M1562">
        <f>VLOOKUP(D1562,State_Lookup!$A$2:$B$28,2,FALSE)</f>
        <v/>
      </c>
    </row>
    <row r="1563">
      <c r="A1563" t="inlineStr">
        <is>
          <t>4542fb157f4694bfdef42f42edbd28aa</t>
        </is>
      </c>
      <c r="B1563" t="inlineStr">
        <is>
          <t>2017-10-26</t>
        </is>
      </c>
      <c r="C1563" t="inlineStr">
        <is>
          <t>2017-10</t>
        </is>
      </c>
      <c r="D1563" t="inlineStr">
        <is>
          <t>SP</t>
        </is>
      </c>
      <c r="E1563" t="inlineStr">
        <is>
          <t>bed_bath_table</t>
        </is>
      </c>
      <c r="F1563" t="n">
        <v>1</v>
      </c>
      <c r="G1563" t="n">
        <v>135</v>
      </c>
      <c r="H1563" t="n">
        <v>16.58</v>
      </c>
      <c r="I1563" t="inlineStr">
        <is>
          <t>credit_card</t>
        </is>
      </c>
      <c r="J1563" t="n">
        <v>11</v>
      </c>
      <c r="K1563" t="inlineStr">
        <is>
          <t>On Time</t>
        </is>
      </c>
      <c r="L1563" t="n">
        <v>5</v>
      </c>
      <c r="M1563">
        <f>VLOOKUP(D1563,State_Lookup!$A$2:$B$28,2,FALSE)</f>
        <v/>
      </c>
    </row>
    <row r="1564">
      <c r="A1564" t="inlineStr">
        <is>
          <t>6cb2e47e3a5794ff1a6157838c9e32e5</t>
        </is>
      </c>
      <c r="B1564" t="inlineStr">
        <is>
          <t>2017-10-27</t>
        </is>
      </c>
      <c r="C1564" t="inlineStr">
        <is>
          <t>2017-10</t>
        </is>
      </c>
      <c r="D1564" t="inlineStr">
        <is>
          <t>PR</t>
        </is>
      </c>
      <c r="E1564" t="inlineStr">
        <is>
          <t>furniture_decor</t>
        </is>
      </c>
      <c r="F1564" t="n">
        <v>2</v>
      </c>
      <c r="G1564" t="n">
        <v>156</v>
      </c>
      <c r="H1564" t="n">
        <v>16.32</v>
      </c>
      <c r="I1564" t="inlineStr">
        <is>
          <t>credit_card</t>
        </is>
      </c>
      <c r="J1564" t="n">
        <v>10</v>
      </c>
      <c r="K1564" t="inlineStr">
        <is>
          <t>On Time</t>
        </is>
      </c>
      <c r="L1564" t="n">
        <v>4</v>
      </c>
      <c r="M1564">
        <f>VLOOKUP(D1564,State_Lookup!$A$2:$B$28,2,FALSE)</f>
        <v/>
      </c>
    </row>
    <row r="1565">
      <c r="A1565" t="inlineStr">
        <is>
          <t>84e898dd83ad8b720859ce93c97509ba</t>
        </is>
      </c>
      <c r="B1565" t="inlineStr">
        <is>
          <t>2017-10-27</t>
        </is>
      </c>
      <c r="C1565" t="inlineStr">
        <is>
          <t>2017-10</t>
        </is>
      </c>
      <c r="D1565" t="inlineStr">
        <is>
          <t>RJ</t>
        </is>
      </c>
      <c r="E1565" t="inlineStr">
        <is>
          <t>food_drink</t>
        </is>
      </c>
      <c r="F1565" t="n">
        <v>1</v>
      </c>
      <c r="G1565" t="n">
        <v>18.6</v>
      </c>
      <c r="H1565" t="n">
        <v>15.1</v>
      </c>
      <c r="I1565" t="inlineStr">
        <is>
          <t>credit_card</t>
        </is>
      </c>
      <c r="J1565" t="n">
        <v>19</v>
      </c>
      <c r="K1565" t="inlineStr">
        <is>
          <t>Late</t>
        </is>
      </c>
      <c r="L1565" t="n">
        <v>5</v>
      </c>
      <c r="M1565">
        <f>VLOOKUP(D1565,State_Lookup!$A$2:$B$28,2,FALSE)</f>
        <v/>
      </c>
    </row>
    <row r="1566">
      <c r="A1566" t="inlineStr">
        <is>
          <t>c0e6116a3c6c2d732ec1b43bb7b5f307</t>
        </is>
      </c>
      <c r="B1566" t="inlineStr">
        <is>
          <t>2017-10-27</t>
        </is>
      </c>
      <c r="C1566" t="inlineStr">
        <is>
          <t>2017-10</t>
        </is>
      </c>
      <c r="D1566" t="inlineStr">
        <is>
          <t>SP</t>
        </is>
      </c>
      <c r="E1566" t="inlineStr">
        <is>
          <t>perfumery</t>
        </is>
      </c>
      <c r="F1566" t="n">
        <v>2</v>
      </c>
      <c r="G1566" t="n">
        <v>27.98</v>
      </c>
      <c r="H1566" t="n">
        <v>15.56</v>
      </c>
      <c r="I1566" t="inlineStr">
        <is>
          <t>credit_card</t>
        </is>
      </c>
      <c r="J1566" t="n">
        <v>5</v>
      </c>
      <c r="K1566" t="inlineStr">
        <is>
          <t>On Time</t>
        </is>
      </c>
      <c r="L1566" t="n">
        <v>5</v>
      </c>
      <c r="M1566">
        <f>VLOOKUP(D1566,State_Lookup!$A$2:$B$28,2,FALSE)</f>
        <v/>
      </c>
    </row>
    <row r="1567">
      <c r="A1567" t="inlineStr">
        <is>
          <t>8abc120199358d4e0a7d5902c0d62fd4</t>
        </is>
      </c>
      <c r="B1567" t="inlineStr">
        <is>
          <t>2017-10-27</t>
        </is>
      </c>
      <c r="C1567" t="inlineStr">
        <is>
          <t>2017-10</t>
        </is>
      </c>
      <c r="D1567" t="inlineStr">
        <is>
          <t>MA</t>
        </is>
      </c>
      <c r="E1567" t="inlineStr">
        <is>
          <t>health_beauty</t>
        </is>
      </c>
      <c r="F1567" t="n">
        <v>1</v>
      </c>
      <c r="G1567" t="n">
        <v>63</v>
      </c>
      <c r="H1567" t="n">
        <v>22.76</v>
      </c>
      <c r="I1567" t="inlineStr">
        <is>
          <t>boleto</t>
        </is>
      </c>
      <c r="J1567" t="n">
        <v>11</v>
      </c>
      <c r="K1567" t="inlineStr">
        <is>
          <t>On Time</t>
        </is>
      </c>
      <c r="L1567" t="n">
        <v>5</v>
      </c>
      <c r="M1567">
        <f>VLOOKUP(D1567,State_Lookup!$A$2:$B$28,2,FALSE)</f>
        <v/>
      </c>
    </row>
    <row r="1568">
      <c r="A1568" t="inlineStr">
        <is>
          <t>79c786a94283e846deec8681219bc144</t>
        </is>
      </c>
      <c r="B1568" t="inlineStr">
        <is>
          <t>2017-10-27</t>
        </is>
      </c>
      <c r="C1568" t="inlineStr">
        <is>
          <t>2017-10</t>
        </is>
      </c>
      <c r="D1568" t="inlineStr">
        <is>
          <t>PE</t>
        </is>
      </c>
      <c r="E1568" t="inlineStr">
        <is>
          <t>watches_gifts</t>
        </is>
      </c>
      <c r="F1568" t="n">
        <v>1</v>
      </c>
      <c r="G1568" t="n">
        <v>55</v>
      </c>
      <c r="H1568" t="n">
        <v>21.19</v>
      </c>
      <c r="I1568" t="inlineStr">
        <is>
          <t>credit_card</t>
        </is>
      </c>
      <c r="J1568" t="n">
        <v>21</v>
      </c>
      <c r="K1568" t="inlineStr">
        <is>
          <t>On Time</t>
        </is>
      </c>
      <c r="L1568" t="n">
        <v>5</v>
      </c>
      <c r="M1568">
        <f>VLOOKUP(D1568,State_Lookup!$A$2:$B$28,2,FALSE)</f>
        <v/>
      </c>
    </row>
    <row r="1569">
      <c r="A1569" t="inlineStr">
        <is>
          <t>cdcbc6b851b5053b23ca73bc17d2ba50</t>
        </is>
      </c>
      <c r="B1569" t="inlineStr">
        <is>
          <t>2017-10-27</t>
        </is>
      </c>
      <c r="C1569" t="inlineStr">
        <is>
          <t>2017-10</t>
        </is>
      </c>
      <c r="D1569" t="inlineStr">
        <is>
          <t>SP</t>
        </is>
      </c>
      <c r="E1569" t="inlineStr">
        <is>
          <t>cool_stuff</t>
        </is>
      </c>
      <c r="F1569" t="n">
        <v>1</v>
      </c>
      <c r="G1569" t="n">
        <v>34.9</v>
      </c>
      <c r="H1569" t="n">
        <v>12.69</v>
      </c>
      <c r="I1569" t="inlineStr">
        <is>
          <t>credit_card</t>
        </is>
      </c>
      <c r="J1569" t="n">
        <v>4</v>
      </c>
      <c r="K1569" t="inlineStr">
        <is>
          <t>On Time</t>
        </is>
      </c>
      <c r="L1569" t="n">
        <v>5</v>
      </c>
      <c r="M1569">
        <f>VLOOKUP(D1569,State_Lookup!$A$2:$B$28,2,FALSE)</f>
        <v/>
      </c>
    </row>
    <row r="1570">
      <c r="A1570" t="inlineStr">
        <is>
          <t>22d58ab98a59a304fd61d116c625ec4a</t>
        </is>
      </c>
      <c r="B1570" t="inlineStr">
        <is>
          <t>2017-10-27</t>
        </is>
      </c>
      <c r="C1570" t="inlineStr">
        <is>
          <t>2017-10</t>
        </is>
      </c>
      <c r="D1570" t="inlineStr">
        <is>
          <t>RS</t>
        </is>
      </c>
      <c r="E1570" t="inlineStr">
        <is>
          <t>computers_accessories</t>
        </is>
      </c>
      <c r="F1570" t="n">
        <v>1</v>
      </c>
      <c r="G1570" t="n">
        <v>945</v>
      </c>
      <c r="H1570" t="n">
        <v>108.74</v>
      </c>
      <c r="I1570" t="inlineStr">
        <is>
          <t>credit_card</t>
        </is>
      </c>
      <c r="J1570" t="n">
        <v>11</v>
      </c>
      <c r="K1570" t="inlineStr">
        <is>
          <t>On Time</t>
        </is>
      </c>
      <c r="L1570" t="n">
        <v>5</v>
      </c>
      <c r="M1570">
        <f>VLOOKUP(D1570,State_Lookup!$A$2:$B$28,2,FALSE)</f>
        <v/>
      </c>
    </row>
    <row r="1571">
      <c r="A1571" t="inlineStr">
        <is>
          <t>19fb3160f1bdded8463061ab9385fbfc</t>
        </is>
      </c>
      <c r="B1571" t="inlineStr">
        <is>
          <t>2017-10-27</t>
        </is>
      </c>
      <c r="C1571" t="inlineStr">
        <is>
          <t>2017-10</t>
        </is>
      </c>
      <c r="D1571" t="inlineStr">
        <is>
          <t>SE</t>
        </is>
      </c>
      <c r="E1571" t="inlineStr">
        <is>
          <t>computers_accessories</t>
        </is>
      </c>
      <c r="F1571" t="n">
        <v>1</v>
      </c>
      <c r="G1571" t="n">
        <v>15.87</v>
      </c>
      <c r="H1571" t="n">
        <v>15.1</v>
      </c>
      <c r="I1571" t="inlineStr">
        <is>
          <t>credit_card</t>
        </is>
      </c>
      <c r="J1571" t="n">
        <v>20</v>
      </c>
      <c r="K1571" t="inlineStr">
        <is>
          <t>On Time</t>
        </is>
      </c>
      <c r="L1571" t="n">
        <v>5</v>
      </c>
      <c r="M1571">
        <f>VLOOKUP(D1571,State_Lookup!$A$2:$B$28,2,FALSE)</f>
        <v/>
      </c>
    </row>
    <row r="1572">
      <c r="A1572" t="inlineStr">
        <is>
          <t>6e19c0ff384b7d4685333ee0a9342f21</t>
        </is>
      </c>
      <c r="B1572" t="inlineStr">
        <is>
          <t>2017-10-28</t>
        </is>
      </c>
      <c r="C1572" t="inlineStr">
        <is>
          <t>2017-10</t>
        </is>
      </c>
      <c r="D1572" t="inlineStr">
        <is>
          <t>RJ</t>
        </is>
      </c>
      <c r="E1572" t="inlineStr">
        <is>
          <t>furniture_decor</t>
        </is>
      </c>
      <c r="F1572" t="n">
        <v>1</v>
      </c>
      <c r="G1572" t="n">
        <v>93.90000000000001</v>
      </c>
      <c r="H1572" t="n">
        <v>17.91</v>
      </c>
      <c r="I1572" t="inlineStr">
        <is>
          <t>credit_card</t>
        </is>
      </c>
      <c r="J1572" t="n">
        <v>10</v>
      </c>
      <c r="K1572" t="inlineStr">
        <is>
          <t>On Time</t>
        </is>
      </c>
      <c r="L1572" t="n">
        <v>4</v>
      </c>
      <c r="M1572">
        <f>VLOOKUP(D1572,State_Lookup!$A$2:$B$28,2,FALSE)</f>
        <v/>
      </c>
    </row>
    <row r="1573">
      <c r="A1573" t="inlineStr">
        <is>
          <t>7978aa5d3192f689ad92bcb96ae2fef0</t>
        </is>
      </c>
      <c r="B1573" t="inlineStr">
        <is>
          <t>2017-10-28</t>
        </is>
      </c>
      <c r="C1573" t="inlineStr">
        <is>
          <t>2017-10</t>
        </is>
      </c>
      <c r="D1573" t="inlineStr">
        <is>
          <t>PA</t>
        </is>
      </c>
      <c r="E1573" t="inlineStr">
        <is>
          <t>computers_accessories</t>
        </is>
      </c>
      <c r="F1573" t="n">
        <v>1</v>
      </c>
      <c r="G1573" t="n">
        <v>31.9</v>
      </c>
      <c r="H1573" t="n">
        <v>21.15</v>
      </c>
      <c r="I1573" t="inlineStr">
        <is>
          <t>credit_card</t>
        </is>
      </c>
      <c r="J1573" t="n">
        <v>42</v>
      </c>
      <c r="K1573" t="inlineStr">
        <is>
          <t>On Time</t>
        </is>
      </c>
      <c r="L1573" t="n">
        <v>5</v>
      </c>
      <c r="M1573">
        <f>VLOOKUP(D1573,State_Lookup!$A$2:$B$28,2,FALSE)</f>
        <v/>
      </c>
    </row>
    <row r="1574">
      <c r="A1574" t="inlineStr">
        <is>
          <t>6af6633de36925111b10a688783d004b</t>
        </is>
      </c>
      <c r="B1574" t="inlineStr">
        <is>
          <t>2017-10-28</t>
        </is>
      </c>
      <c r="C1574" t="inlineStr">
        <is>
          <t>2017-10</t>
        </is>
      </c>
      <c r="D1574" t="inlineStr">
        <is>
          <t>MT</t>
        </is>
      </c>
      <c r="E1574" t="inlineStr">
        <is>
          <t>kitchen_dining_laundry_garden_furniture</t>
        </is>
      </c>
      <c r="F1574" t="n">
        <v>1</v>
      </c>
      <c r="G1574" t="n">
        <v>564</v>
      </c>
      <c r="H1574" t="n">
        <v>237.84</v>
      </c>
      <c r="I1574" t="inlineStr">
        <is>
          <t>credit_card</t>
        </is>
      </c>
      <c r="J1574" t="n">
        <v>16</v>
      </c>
      <c r="K1574" t="inlineStr">
        <is>
          <t>On Time</t>
        </is>
      </c>
      <c r="L1574" t="n">
        <v>3</v>
      </c>
      <c r="M1574">
        <f>VLOOKUP(D1574,State_Lookup!$A$2:$B$28,2,FALSE)</f>
        <v/>
      </c>
    </row>
    <row r="1575">
      <c r="A1575" t="inlineStr">
        <is>
          <t>7bbb2b4fd60b56329b20353470ec4080</t>
        </is>
      </c>
      <c r="B1575" t="inlineStr">
        <is>
          <t>2017-10-28</t>
        </is>
      </c>
      <c r="C1575" t="inlineStr">
        <is>
          <t>2017-10</t>
        </is>
      </c>
      <c r="D1575" t="inlineStr">
        <is>
          <t>RJ</t>
        </is>
      </c>
      <c r="E1575" t="inlineStr">
        <is>
          <t>perfumery</t>
        </is>
      </c>
      <c r="F1575" t="n">
        <v>1</v>
      </c>
      <c r="G1575" t="n">
        <v>48.9</v>
      </c>
      <c r="H1575" t="n">
        <v>15.1</v>
      </c>
      <c r="I1575" t="inlineStr">
        <is>
          <t>credit_card</t>
        </is>
      </c>
      <c r="J1575" t="n">
        <v>18</v>
      </c>
      <c r="K1575" t="inlineStr">
        <is>
          <t>On Time</t>
        </is>
      </c>
      <c r="L1575" t="n">
        <v>4</v>
      </c>
      <c r="M1575">
        <f>VLOOKUP(D1575,State_Lookup!$A$2:$B$28,2,FALSE)</f>
        <v/>
      </c>
    </row>
    <row r="1576">
      <c r="A1576" t="inlineStr">
        <is>
          <t>19e2f4888f56504ec0f7e0765c9e36dc</t>
        </is>
      </c>
      <c r="B1576" t="inlineStr">
        <is>
          <t>2017-10-28</t>
        </is>
      </c>
      <c r="C1576" t="inlineStr">
        <is>
          <t>2017-10</t>
        </is>
      </c>
      <c r="D1576" t="inlineStr">
        <is>
          <t>SP</t>
        </is>
      </c>
      <c r="E1576" t="inlineStr">
        <is>
          <t>consoles_games</t>
        </is>
      </c>
      <c r="F1576" t="n">
        <v>1</v>
      </c>
      <c r="G1576" t="n">
        <v>38.9</v>
      </c>
      <c r="H1576" t="n">
        <v>8.720000000000001</v>
      </c>
      <c r="I1576" t="inlineStr">
        <is>
          <t>credit_card</t>
        </is>
      </c>
      <c r="J1576" t="n">
        <v>3</v>
      </c>
      <c r="K1576" t="inlineStr">
        <is>
          <t>On Time</t>
        </is>
      </c>
      <c r="L1576" t="n">
        <v>5</v>
      </c>
      <c r="M1576">
        <f>VLOOKUP(D1576,State_Lookup!$A$2:$B$28,2,FALSE)</f>
        <v/>
      </c>
    </row>
    <row r="1577">
      <c r="A1577" t="inlineStr">
        <is>
          <t>686167f2fe956e81a6bbf02cf8885516</t>
        </is>
      </c>
      <c r="B1577" t="inlineStr">
        <is>
          <t>2017-10-28</t>
        </is>
      </c>
      <c r="C1577" t="inlineStr">
        <is>
          <t>2017-10</t>
        </is>
      </c>
      <c r="D1577" t="inlineStr">
        <is>
          <t>RJ</t>
        </is>
      </c>
      <c r="E1577" t="inlineStr">
        <is>
          <t>toys</t>
        </is>
      </c>
      <c r="F1577" t="n">
        <v>1</v>
      </c>
      <c r="G1577" t="n">
        <v>139.9</v>
      </c>
      <c r="H1577" t="n">
        <v>12.93</v>
      </c>
      <c r="I1577" t="inlineStr">
        <is>
          <t>credit_card</t>
        </is>
      </c>
      <c r="J1577" t="n">
        <v>4</v>
      </c>
      <c r="K1577" t="inlineStr">
        <is>
          <t>On Time</t>
        </is>
      </c>
      <c r="L1577" t="n">
        <v>5</v>
      </c>
      <c r="M1577">
        <f>VLOOKUP(D1577,State_Lookup!$A$2:$B$28,2,FALSE)</f>
        <v/>
      </c>
    </row>
    <row r="1578">
      <c r="A1578" t="inlineStr">
        <is>
          <t>5fd9a69139ba87e71880fd5936171fe9</t>
        </is>
      </c>
      <c r="B1578" t="inlineStr">
        <is>
          <t>2017-10-28</t>
        </is>
      </c>
      <c r="C1578" t="inlineStr">
        <is>
          <t>2017-10</t>
        </is>
      </c>
      <c r="D1578" t="inlineStr">
        <is>
          <t>ES</t>
        </is>
      </c>
      <c r="E1578" t="inlineStr">
        <is>
          <t>cool_stuff</t>
        </is>
      </c>
      <c r="F1578" t="n">
        <v>1</v>
      </c>
      <c r="G1578" t="n">
        <v>146.99</v>
      </c>
      <c r="H1578" t="n">
        <v>21.52</v>
      </c>
      <c r="I1578" t="inlineStr">
        <is>
          <t>credit_card</t>
        </is>
      </c>
      <c r="J1578" t="n">
        <v>11</v>
      </c>
      <c r="K1578" t="inlineStr">
        <is>
          <t>On Time</t>
        </is>
      </c>
      <c r="L1578" t="n">
        <v>4</v>
      </c>
      <c r="M1578">
        <f>VLOOKUP(D1578,State_Lookup!$A$2:$B$28,2,FALSE)</f>
        <v/>
      </c>
    </row>
    <row r="1579">
      <c r="A1579" t="inlineStr">
        <is>
          <t>bfccbf3f4c803a60b641433bc8affe01</t>
        </is>
      </c>
      <c r="B1579" t="inlineStr">
        <is>
          <t>2017-10-29</t>
        </is>
      </c>
      <c r="C1579" t="inlineStr">
        <is>
          <t>2017-10</t>
        </is>
      </c>
      <c r="D1579" t="inlineStr">
        <is>
          <t>SP</t>
        </is>
      </c>
      <c r="E1579" t="inlineStr">
        <is>
          <t>garden_tools</t>
        </is>
      </c>
      <c r="F1579" t="n">
        <v>1</v>
      </c>
      <c r="G1579" t="n">
        <v>59.9</v>
      </c>
      <c r="H1579" t="n">
        <v>13.44</v>
      </c>
      <c r="I1579" t="inlineStr">
        <is>
          <t>credit_card</t>
        </is>
      </c>
      <c r="J1579" t="n">
        <v>11</v>
      </c>
      <c r="K1579" t="inlineStr">
        <is>
          <t>On Time</t>
        </is>
      </c>
      <c r="L1579" t="n">
        <v>4</v>
      </c>
      <c r="M1579">
        <f>VLOOKUP(D1579,State_Lookup!$A$2:$B$28,2,FALSE)</f>
        <v/>
      </c>
    </row>
    <row r="1580">
      <c r="A1580" t="inlineStr">
        <is>
          <t>641260b6b13348c1853886a738a7f9b0</t>
        </is>
      </c>
      <c r="B1580" t="inlineStr">
        <is>
          <t>2017-10-29</t>
        </is>
      </c>
      <c r="C1580" t="inlineStr">
        <is>
          <t>2017-10</t>
        </is>
      </c>
      <c r="D1580" t="inlineStr">
        <is>
          <t>MG</t>
        </is>
      </c>
      <c r="E1580" t="inlineStr">
        <is>
          <t>perfumery</t>
        </is>
      </c>
      <c r="F1580" t="n">
        <v>1</v>
      </c>
      <c r="G1580" t="n">
        <v>369.9</v>
      </c>
      <c r="H1580" t="n">
        <v>18.35</v>
      </c>
      <c r="I1580" t="inlineStr">
        <is>
          <t>boleto</t>
        </is>
      </c>
      <c r="J1580" t="n">
        <v>12</v>
      </c>
      <c r="K1580" t="inlineStr">
        <is>
          <t>On Time</t>
        </is>
      </c>
      <c r="L1580" t="n">
        <v>5</v>
      </c>
      <c r="M1580">
        <f>VLOOKUP(D1580,State_Lookup!$A$2:$B$28,2,FALSE)</f>
        <v/>
      </c>
    </row>
    <row r="1581">
      <c r="A1581" t="inlineStr">
        <is>
          <t>6d987387b063e94301514187b362d3f2</t>
        </is>
      </c>
      <c r="B1581" t="inlineStr">
        <is>
          <t>2017-10-29</t>
        </is>
      </c>
      <c r="C1581" t="inlineStr">
        <is>
          <t>2017-10</t>
        </is>
      </c>
      <c r="D1581" t="inlineStr">
        <is>
          <t>SP</t>
        </is>
      </c>
      <c r="E1581" t="inlineStr">
        <is>
          <t>health_beauty</t>
        </is>
      </c>
      <c r="F1581" t="n">
        <v>1</v>
      </c>
      <c r="G1581" t="n">
        <v>23.99</v>
      </c>
      <c r="H1581" t="n">
        <v>7.78</v>
      </c>
      <c r="I1581" t="inlineStr">
        <is>
          <t>credit_card</t>
        </is>
      </c>
      <c r="J1581" t="n">
        <v>8</v>
      </c>
      <c r="K1581" t="inlineStr">
        <is>
          <t>On Time</t>
        </is>
      </c>
      <c r="L1581" t="n">
        <v>1</v>
      </c>
      <c r="M1581">
        <f>VLOOKUP(D1581,State_Lookup!$A$2:$B$28,2,FALSE)</f>
        <v/>
      </c>
    </row>
    <row r="1582">
      <c r="A1582" t="inlineStr">
        <is>
          <t>b68c27cf94ce13113c69bd86e640c41f</t>
        </is>
      </c>
      <c r="B1582" t="inlineStr">
        <is>
          <t>2017-10-29</t>
        </is>
      </c>
      <c r="C1582" t="inlineStr">
        <is>
          <t>2017-10</t>
        </is>
      </c>
      <c r="D1582" t="inlineStr">
        <is>
          <t>SP</t>
        </is>
      </c>
      <c r="E1582" t="inlineStr">
        <is>
          <t>garden_tools</t>
        </is>
      </c>
      <c r="F1582" t="n">
        <v>2</v>
      </c>
      <c r="G1582" t="n">
        <v>119.8</v>
      </c>
      <c r="H1582" t="n">
        <v>26.88</v>
      </c>
      <c r="I1582" t="inlineStr">
        <is>
          <t>credit_card</t>
        </is>
      </c>
      <c r="J1582" t="n">
        <v>9</v>
      </c>
      <c r="K1582" t="inlineStr">
        <is>
          <t>On Time</t>
        </is>
      </c>
      <c r="L1582" t="n">
        <v>5</v>
      </c>
      <c r="M1582">
        <f>VLOOKUP(D1582,State_Lookup!$A$2:$B$28,2,FALSE)</f>
        <v/>
      </c>
    </row>
    <row r="1583">
      <c r="A1583" t="inlineStr">
        <is>
          <t>77b27c29ab339345ecc7678db3e23049</t>
        </is>
      </c>
      <c r="B1583" t="inlineStr">
        <is>
          <t>2017-10-29</t>
        </is>
      </c>
      <c r="C1583" t="inlineStr">
        <is>
          <t>2017-10</t>
        </is>
      </c>
      <c r="D1583" t="inlineStr">
        <is>
          <t>SC</t>
        </is>
      </c>
      <c r="E1583" t="inlineStr">
        <is>
          <t>consoles_games</t>
        </is>
      </c>
      <c r="F1583" t="n">
        <v>1</v>
      </c>
      <c r="G1583" t="n">
        <v>49.99</v>
      </c>
      <c r="H1583" t="n">
        <v>50.22</v>
      </c>
      <c r="I1583" t="inlineStr">
        <is>
          <t>credit_card</t>
        </is>
      </c>
      <c r="J1583" t="n">
        <v>18</v>
      </c>
      <c r="K1583" t="inlineStr">
        <is>
          <t>On Time</t>
        </is>
      </c>
      <c r="L1583" t="n">
        <v>4</v>
      </c>
      <c r="M1583">
        <f>VLOOKUP(D1583,State_Lookup!$A$2:$B$28,2,FALSE)</f>
        <v/>
      </c>
    </row>
    <row r="1584">
      <c r="A1584" t="inlineStr">
        <is>
          <t>cf942f6450b43eb334f0e34e792d12a7</t>
        </is>
      </c>
      <c r="B1584" t="inlineStr">
        <is>
          <t>2017-10-30</t>
        </is>
      </c>
      <c r="C1584" t="inlineStr">
        <is>
          <t>2017-10</t>
        </is>
      </c>
      <c r="D1584" t="inlineStr">
        <is>
          <t>PR</t>
        </is>
      </c>
      <c r="E1584" t="inlineStr">
        <is>
          <t>sports_leisure</t>
        </is>
      </c>
      <c r="F1584" t="n">
        <v>1</v>
      </c>
      <c r="G1584" t="n">
        <v>115</v>
      </c>
      <c r="H1584" t="n">
        <v>21.3</v>
      </c>
      <c r="I1584" t="inlineStr">
        <is>
          <t>credit_card</t>
        </is>
      </c>
      <c r="J1584" t="n">
        <v>14</v>
      </c>
      <c r="K1584" t="inlineStr">
        <is>
          <t>On Time</t>
        </is>
      </c>
      <c r="L1584" t="inlineStr"/>
      <c r="M1584">
        <f>VLOOKUP(D1584,State_Lookup!$A$2:$B$28,2,FALSE)</f>
        <v/>
      </c>
    </row>
    <row r="1585">
      <c r="A1585" t="inlineStr">
        <is>
          <t>4c09b402a17b72a4a9338d51a8759b4a</t>
        </is>
      </c>
      <c r="B1585" t="inlineStr">
        <is>
          <t>2017-10-30</t>
        </is>
      </c>
      <c r="C1585" t="inlineStr">
        <is>
          <t>2017-10</t>
        </is>
      </c>
      <c r="D1585" t="inlineStr">
        <is>
          <t>GO</t>
        </is>
      </c>
      <c r="E1585" t="inlineStr">
        <is>
          <t>furniture_decor</t>
        </is>
      </c>
      <c r="F1585" t="n">
        <v>1</v>
      </c>
      <c r="G1585" t="n">
        <v>89.90000000000001</v>
      </c>
      <c r="H1585" t="n">
        <v>17.88</v>
      </c>
      <c r="I1585" t="inlineStr">
        <is>
          <t>credit_card</t>
        </is>
      </c>
      <c r="J1585" t="n">
        <v>11</v>
      </c>
      <c r="K1585" t="inlineStr">
        <is>
          <t>On Time</t>
        </is>
      </c>
      <c r="L1585" t="n">
        <v>5</v>
      </c>
      <c r="M1585">
        <f>VLOOKUP(D1585,State_Lookup!$A$2:$B$28,2,FALSE)</f>
        <v/>
      </c>
    </row>
    <row r="1586">
      <c r="A1586" t="inlineStr">
        <is>
          <t>393654d81daf611630ac2068a7c9b12b</t>
        </is>
      </c>
      <c r="B1586" t="inlineStr">
        <is>
          <t>2017-10-30</t>
        </is>
      </c>
      <c r="C1586" t="inlineStr">
        <is>
          <t>2017-10</t>
        </is>
      </c>
      <c r="D1586" t="inlineStr">
        <is>
          <t>RJ</t>
        </is>
      </c>
      <c r="E1586" t="inlineStr">
        <is>
          <t>furniture_decor</t>
        </is>
      </c>
      <c r="F1586" t="n">
        <v>1</v>
      </c>
      <c r="G1586" t="n">
        <v>37.5</v>
      </c>
      <c r="H1586" t="n">
        <v>17.6</v>
      </c>
      <c r="I1586" t="inlineStr">
        <is>
          <t>credit_card</t>
        </is>
      </c>
      <c r="J1586" t="n">
        <v>7</v>
      </c>
      <c r="K1586" t="inlineStr">
        <is>
          <t>On Time</t>
        </is>
      </c>
      <c r="L1586" t="n">
        <v>5</v>
      </c>
      <c r="M1586">
        <f>VLOOKUP(D1586,State_Lookup!$A$2:$B$28,2,FALSE)</f>
        <v/>
      </c>
    </row>
    <row r="1587">
      <c r="A1587" t="inlineStr">
        <is>
          <t>86f92f9e6f7eecaf30f643b1c6c3be84</t>
        </is>
      </c>
      <c r="B1587" t="inlineStr">
        <is>
          <t>2017-10-30</t>
        </is>
      </c>
      <c r="C1587" t="inlineStr">
        <is>
          <t>2017-10</t>
        </is>
      </c>
      <c r="D1587" t="inlineStr">
        <is>
          <t>SP</t>
        </is>
      </c>
      <c r="E1587" t="inlineStr">
        <is>
          <t>pet_shop</t>
        </is>
      </c>
      <c r="F1587" t="n">
        <v>1</v>
      </c>
      <c r="G1587" t="n">
        <v>125.9</v>
      </c>
      <c r="H1587" t="n">
        <v>12.84</v>
      </c>
      <c r="I1587" t="inlineStr">
        <is>
          <t>boleto</t>
        </is>
      </c>
      <c r="J1587" t="n">
        <v>4</v>
      </c>
      <c r="K1587" t="inlineStr">
        <is>
          <t>On Time</t>
        </is>
      </c>
      <c r="L1587" t="n">
        <v>4</v>
      </c>
      <c r="M1587">
        <f>VLOOKUP(D1587,State_Lookup!$A$2:$B$28,2,FALSE)</f>
        <v/>
      </c>
    </row>
    <row r="1588">
      <c r="A1588" t="inlineStr">
        <is>
          <t>fc297415452e5dc0d06afcd16e864ca8</t>
        </is>
      </c>
      <c r="B1588" t="inlineStr">
        <is>
          <t>2017-10-30</t>
        </is>
      </c>
      <c r="C1588" t="inlineStr">
        <is>
          <t>2017-10</t>
        </is>
      </c>
      <c r="D1588" t="inlineStr">
        <is>
          <t>MG</t>
        </is>
      </c>
      <c r="E1588" t="inlineStr">
        <is>
          <t>auto</t>
        </is>
      </c>
      <c r="F1588" t="n">
        <v>1</v>
      </c>
      <c r="G1588" t="n">
        <v>94</v>
      </c>
      <c r="H1588" t="n">
        <v>21.15</v>
      </c>
      <c r="I1588" t="inlineStr">
        <is>
          <t>credit_card</t>
        </is>
      </c>
      <c r="J1588" t="n">
        <v>6</v>
      </c>
      <c r="K1588" t="inlineStr">
        <is>
          <t>On Time</t>
        </is>
      </c>
      <c r="L1588" t="n">
        <v>5</v>
      </c>
      <c r="M1588">
        <f>VLOOKUP(D1588,State_Lookup!$A$2:$B$28,2,FALSE)</f>
        <v/>
      </c>
    </row>
    <row r="1589">
      <c r="A1589" t="inlineStr">
        <is>
          <t>05be03ef1c99159686f59d8a51dd17f9</t>
        </is>
      </c>
      <c r="B1589" t="inlineStr">
        <is>
          <t>2017-10-30</t>
        </is>
      </c>
      <c r="C1589" t="inlineStr">
        <is>
          <t>2017-10</t>
        </is>
      </c>
      <c r="D1589" t="inlineStr">
        <is>
          <t>BA</t>
        </is>
      </c>
      <c r="E1589" t="inlineStr">
        <is>
          <t>furniture_decor</t>
        </is>
      </c>
      <c r="F1589" t="n">
        <v>1</v>
      </c>
      <c r="G1589" t="n">
        <v>49.9</v>
      </c>
      <c r="H1589" t="n">
        <v>15.79</v>
      </c>
      <c r="I1589" t="inlineStr">
        <is>
          <t>credit_card</t>
        </is>
      </c>
      <c r="J1589" t="n">
        <v>8</v>
      </c>
      <c r="K1589" t="inlineStr">
        <is>
          <t>On Time</t>
        </is>
      </c>
      <c r="L1589" t="n">
        <v>5</v>
      </c>
      <c r="M1589">
        <f>VLOOKUP(D1589,State_Lookup!$A$2:$B$28,2,FALSE)</f>
        <v/>
      </c>
    </row>
    <row r="1590">
      <c r="A1590" t="inlineStr">
        <is>
          <t>bb0bb419d930e4bc8c823fc4379347fb</t>
        </is>
      </c>
      <c r="B1590" t="inlineStr">
        <is>
          <t>2017-10-30</t>
        </is>
      </c>
      <c r="C1590" t="inlineStr">
        <is>
          <t>2017-10</t>
        </is>
      </c>
      <c r="D1590" t="inlineStr">
        <is>
          <t>MG</t>
        </is>
      </c>
      <c r="E1590" t="inlineStr">
        <is>
          <t>auto</t>
        </is>
      </c>
      <c r="F1590" t="n">
        <v>1</v>
      </c>
      <c r="G1590" t="n">
        <v>25.99</v>
      </c>
      <c r="H1590" t="n">
        <v>14.1</v>
      </c>
      <c r="I1590" t="inlineStr">
        <is>
          <t>credit_card</t>
        </is>
      </c>
      <c r="J1590" t="inlineStr"/>
      <c r="K1590" t="inlineStr">
        <is>
          <t>Not Delivered</t>
        </is>
      </c>
      <c r="L1590" t="n">
        <v>1</v>
      </c>
      <c r="M1590">
        <f>VLOOKUP(D1590,State_Lookup!$A$2:$B$28,2,FALSE)</f>
        <v/>
      </c>
    </row>
    <row r="1591">
      <c r="A1591" t="inlineStr">
        <is>
          <t>e4ee5415a0143c9daddc7d4bc0fa0389</t>
        </is>
      </c>
      <c r="B1591" t="inlineStr">
        <is>
          <t>2017-10-31</t>
        </is>
      </c>
      <c r="C1591" t="inlineStr">
        <is>
          <t>2017-10</t>
        </is>
      </c>
      <c r="D1591" t="inlineStr">
        <is>
          <t>SP</t>
        </is>
      </c>
      <c r="E1591" t="inlineStr">
        <is>
          <t>toys</t>
        </is>
      </c>
      <c r="F1591" t="n">
        <v>1</v>
      </c>
      <c r="G1591" t="n">
        <v>34.9</v>
      </c>
      <c r="H1591" t="n">
        <v>15.11</v>
      </c>
      <c r="I1591" t="inlineStr">
        <is>
          <t>boleto</t>
        </is>
      </c>
      <c r="J1591" t="n">
        <v>8</v>
      </c>
      <c r="K1591" t="inlineStr">
        <is>
          <t>On Time</t>
        </is>
      </c>
      <c r="L1591" t="n">
        <v>5</v>
      </c>
      <c r="M1591">
        <f>VLOOKUP(D1591,State_Lookup!$A$2:$B$28,2,FALSE)</f>
        <v/>
      </c>
    </row>
    <row r="1592">
      <c r="A1592" t="inlineStr">
        <is>
          <t>483c0f7f44eec6fd0fbd90914d187226</t>
        </is>
      </c>
      <c r="B1592" t="inlineStr">
        <is>
          <t>2017-10-31</t>
        </is>
      </c>
      <c r="C1592" t="inlineStr">
        <is>
          <t>2017-10</t>
        </is>
      </c>
      <c r="D1592" t="inlineStr">
        <is>
          <t>MG</t>
        </is>
      </c>
      <c r="E1592" t="inlineStr">
        <is>
          <t>housewares</t>
        </is>
      </c>
      <c r="F1592" t="n">
        <v>1</v>
      </c>
      <c r="G1592" t="n">
        <v>178.6</v>
      </c>
      <c r="H1592" t="n">
        <v>18.5</v>
      </c>
      <c r="I1592" t="inlineStr">
        <is>
          <t>credit_card</t>
        </is>
      </c>
      <c r="J1592" t="n">
        <v>21</v>
      </c>
      <c r="K1592" t="inlineStr">
        <is>
          <t>Late</t>
        </is>
      </c>
      <c r="L1592" t="n">
        <v>4</v>
      </c>
      <c r="M1592">
        <f>VLOOKUP(D1592,State_Lookup!$A$2:$B$28,2,FALSE)</f>
        <v/>
      </c>
    </row>
    <row r="1593">
      <c r="A1593" t="inlineStr">
        <is>
          <t>21f024b91cfeb5f135ceef69fe99fa50</t>
        </is>
      </c>
      <c r="B1593" t="inlineStr">
        <is>
          <t>2017-10-31</t>
        </is>
      </c>
      <c r="C1593" t="inlineStr">
        <is>
          <t>2017-10</t>
        </is>
      </c>
      <c r="D1593" t="inlineStr">
        <is>
          <t>MG</t>
        </is>
      </c>
      <c r="E1593" t="inlineStr">
        <is>
          <t>computers_accessories</t>
        </is>
      </c>
      <c r="F1593" t="n">
        <v>1</v>
      </c>
      <c r="G1593" t="n">
        <v>19.99</v>
      </c>
      <c r="H1593" t="n">
        <v>15.1</v>
      </c>
      <c r="I1593" t="inlineStr">
        <is>
          <t>credit_card</t>
        </is>
      </c>
      <c r="J1593" t="n">
        <v>16</v>
      </c>
      <c r="K1593" t="inlineStr">
        <is>
          <t>On Time</t>
        </is>
      </c>
      <c r="L1593" t="n">
        <v>4</v>
      </c>
      <c r="M1593">
        <f>VLOOKUP(D1593,State_Lookup!$A$2:$B$28,2,FALSE)</f>
        <v/>
      </c>
    </row>
    <row r="1594">
      <c r="A1594" t="inlineStr">
        <is>
          <t>88981e5b92eb0fc6291a66ce7b892029</t>
        </is>
      </c>
      <c r="B1594" t="inlineStr">
        <is>
          <t>2017-11-01</t>
        </is>
      </c>
      <c r="C1594" t="inlineStr">
        <is>
          <t>2017-11</t>
        </is>
      </c>
      <c r="D1594" t="inlineStr">
        <is>
          <t>MG</t>
        </is>
      </c>
      <c r="E1594" t="inlineStr">
        <is>
          <t>telephony</t>
        </is>
      </c>
      <c r="F1594" t="n">
        <v>1</v>
      </c>
      <c r="G1594" t="n">
        <v>16.9</v>
      </c>
      <c r="H1594" t="n">
        <v>15.1</v>
      </c>
      <c r="I1594" t="inlineStr">
        <is>
          <t>credit_card</t>
        </is>
      </c>
      <c r="J1594" t="n">
        <v>9</v>
      </c>
      <c r="K1594" t="inlineStr">
        <is>
          <t>On Time</t>
        </is>
      </c>
      <c r="L1594" t="n">
        <v>5</v>
      </c>
      <c r="M1594">
        <f>VLOOKUP(D1594,State_Lookup!$A$2:$B$28,2,FALSE)</f>
        <v/>
      </c>
    </row>
    <row r="1595">
      <c r="A1595" t="inlineStr">
        <is>
          <t>e840776569b2a5eff2a4ca6bc5be8ad0</t>
        </is>
      </c>
      <c r="B1595" t="inlineStr">
        <is>
          <t>2017-11-01</t>
        </is>
      </c>
      <c r="C1595" t="inlineStr">
        <is>
          <t>2017-11</t>
        </is>
      </c>
      <c r="D1595" t="inlineStr">
        <is>
          <t>SP</t>
        </is>
      </c>
      <c r="E1595" t="inlineStr">
        <is>
          <t>watches_gifts</t>
        </is>
      </c>
      <c r="F1595" t="n">
        <v>1</v>
      </c>
      <c r="G1595" t="n">
        <v>145</v>
      </c>
      <c r="H1595" t="n">
        <v>8.27</v>
      </c>
      <c r="I1595" t="inlineStr">
        <is>
          <t>boleto</t>
        </is>
      </c>
      <c r="J1595" t="n">
        <v>5</v>
      </c>
      <c r="K1595" t="inlineStr">
        <is>
          <t>On Time</t>
        </is>
      </c>
      <c r="L1595" t="n">
        <v>5</v>
      </c>
      <c r="M1595">
        <f>VLOOKUP(D1595,State_Lookup!$A$2:$B$28,2,FALSE)</f>
        <v/>
      </c>
    </row>
    <row r="1596">
      <c r="A1596" t="inlineStr">
        <is>
          <t>682332c2474e425ea23c40848faa25e2</t>
        </is>
      </c>
      <c r="B1596" t="inlineStr">
        <is>
          <t>2017-11-02</t>
        </is>
      </c>
      <c r="C1596" t="inlineStr">
        <is>
          <t>2017-11</t>
        </is>
      </c>
      <c r="D1596" t="inlineStr">
        <is>
          <t>SP</t>
        </is>
      </c>
      <c r="E1596" t="inlineStr">
        <is>
          <t>market_place</t>
        </is>
      </c>
      <c r="F1596" t="n">
        <v>1</v>
      </c>
      <c r="G1596" t="n">
        <v>169</v>
      </c>
      <c r="H1596" t="n">
        <v>15.93</v>
      </c>
      <c r="I1596" t="inlineStr">
        <is>
          <t>credit_card</t>
        </is>
      </c>
      <c r="J1596" t="n">
        <v>6</v>
      </c>
      <c r="K1596" t="inlineStr">
        <is>
          <t>On Time</t>
        </is>
      </c>
      <c r="L1596" t="n">
        <v>4</v>
      </c>
      <c r="M1596">
        <f>VLOOKUP(D1596,State_Lookup!$A$2:$B$28,2,FALSE)</f>
        <v/>
      </c>
    </row>
    <row r="1597">
      <c r="A1597" t="inlineStr">
        <is>
          <t>517bd49d869100558362e70c45f13dd5</t>
        </is>
      </c>
      <c r="B1597" t="inlineStr">
        <is>
          <t>2017-11-02</t>
        </is>
      </c>
      <c r="C1597" t="inlineStr">
        <is>
          <t>2017-11</t>
        </is>
      </c>
      <c r="D1597" t="inlineStr">
        <is>
          <t>SP</t>
        </is>
      </c>
      <c r="E1597" t="inlineStr">
        <is>
          <t>baby</t>
        </is>
      </c>
      <c r="F1597" t="n">
        <v>1</v>
      </c>
      <c r="G1597" t="n">
        <v>250</v>
      </c>
      <c r="H1597" t="n">
        <v>15.35</v>
      </c>
      <c r="I1597" t="inlineStr">
        <is>
          <t>boleto</t>
        </is>
      </c>
      <c r="J1597" t="n">
        <v>11</v>
      </c>
      <c r="K1597" t="inlineStr">
        <is>
          <t>On Time</t>
        </is>
      </c>
      <c r="L1597" t="n">
        <v>2</v>
      </c>
      <c r="M1597">
        <f>VLOOKUP(D1597,State_Lookup!$A$2:$B$28,2,FALSE)</f>
        <v/>
      </c>
    </row>
    <row r="1598">
      <c r="A1598" t="inlineStr">
        <is>
          <t>648a268c494bbf8c97c03ec64c2ff4d3</t>
        </is>
      </c>
      <c r="B1598" t="inlineStr">
        <is>
          <t>2017-11-02</t>
        </is>
      </c>
      <c r="C1598" t="inlineStr">
        <is>
          <t>2017-11</t>
        </is>
      </c>
      <c r="D1598" t="inlineStr">
        <is>
          <t>DF</t>
        </is>
      </c>
      <c r="E1598" t="inlineStr">
        <is>
          <t>garden_tools</t>
        </is>
      </c>
      <c r="F1598" t="n">
        <v>2</v>
      </c>
      <c r="G1598" t="n">
        <v>119.8</v>
      </c>
      <c r="H1598" t="n">
        <v>17.68</v>
      </c>
      <c r="I1598" t="inlineStr">
        <is>
          <t>boleto</t>
        </is>
      </c>
      <c r="J1598" t="n">
        <v>14</v>
      </c>
      <c r="K1598" t="inlineStr">
        <is>
          <t>On Time</t>
        </is>
      </c>
      <c r="L1598" t="n">
        <v>4</v>
      </c>
      <c r="M1598">
        <f>VLOOKUP(D1598,State_Lookup!$A$2:$B$28,2,FALSE)</f>
        <v/>
      </c>
    </row>
    <row r="1599">
      <c r="A1599" t="inlineStr">
        <is>
          <t>526043f9d39d510f7a79547410cd3318</t>
        </is>
      </c>
      <c r="B1599" t="inlineStr">
        <is>
          <t>2017-11-02</t>
        </is>
      </c>
      <c r="C1599" t="inlineStr">
        <is>
          <t>2017-11</t>
        </is>
      </c>
      <c r="D1599" t="inlineStr">
        <is>
          <t>MG</t>
        </is>
      </c>
      <c r="E1599" t="inlineStr">
        <is>
          <t>watches_gifts</t>
        </is>
      </c>
      <c r="F1599" t="n">
        <v>1</v>
      </c>
      <c r="G1599" t="n">
        <v>49</v>
      </c>
      <c r="H1599" t="n">
        <v>15.1</v>
      </c>
      <c r="I1599" t="inlineStr">
        <is>
          <t>credit_card</t>
        </is>
      </c>
      <c r="J1599" t="n">
        <v>14</v>
      </c>
      <c r="K1599" t="inlineStr">
        <is>
          <t>On Time</t>
        </is>
      </c>
      <c r="L1599" t="n">
        <v>4</v>
      </c>
      <c r="M1599">
        <f>VLOOKUP(D1599,State_Lookup!$A$2:$B$28,2,FALSE)</f>
        <v/>
      </c>
    </row>
    <row r="1600">
      <c r="A1600" t="inlineStr">
        <is>
          <t>cb1ef5be56747ab6c5ef7271ecf4e12c</t>
        </is>
      </c>
      <c r="B1600" t="inlineStr">
        <is>
          <t>2017-11-02</t>
        </is>
      </c>
      <c r="C1600" t="inlineStr">
        <is>
          <t>2017-11</t>
        </is>
      </c>
      <c r="D1600" t="inlineStr">
        <is>
          <t>PI</t>
        </is>
      </c>
      <c r="E1600" t="inlineStr">
        <is>
          <t>air_conditioning</t>
        </is>
      </c>
      <c r="F1600" t="n">
        <v>1</v>
      </c>
      <c r="G1600" t="n">
        <v>100</v>
      </c>
      <c r="H1600" t="n">
        <v>34.5</v>
      </c>
      <c r="I1600" t="inlineStr">
        <is>
          <t>credit_card</t>
        </is>
      </c>
      <c r="J1600" t="n">
        <v>21</v>
      </c>
      <c r="K1600" t="inlineStr">
        <is>
          <t>On Time</t>
        </is>
      </c>
      <c r="L1600" t="n">
        <v>5</v>
      </c>
      <c r="M1600">
        <f>VLOOKUP(D1600,State_Lookup!$A$2:$B$28,2,FALSE)</f>
        <v/>
      </c>
    </row>
    <row r="1601">
      <c r="A1601" t="inlineStr">
        <is>
          <t>5f82d80fc04ae3521ac4cdad135aa9b1</t>
        </is>
      </c>
      <c r="B1601" t="inlineStr">
        <is>
          <t>2017-11-02</t>
        </is>
      </c>
      <c r="C1601" t="inlineStr">
        <is>
          <t>2017-11</t>
        </is>
      </c>
      <c r="D1601" t="inlineStr">
        <is>
          <t>AL</t>
        </is>
      </c>
      <c r="E1601" t="inlineStr">
        <is>
          <t>garden_tools</t>
        </is>
      </c>
      <c r="F1601" t="n">
        <v>1</v>
      </c>
      <c r="G1601" t="n">
        <v>59.9</v>
      </c>
      <c r="H1601" t="n">
        <v>37.97</v>
      </c>
      <c r="I1601" t="inlineStr">
        <is>
          <t>credit_card</t>
        </is>
      </c>
      <c r="J1601" t="n">
        <v>21</v>
      </c>
      <c r="K1601" t="inlineStr">
        <is>
          <t>On Time</t>
        </is>
      </c>
      <c r="L1601" t="n">
        <v>5</v>
      </c>
      <c r="M1601">
        <f>VLOOKUP(D1601,State_Lookup!$A$2:$B$28,2,FALSE)</f>
        <v/>
      </c>
    </row>
    <row r="1602">
      <c r="A1602" t="inlineStr">
        <is>
          <t>f5972017f8fc7597e9a878118ca8c19a</t>
        </is>
      </c>
      <c r="B1602" t="inlineStr">
        <is>
          <t>2017-11-02</t>
        </is>
      </c>
      <c r="C1602" t="inlineStr">
        <is>
          <t>2017-11</t>
        </is>
      </c>
      <c r="D1602" t="inlineStr">
        <is>
          <t>ES</t>
        </is>
      </c>
      <c r="E1602" t="inlineStr">
        <is>
          <t>computers_accessories</t>
        </is>
      </c>
      <c r="F1602" t="n">
        <v>1</v>
      </c>
      <c r="G1602" t="n">
        <v>99</v>
      </c>
      <c r="H1602" t="n">
        <v>116.31</v>
      </c>
      <c r="I1602" t="inlineStr">
        <is>
          <t>credit_card</t>
        </is>
      </c>
      <c r="J1602" t="n">
        <v>14</v>
      </c>
      <c r="K1602" t="inlineStr">
        <is>
          <t>On Time</t>
        </is>
      </c>
      <c r="L1602" t="n">
        <v>5</v>
      </c>
      <c r="M1602">
        <f>VLOOKUP(D1602,State_Lookup!$A$2:$B$28,2,FALSE)</f>
        <v/>
      </c>
    </row>
    <row r="1603">
      <c r="A1603" t="inlineStr">
        <is>
          <t>59ffc24bc635a0a0f190bf021df20508</t>
        </is>
      </c>
      <c r="B1603" t="inlineStr">
        <is>
          <t>2017-11-02</t>
        </is>
      </c>
      <c r="C1603" t="inlineStr">
        <is>
          <t>2017-11</t>
        </is>
      </c>
      <c r="D1603" t="inlineStr">
        <is>
          <t>MT</t>
        </is>
      </c>
      <c r="E1603" t="inlineStr">
        <is>
          <t>watches_gifts</t>
        </is>
      </c>
      <c r="F1603" t="n">
        <v>1</v>
      </c>
      <c r="G1603" t="n">
        <v>45</v>
      </c>
      <c r="H1603" t="n">
        <v>16.79</v>
      </c>
      <c r="I1603" t="inlineStr">
        <is>
          <t>credit_card</t>
        </is>
      </c>
      <c r="J1603" t="n">
        <v>11</v>
      </c>
      <c r="K1603" t="inlineStr">
        <is>
          <t>On Time</t>
        </is>
      </c>
      <c r="L1603" t="n">
        <v>5</v>
      </c>
      <c r="M1603">
        <f>VLOOKUP(D1603,State_Lookup!$A$2:$B$28,2,FALSE)</f>
        <v/>
      </c>
    </row>
    <row r="1604">
      <c r="A1604" t="inlineStr">
        <is>
          <t>42b3efddacc3779b9fc72dcdb430e00a</t>
        </is>
      </c>
      <c r="B1604" t="inlineStr">
        <is>
          <t>2017-11-03</t>
        </is>
      </c>
      <c r="C1604" t="inlineStr">
        <is>
          <t>2017-11</t>
        </is>
      </c>
      <c r="D1604" t="inlineStr">
        <is>
          <t>BA</t>
        </is>
      </c>
      <c r="E1604" t="inlineStr">
        <is>
          <t>cool_stuff</t>
        </is>
      </c>
      <c r="F1604" t="n">
        <v>1</v>
      </c>
      <c r="G1604" t="n">
        <v>599.9</v>
      </c>
      <c r="H1604" t="n">
        <v>32.6</v>
      </c>
      <c r="I1604" t="inlineStr">
        <is>
          <t>boleto</t>
        </is>
      </c>
      <c r="J1604" t="n">
        <v>17</v>
      </c>
      <c r="K1604" t="inlineStr">
        <is>
          <t>On Time</t>
        </is>
      </c>
      <c r="L1604" t="n">
        <v>4</v>
      </c>
      <c r="M1604">
        <f>VLOOKUP(D1604,State_Lookup!$A$2:$B$28,2,FALSE)</f>
        <v/>
      </c>
    </row>
    <row r="1605">
      <c r="A1605" t="inlineStr">
        <is>
          <t>90afb8151d6aca71ae7b52a029ebc165</t>
        </is>
      </c>
      <c r="B1605" t="inlineStr">
        <is>
          <t>2017-11-03</t>
        </is>
      </c>
      <c r="C1605" t="inlineStr">
        <is>
          <t>2017-11</t>
        </is>
      </c>
      <c r="D1605" t="inlineStr">
        <is>
          <t>MG</t>
        </is>
      </c>
      <c r="E1605" t="inlineStr">
        <is>
          <t>computers</t>
        </is>
      </c>
      <c r="F1605" t="n">
        <v>1</v>
      </c>
      <c r="G1605" t="n">
        <v>1437</v>
      </c>
      <c r="H1605" t="n">
        <v>34.51</v>
      </c>
      <c r="I1605" t="inlineStr">
        <is>
          <t>credit_card</t>
        </is>
      </c>
      <c r="J1605" t="n">
        <v>19</v>
      </c>
      <c r="K1605" t="inlineStr">
        <is>
          <t>On Time</t>
        </is>
      </c>
      <c r="L1605" t="n">
        <v>5</v>
      </c>
      <c r="M1605">
        <f>VLOOKUP(D1605,State_Lookup!$A$2:$B$28,2,FALSE)</f>
        <v/>
      </c>
    </row>
    <row r="1606">
      <c r="A1606" t="inlineStr">
        <is>
          <t>9115302ab0ba4c1f3499709b47bd00a1</t>
        </is>
      </c>
      <c r="B1606" t="inlineStr">
        <is>
          <t>2017-11-03</t>
        </is>
      </c>
      <c r="C1606" t="inlineStr">
        <is>
          <t>2017-11</t>
        </is>
      </c>
      <c r="D1606" t="inlineStr">
        <is>
          <t>ES</t>
        </is>
      </c>
      <c r="E1606" t="inlineStr">
        <is>
          <t>watches_gifts</t>
        </is>
      </c>
      <c r="F1606" t="n">
        <v>2</v>
      </c>
      <c r="G1606" t="n">
        <v>58</v>
      </c>
      <c r="H1606" t="n">
        <v>14.1</v>
      </c>
      <c r="I1606" t="inlineStr">
        <is>
          <t>credit_card</t>
        </is>
      </c>
      <c r="J1606" t="n">
        <v>13</v>
      </c>
      <c r="K1606" t="inlineStr">
        <is>
          <t>On Time</t>
        </is>
      </c>
      <c r="L1606" t="n">
        <v>1</v>
      </c>
      <c r="M1606">
        <f>VLOOKUP(D1606,State_Lookup!$A$2:$B$28,2,FALSE)</f>
        <v/>
      </c>
    </row>
    <row r="1607">
      <c r="A1607" t="inlineStr">
        <is>
          <t>d7b4654d3ca41a3b97437da02dff3df0</t>
        </is>
      </c>
      <c r="B1607" t="inlineStr">
        <is>
          <t>2017-11-04</t>
        </is>
      </c>
      <c r="C1607" t="inlineStr">
        <is>
          <t>2017-11</t>
        </is>
      </c>
      <c r="D1607" t="inlineStr">
        <is>
          <t>PR</t>
        </is>
      </c>
      <c r="E1607" t="inlineStr">
        <is>
          <t>housewares</t>
        </is>
      </c>
      <c r="F1607" t="n">
        <v>1</v>
      </c>
      <c r="G1607" t="n">
        <v>86.98</v>
      </c>
      <c r="H1607" t="n">
        <v>21.1</v>
      </c>
      <c r="I1607" t="inlineStr">
        <is>
          <t>credit_card</t>
        </is>
      </c>
      <c r="J1607" t="n">
        <v>10</v>
      </c>
      <c r="K1607" t="inlineStr">
        <is>
          <t>On Time</t>
        </is>
      </c>
      <c r="L1607" t="n">
        <v>5</v>
      </c>
      <c r="M1607">
        <f>VLOOKUP(D1607,State_Lookup!$A$2:$B$28,2,FALSE)</f>
        <v/>
      </c>
    </row>
    <row r="1608">
      <c r="A1608" t="inlineStr">
        <is>
          <t>0886b681f437971243d241ece6cf21d9</t>
        </is>
      </c>
      <c r="B1608" t="inlineStr">
        <is>
          <t>2017-11-04</t>
        </is>
      </c>
      <c r="C1608" t="inlineStr">
        <is>
          <t>2017-11</t>
        </is>
      </c>
      <c r="D1608" t="inlineStr">
        <is>
          <t>MG</t>
        </is>
      </c>
      <c r="E1608" t="inlineStr">
        <is>
          <t>watches_gifts</t>
        </is>
      </c>
      <c r="F1608" t="n">
        <v>1</v>
      </c>
      <c r="G1608" t="n">
        <v>129</v>
      </c>
      <c r="H1608" t="n">
        <v>15.65</v>
      </c>
      <c r="I1608" t="inlineStr">
        <is>
          <t>boleto</t>
        </is>
      </c>
      <c r="J1608" t="n">
        <v>15</v>
      </c>
      <c r="K1608" t="inlineStr">
        <is>
          <t>On Time</t>
        </is>
      </c>
      <c r="L1608" t="n">
        <v>5</v>
      </c>
      <c r="M1608">
        <f>VLOOKUP(D1608,State_Lookup!$A$2:$B$28,2,FALSE)</f>
        <v/>
      </c>
    </row>
    <row r="1609">
      <c r="A1609" t="inlineStr">
        <is>
          <t>d3c5d59ee5c6bd9cbb3230d8bfebfffb</t>
        </is>
      </c>
      <c r="B1609" t="inlineStr">
        <is>
          <t>2017-11-04</t>
        </is>
      </c>
      <c r="C1609" t="inlineStr">
        <is>
          <t>2017-11</t>
        </is>
      </c>
      <c r="D1609" t="inlineStr">
        <is>
          <t>PR</t>
        </is>
      </c>
      <c r="E1609" t="inlineStr">
        <is>
          <t>electronics</t>
        </is>
      </c>
      <c r="F1609" t="n">
        <v>1</v>
      </c>
      <c r="G1609" t="n">
        <v>19.9</v>
      </c>
      <c r="H1609" t="n">
        <v>12.48</v>
      </c>
      <c r="I1609" t="inlineStr">
        <is>
          <t>boleto</t>
        </is>
      </c>
      <c r="J1609" t="n">
        <v>16</v>
      </c>
      <c r="K1609" t="inlineStr">
        <is>
          <t>On Time</t>
        </is>
      </c>
      <c r="L1609" t="n">
        <v>4</v>
      </c>
      <c r="M1609">
        <f>VLOOKUP(D1609,State_Lookup!$A$2:$B$28,2,FALSE)</f>
        <v/>
      </c>
    </row>
    <row r="1610">
      <c r="A1610" t="inlineStr">
        <is>
          <t>db3b94ddef8837c5c780836f80da86c7</t>
        </is>
      </c>
      <c r="B1610" t="inlineStr">
        <is>
          <t>2017-11-04</t>
        </is>
      </c>
      <c r="C1610" t="inlineStr">
        <is>
          <t>2017-11</t>
        </is>
      </c>
      <c r="D1610" t="inlineStr">
        <is>
          <t>RO</t>
        </is>
      </c>
      <c r="E1610" t="inlineStr">
        <is>
          <t>auto</t>
        </is>
      </c>
      <c r="F1610" t="n">
        <v>1</v>
      </c>
      <c r="G1610" t="n">
        <v>799.99</v>
      </c>
      <c r="H1610" t="n">
        <v>217.53</v>
      </c>
      <c r="I1610" t="inlineStr">
        <is>
          <t>credit_card</t>
        </is>
      </c>
      <c r="J1610" t="n">
        <v>13</v>
      </c>
      <c r="K1610" t="inlineStr">
        <is>
          <t>On Time</t>
        </is>
      </c>
      <c r="L1610" t="n">
        <v>5</v>
      </c>
      <c r="M1610">
        <f>VLOOKUP(D1610,State_Lookup!$A$2:$B$28,2,FALSE)</f>
        <v/>
      </c>
    </row>
    <row r="1611">
      <c r="A1611" t="inlineStr">
        <is>
          <t>08a72c88fa7ee3652a339070245b9f1e</t>
        </is>
      </c>
      <c r="B1611" t="inlineStr">
        <is>
          <t>2017-11-04</t>
        </is>
      </c>
      <c r="C1611" t="inlineStr">
        <is>
          <t>2017-11</t>
        </is>
      </c>
      <c r="D1611" t="inlineStr">
        <is>
          <t>RJ</t>
        </is>
      </c>
      <c r="E1611" t="inlineStr">
        <is>
          <t>cool_stuff</t>
        </is>
      </c>
      <c r="F1611" t="n">
        <v>1</v>
      </c>
      <c r="G1611" t="n">
        <v>249.9</v>
      </c>
      <c r="H1611" t="n">
        <v>69.22</v>
      </c>
      <c r="I1611" t="inlineStr">
        <is>
          <t>voucher</t>
        </is>
      </c>
      <c r="J1611" t="n">
        <v>6</v>
      </c>
      <c r="K1611" t="inlineStr">
        <is>
          <t>On Time</t>
        </is>
      </c>
      <c r="L1611" t="n">
        <v>5</v>
      </c>
      <c r="M1611">
        <f>VLOOKUP(D1611,State_Lookup!$A$2:$B$28,2,FALSE)</f>
        <v/>
      </c>
    </row>
    <row r="1612">
      <c r="A1612" t="inlineStr">
        <is>
          <t>5f21071bb4421ccceaf3ae565558f63f</t>
        </is>
      </c>
      <c r="B1612" t="inlineStr">
        <is>
          <t>2017-11-04</t>
        </is>
      </c>
      <c r="C1612" t="inlineStr">
        <is>
          <t>2017-11</t>
        </is>
      </c>
      <c r="D1612" t="inlineStr">
        <is>
          <t>RS</t>
        </is>
      </c>
      <c r="E1612" t="inlineStr">
        <is>
          <t>garden_tools</t>
        </is>
      </c>
      <c r="F1612" t="n">
        <v>2</v>
      </c>
      <c r="G1612" t="n">
        <v>119.8</v>
      </c>
      <c r="H1612" t="n">
        <v>35.34</v>
      </c>
      <c r="I1612" t="inlineStr">
        <is>
          <t>credit_card</t>
        </is>
      </c>
      <c r="J1612" t="n">
        <v>17</v>
      </c>
      <c r="K1612" t="inlineStr">
        <is>
          <t>On Time</t>
        </is>
      </c>
      <c r="L1612" t="n">
        <v>3</v>
      </c>
      <c r="M1612">
        <f>VLOOKUP(D1612,State_Lookup!$A$2:$B$28,2,FALSE)</f>
        <v/>
      </c>
    </row>
    <row r="1613">
      <c r="A1613" t="inlineStr">
        <is>
          <t>e3598a5fc9a765a5269c084646faf00f</t>
        </is>
      </c>
      <c r="B1613" t="inlineStr">
        <is>
          <t>2017-11-05</t>
        </is>
      </c>
      <c r="C1613" t="inlineStr">
        <is>
          <t>2017-11</t>
        </is>
      </c>
      <c r="D1613" t="inlineStr">
        <is>
          <t>PE</t>
        </is>
      </c>
      <c r="E1613" t="inlineStr">
        <is>
          <t>toys</t>
        </is>
      </c>
      <c r="F1613" t="n">
        <v>1</v>
      </c>
      <c r="G1613" t="n">
        <v>99.98999999999999</v>
      </c>
      <c r="H1613" t="n">
        <v>23.02</v>
      </c>
      <c r="I1613" t="inlineStr">
        <is>
          <t>credit_card</t>
        </is>
      </c>
      <c r="J1613" t="n">
        <v>7</v>
      </c>
      <c r="K1613" t="inlineStr">
        <is>
          <t>On Time</t>
        </is>
      </c>
      <c r="L1613" t="n">
        <v>5</v>
      </c>
      <c r="M1613">
        <f>VLOOKUP(D1613,State_Lookup!$A$2:$B$28,2,FALSE)</f>
        <v/>
      </c>
    </row>
    <row r="1614">
      <c r="A1614" t="inlineStr">
        <is>
          <t>c000c9de28e2436553f200d0faf8eb97</t>
        </is>
      </c>
      <c r="B1614" t="inlineStr">
        <is>
          <t>2017-11-05</t>
        </is>
      </c>
      <c r="C1614" t="inlineStr">
        <is>
          <t>2017-11</t>
        </is>
      </c>
      <c r="D1614" t="inlineStr">
        <is>
          <t>SC</t>
        </is>
      </c>
      <c r="E1614" t="inlineStr">
        <is>
          <t>bed_bath_table</t>
        </is>
      </c>
      <c r="F1614" t="n">
        <v>1</v>
      </c>
      <c r="G1614" t="n">
        <v>99.98999999999999</v>
      </c>
      <c r="H1614" t="n">
        <v>25.54</v>
      </c>
      <c r="I1614" t="inlineStr">
        <is>
          <t>credit_card</t>
        </is>
      </c>
      <c r="J1614" t="n">
        <v>16</v>
      </c>
      <c r="K1614" t="inlineStr">
        <is>
          <t>On Time</t>
        </is>
      </c>
      <c r="L1614" t="n">
        <v>5</v>
      </c>
      <c r="M1614">
        <f>VLOOKUP(D1614,State_Lookup!$A$2:$B$28,2,FALSE)</f>
        <v/>
      </c>
    </row>
    <row r="1615">
      <c r="A1615" t="inlineStr">
        <is>
          <t>d2caf57c35ba2c5bea24ab9b08aba4f7</t>
        </is>
      </c>
      <c r="B1615" t="inlineStr">
        <is>
          <t>2017-11-05</t>
        </is>
      </c>
      <c r="C1615" t="inlineStr">
        <is>
          <t>2017-11</t>
        </is>
      </c>
      <c r="D1615" t="inlineStr">
        <is>
          <t>SP</t>
        </is>
      </c>
      <c r="E1615" t="inlineStr">
        <is>
          <t>cool_stuff</t>
        </is>
      </c>
      <c r="F1615" t="n">
        <v>2</v>
      </c>
      <c r="G1615" t="n">
        <v>499.8</v>
      </c>
      <c r="H1615" t="n">
        <v>149.4</v>
      </c>
      <c r="I1615" t="inlineStr">
        <is>
          <t>boleto</t>
        </is>
      </c>
      <c r="J1615" t="n">
        <v>5</v>
      </c>
      <c r="K1615" t="inlineStr">
        <is>
          <t>On Time</t>
        </is>
      </c>
      <c r="L1615" t="n">
        <v>5</v>
      </c>
      <c r="M1615">
        <f>VLOOKUP(D1615,State_Lookup!$A$2:$B$28,2,FALSE)</f>
        <v/>
      </c>
    </row>
    <row r="1616">
      <c r="A1616" t="inlineStr">
        <is>
          <t>077abb7d4f87719b0a5cce22295eb775</t>
        </is>
      </c>
      <c r="B1616" t="inlineStr">
        <is>
          <t>2017-11-05</t>
        </is>
      </c>
      <c r="C1616" t="inlineStr">
        <is>
          <t>2017-11</t>
        </is>
      </c>
      <c r="D1616" t="inlineStr">
        <is>
          <t>RJ</t>
        </is>
      </c>
      <c r="E1616" t="inlineStr">
        <is>
          <t>bed_bath_table</t>
        </is>
      </c>
      <c r="F1616" t="n">
        <v>1</v>
      </c>
      <c r="G1616" t="n">
        <v>45.9</v>
      </c>
      <c r="H1616" t="n">
        <v>15.11</v>
      </c>
      <c r="I1616" t="inlineStr">
        <is>
          <t>credit_card</t>
        </is>
      </c>
      <c r="J1616" t="n">
        <v>6</v>
      </c>
      <c r="K1616" t="inlineStr">
        <is>
          <t>On Time</t>
        </is>
      </c>
      <c r="L1616" t="n">
        <v>5</v>
      </c>
      <c r="M1616">
        <f>VLOOKUP(D1616,State_Lookup!$A$2:$B$28,2,FALSE)</f>
        <v/>
      </c>
    </row>
    <row r="1617">
      <c r="A1617" t="inlineStr">
        <is>
          <t>465bf2bd806ec5b47ff89a62e4c44071</t>
        </is>
      </c>
      <c r="B1617" t="inlineStr">
        <is>
          <t>2017-11-05</t>
        </is>
      </c>
      <c r="C1617" t="inlineStr">
        <is>
          <t>2017-11</t>
        </is>
      </c>
      <c r="D1617" t="inlineStr">
        <is>
          <t>GO</t>
        </is>
      </c>
      <c r="E1617" t="inlineStr">
        <is>
          <t>health_beauty</t>
        </is>
      </c>
      <c r="F1617" t="n">
        <v>1</v>
      </c>
      <c r="G1617" t="n">
        <v>116</v>
      </c>
      <c r="H1617" t="n">
        <v>13.83</v>
      </c>
      <c r="I1617" t="inlineStr">
        <is>
          <t>boleto</t>
        </is>
      </c>
      <c r="J1617" t="n">
        <v>9</v>
      </c>
      <c r="K1617" t="inlineStr">
        <is>
          <t>On Time</t>
        </is>
      </c>
      <c r="L1617" t="n">
        <v>5</v>
      </c>
      <c r="M1617">
        <f>VLOOKUP(D1617,State_Lookup!$A$2:$B$28,2,FALSE)</f>
        <v/>
      </c>
    </row>
    <row r="1618">
      <c r="A1618" t="inlineStr">
        <is>
          <t>b6d7bc72070db9ad2c50a38490b993ca</t>
        </is>
      </c>
      <c r="B1618" t="inlineStr">
        <is>
          <t>2017-11-06</t>
        </is>
      </c>
      <c r="C1618" t="inlineStr">
        <is>
          <t>2017-11</t>
        </is>
      </c>
      <c r="D1618" t="inlineStr">
        <is>
          <t>SP</t>
        </is>
      </c>
      <c r="E1618" t="inlineStr">
        <is>
          <t>unknown</t>
        </is>
      </c>
      <c r="F1618" t="n">
        <v>1</v>
      </c>
      <c r="G1618" t="n">
        <v>29.99</v>
      </c>
      <c r="H1618" t="n">
        <v>8.27</v>
      </c>
      <c r="I1618" t="inlineStr">
        <is>
          <t>credit_card</t>
        </is>
      </c>
      <c r="J1618" t="n">
        <v>2</v>
      </c>
      <c r="K1618" t="inlineStr">
        <is>
          <t>On Time</t>
        </is>
      </c>
      <c r="L1618" t="n">
        <v>5</v>
      </c>
      <c r="M1618">
        <f>VLOOKUP(D1618,State_Lookup!$A$2:$B$28,2,FALSE)</f>
        <v/>
      </c>
    </row>
    <row r="1619">
      <c r="A1619" t="inlineStr">
        <is>
          <t>a9750e3434088f124fafaf2cb0109fc9</t>
        </is>
      </c>
      <c r="B1619" t="inlineStr">
        <is>
          <t>2017-11-06</t>
        </is>
      </c>
      <c r="C1619" t="inlineStr">
        <is>
          <t>2017-11</t>
        </is>
      </c>
      <c r="D1619" t="inlineStr">
        <is>
          <t>RJ</t>
        </is>
      </c>
      <c r="E1619" t="inlineStr">
        <is>
          <t>health_beauty</t>
        </is>
      </c>
      <c r="F1619" t="n">
        <v>1</v>
      </c>
      <c r="G1619" t="n">
        <v>45.04</v>
      </c>
      <c r="H1619" t="n">
        <v>7.94</v>
      </c>
      <c r="I1619" t="inlineStr">
        <is>
          <t>credit_card</t>
        </is>
      </c>
      <c r="J1619" t="n">
        <v>3</v>
      </c>
      <c r="K1619" t="inlineStr">
        <is>
          <t>On Time</t>
        </is>
      </c>
      <c r="L1619" t="n">
        <v>5</v>
      </c>
      <c r="M1619">
        <f>VLOOKUP(D1619,State_Lookup!$A$2:$B$28,2,FALSE)</f>
        <v/>
      </c>
    </row>
    <row r="1620">
      <c r="A1620" t="inlineStr">
        <is>
          <t>e697685891b55205f61d598d64db1c1f</t>
        </is>
      </c>
      <c r="B1620" t="inlineStr">
        <is>
          <t>2017-11-06</t>
        </is>
      </c>
      <c r="C1620" t="inlineStr">
        <is>
          <t>2017-11</t>
        </is>
      </c>
      <c r="D1620" t="inlineStr">
        <is>
          <t>SP</t>
        </is>
      </c>
      <c r="E1620" t="inlineStr">
        <is>
          <t>sports_leisure</t>
        </is>
      </c>
      <c r="F1620" t="n">
        <v>1</v>
      </c>
      <c r="G1620" t="n">
        <v>229.9</v>
      </c>
      <c r="H1620" t="n">
        <v>14.16</v>
      </c>
      <c r="I1620" t="inlineStr">
        <is>
          <t>credit_card</t>
        </is>
      </c>
      <c r="J1620" t="inlineStr"/>
      <c r="K1620" t="inlineStr">
        <is>
          <t>Not Delivered</t>
        </is>
      </c>
      <c r="L1620" t="n">
        <v>1</v>
      </c>
      <c r="M1620">
        <f>VLOOKUP(D1620,State_Lookup!$A$2:$B$28,2,FALSE)</f>
        <v/>
      </c>
    </row>
    <row r="1621">
      <c r="A1621" t="inlineStr">
        <is>
          <t>1b60d2efd91abb75b6a78ba9041a3f15</t>
        </is>
      </c>
      <c r="B1621" t="inlineStr">
        <is>
          <t>2017-11-06</t>
        </is>
      </c>
      <c r="C1621" t="inlineStr">
        <is>
          <t>2017-11</t>
        </is>
      </c>
      <c r="D1621" t="inlineStr">
        <is>
          <t>SC</t>
        </is>
      </c>
      <c r="E1621" t="inlineStr">
        <is>
          <t>watches_gifts</t>
        </is>
      </c>
      <c r="F1621" t="n">
        <v>1</v>
      </c>
      <c r="G1621" t="n">
        <v>19.9</v>
      </c>
      <c r="H1621" t="n">
        <v>16.11</v>
      </c>
      <c r="I1621" t="inlineStr">
        <is>
          <t>credit_card</t>
        </is>
      </c>
      <c r="J1621" t="n">
        <v>18</v>
      </c>
      <c r="K1621" t="inlineStr">
        <is>
          <t>On Time</t>
        </is>
      </c>
      <c r="L1621" t="inlineStr"/>
      <c r="M1621">
        <f>VLOOKUP(D1621,State_Lookup!$A$2:$B$28,2,FALSE)</f>
        <v/>
      </c>
    </row>
    <row r="1622">
      <c r="A1622" t="inlineStr">
        <is>
          <t>a28d2fd8b59565ab9973b930eac2596e</t>
        </is>
      </c>
      <c r="B1622" t="inlineStr">
        <is>
          <t>2017-11-06</t>
        </is>
      </c>
      <c r="C1622" t="inlineStr">
        <is>
          <t>2017-11</t>
        </is>
      </c>
      <c r="D1622" t="inlineStr">
        <is>
          <t>RJ</t>
        </is>
      </c>
      <c r="E1622" t="inlineStr">
        <is>
          <t>unknown</t>
        </is>
      </c>
      <c r="F1622" t="n">
        <v>1</v>
      </c>
      <c r="G1622" t="n">
        <v>89.90000000000001</v>
      </c>
      <c r="H1622" t="n">
        <v>17.2</v>
      </c>
      <c r="I1622" t="inlineStr">
        <is>
          <t>credit_card</t>
        </is>
      </c>
      <c r="J1622" t="n">
        <v>17</v>
      </c>
      <c r="K1622" t="inlineStr">
        <is>
          <t>On Time</t>
        </is>
      </c>
      <c r="L1622" t="n">
        <v>3</v>
      </c>
      <c r="M1622">
        <f>VLOOKUP(D1622,State_Lookup!$A$2:$B$28,2,FALSE)</f>
        <v/>
      </c>
    </row>
    <row r="1623">
      <c r="A1623" t="inlineStr">
        <is>
          <t>ced9efa04f0d7b0543fa0d8ab9472a6c</t>
        </is>
      </c>
      <c r="B1623" t="inlineStr">
        <is>
          <t>2017-11-06</t>
        </is>
      </c>
      <c r="C1623" t="inlineStr">
        <is>
          <t>2017-11</t>
        </is>
      </c>
      <c r="D1623" t="inlineStr">
        <is>
          <t>SP</t>
        </is>
      </c>
      <c r="E1623" t="inlineStr">
        <is>
          <t>telephony</t>
        </is>
      </c>
      <c r="F1623" t="n">
        <v>3</v>
      </c>
      <c r="G1623" t="n">
        <v>115</v>
      </c>
      <c r="H1623" t="n">
        <v>35.54</v>
      </c>
      <c r="I1623" t="inlineStr">
        <is>
          <t>boleto</t>
        </is>
      </c>
      <c r="J1623" t="n">
        <v>7</v>
      </c>
      <c r="K1623" t="inlineStr">
        <is>
          <t>On Time</t>
        </is>
      </c>
      <c r="L1623" t="n">
        <v>5</v>
      </c>
      <c r="M1623">
        <f>VLOOKUP(D1623,State_Lookup!$A$2:$B$28,2,FALSE)</f>
        <v/>
      </c>
    </row>
    <row r="1624">
      <c r="A1624" t="inlineStr">
        <is>
          <t>93cd78e1b92970d2a7e7251057f85153</t>
        </is>
      </c>
      <c r="B1624" t="inlineStr">
        <is>
          <t>2017-11-06</t>
        </is>
      </c>
      <c r="C1624" t="inlineStr">
        <is>
          <t>2017-11</t>
        </is>
      </c>
      <c r="D1624" t="inlineStr">
        <is>
          <t>RJ</t>
        </is>
      </c>
      <c r="E1624" t="inlineStr">
        <is>
          <t>bed_bath_table</t>
        </is>
      </c>
      <c r="F1624" t="n">
        <v>2</v>
      </c>
      <c r="G1624" t="n">
        <v>33.8</v>
      </c>
      <c r="H1624" t="n">
        <v>28.2</v>
      </c>
      <c r="I1624" t="inlineStr">
        <is>
          <t>credit_card</t>
        </is>
      </c>
      <c r="J1624" t="n">
        <v>17</v>
      </c>
      <c r="K1624" t="inlineStr">
        <is>
          <t>On Time</t>
        </is>
      </c>
      <c r="L1624" t="n">
        <v>5</v>
      </c>
      <c r="M1624">
        <f>VLOOKUP(D1624,State_Lookup!$A$2:$B$28,2,FALSE)</f>
        <v/>
      </c>
    </row>
    <row r="1625">
      <c r="A1625" t="inlineStr">
        <is>
          <t>d3cefa3b994d2662eba354f826cd64a7</t>
        </is>
      </c>
      <c r="B1625" t="inlineStr">
        <is>
          <t>2017-11-06</t>
        </is>
      </c>
      <c r="C1625" t="inlineStr">
        <is>
          <t>2017-11</t>
        </is>
      </c>
      <c r="D1625" t="inlineStr">
        <is>
          <t>PR</t>
        </is>
      </c>
      <c r="E1625" t="inlineStr">
        <is>
          <t>office_furniture</t>
        </is>
      </c>
      <c r="F1625" t="n">
        <v>1</v>
      </c>
      <c r="G1625" t="n">
        <v>194.99</v>
      </c>
      <c r="H1625" t="n">
        <v>74.31</v>
      </c>
      <c r="I1625" t="inlineStr">
        <is>
          <t>boleto</t>
        </is>
      </c>
      <c r="J1625" t="n">
        <v>24</v>
      </c>
      <c r="K1625" t="inlineStr">
        <is>
          <t>On Time</t>
        </is>
      </c>
      <c r="L1625" t="n">
        <v>3</v>
      </c>
      <c r="M1625">
        <f>VLOOKUP(D1625,State_Lookup!$A$2:$B$28,2,FALSE)</f>
        <v/>
      </c>
    </row>
    <row r="1626">
      <c r="A1626" t="inlineStr">
        <is>
          <t>bebd5d5cd84828e1958bb698ebb58665</t>
        </is>
      </c>
      <c r="B1626" t="inlineStr">
        <is>
          <t>2017-11-07</t>
        </is>
      </c>
      <c r="C1626" t="inlineStr">
        <is>
          <t>2017-11</t>
        </is>
      </c>
      <c r="D1626" t="inlineStr">
        <is>
          <t>SC</t>
        </is>
      </c>
      <c r="E1626" t="inlineStr">
        <is>
          <t>housewares</t>
        </is>
      </c>
      <c r="F1626" t="n">
        <v>1</v>
      </c>
      <c r="G1626" t="n">
        <v>56.9</v>
      </c>
      <c r="H1626" t="n">
        <v>16.16</v>
      </c>
      <c r="I1626" t="inlineStr">
        <is>
          <t>credit_card</t>
        </is>
      </c>
      <c r="J1626" t="n">
        <v>15</v>
      </c>
      <c r="K1626" t="inlineStr">
        <is>
          <t>On Time</t>
        </is>
      </c>
      <c r="L1626" t="n">
        <v>5</v>
      </c>
      <c r="M1626">
        <f>VLOOKUP(D1626,State_Lookup!$A$2:$B$28,2,FALSE)</f>
        <v/>
      </c>
    </row>
    <row r="1627">
      <c r="A1627" t="inlineStr">
        <is>
          <t>a59a8fa1ef4546339d5f68967925864e</t>
        </is>
      </c>
      <c r="B1627" t="inlineStr">
        <is>
          <t>2017-11-07</t>
        </is>
      </c>
      <c r="C1627" t="inlineStr">
        <is>
          <t>2017-11</t>
        </is>
      </c>
      <c r="D1627" t="inlineStr">
        <is>
          <t>SP</t>
        </is>
      </c>
      <c r="E1627" t="inlineStr">
        <is>
          <t>furniture_decor</t>
        </is>
      </c>
      <c r="F1627" t="n">
        <v>1</v>
      </c>
      <c r="G1627" t="n">
        <v>59.55</v>
      </c>
      <c r="H1627" t="n">
        <v>13.44</v>
      </c>
      <c r="I1627" t="inlineStr">
        <is>
          <t>credit_card</t>
        </is>
      </c>
      <c r="J1627" t="n">
        <v>8</v>
      </c>
      <c r="K1627" t="inlineStr">
        <is>
          <t>On Time</t>
        </is>
      </c>
      <c r="L1627" t="n">
        <v>3</v>
      </c>
      <c r="M1627">
        <f>VLOOKUP(D1627,State_Lookup!$A$2:$B$28,2,FALSE)</f>
        <v/>
      </c>
    </row>
    <row r="1628">
      <c r="A1628" t="inlineStr">
        <is>
          <t>e7fed674bb29ac98193d392f363cfcf1</t>
        </is>
      </c>
      <c r="B1628" t="inlineStr">
        <is>
          <t>2017-11-07</t>
        </is>
      </c>
      <c r="C1628" t="inlineStr">
        <is>
          <t>2017-11</t>
        </is>
      </c>
      <c r="D1628" t="inlineStr">
        <is>
          <t>MG</t>
        </is>
      </c>
      <c r="E1628" t="inlineStr">
        <is>
          <t>telephony</t>
        </is>
      </c>
      <c r="F1628" t="n">
        <v>1</v>
      </c>
      <c r="G1628" t="n">
        <v>27.99</v>
      </c>
      <c r="H1628" t="n">
        <v>14.1</v>
      </c>
      <c r="I1628" t="inlineStr">
        <is>
          <t>voucher</t>
        </is>
      </c>
      <c r="J1628" t="n">
        <v>6</v>
      </c>
      <c r="K1628" t="inlineStr">
        <is>
          <t>On Time</t>
        </is>
      </c>
      <c r="L1628" t="n">
        <v>5</v>
      </c>
      <c r="M1628">
        <f>VLOOKUP(D1628,State_Lookup!$A$2:$B$28,2,FALSE)</f>
        <v/>
      </c>
    </row>
    <row r="1629">
      <c r="A1629" t="inlineStr">
        <is>
          <t>8de424d1353fe39adcd2d41a7d222369</t>
        </is>
      </c>
      <c r="B1629" t="inlineStr">
        <is>
          <t>2017-11-07</t>
        </is>
      </c>
      <c r="C1629" t="inlineStr">
        <is>
          <t>2017-11</t>
        </is>
      </c>
      <c r="D1629" t="inlineStr">
        <is>
          <t>SP</t>
        </is>
      </c>
      <c r="E1629" t="inlineStr">
        <is>
          <t>watches_gifts</t>
        </is>
      </c>
      <c r="F1629" t="n">
        <v>1</v>
      </c>
      <c r="G1629" t="n">
        <v>29</v>
      </c>
      <c r="H1629" t="n">
        <v>7.78</v>
      </c>
      <c r="I1629" t="inlineStr">
        <is>
          <t>credit_card</t>
        </is>
      </c>
      <c r="J1629" t="n">
        <v>6</v>
      </c>
      <c r="K1629" t="inlineStr">
        <is>
          <t>On Time</t>
        </is>
      </c>
      <c r="L1629" t="n">
        <v>3</v>
      </c>
      <c r="M1629">
        <f>VLOOKUP(D1629,State_Lookup!$A$2:$B$28,2,FALSE)</f>
        <v/>
      </c>
    </row>
    <row r="1630">
      <c r="A1630" t="inlineStr">
        <is>
          <t>d759e07b69f482e6ce8efea035901b4d</t>
        </is>
      </c>
      <c r="B1630" t="inlineStr">
        <is>
          <t>2017-11-07</t>
        </is>
      </c>
      <c r="C1630" t="inlineStr">
        <is>
          <t>2017-11</t>
        </is>
      </c>
      <c r="D1630" t="inlineStr">
        <is>
          <t>MG</t>
        </is>
      </c>
      <c r="E1630" t="inlineStr">
        <is>
          <t>telephony</t>
        </is>
      </c>
      <c r="F1630" t="n">
        <v>1</v>
      </c>
      <c r="G1630" t="n">
        <v>27.99</v>
      </c>
      <c r="H1630" t="n">
        <v>15.1</v>
      </c>
      <c r="I1630" t="inlineStr">
        <is>
          <t>credit_card</t>
        </is>
      </c>
      <c r="J1630" t="n">
        <v>6</v>
      </c>
      <c r="K1630" t="inlineStr">
        <is>
          <t>On Time</t>
        </is>
      </c>
      <c r="L1630" t="n">
        <v>5</v>
      </c>
      <c r="M1630">
        <f>VLOOKUP(D1630,State_Lookup!$A$2:$B$28,2,FALSE)</f>
        <v/>
      </c>
    </row>
    <row r="1631">
      <c r="A1631" t="inlineStr">
        <is>
          <t>5b4e981913377d776f83cb4ffd82ad31</t>
        </is>
      </c>
      <c r="B1631" t="inlineStr">
        <is>
          <t>2017-11-07</t>
        </is>
      </c>
      <c r="C1631" t="inlineStr">
        <is>
          <t>2017-11</t>
        </is>
      </c>
      <c r="D1631" t="inlineStr">
        <is>
          <t>SP</t>
        </is>
      </c>
      <c r="E1631" t="inlineStr">
        <is>
          <t>baby</t>
        </is>
      </c>
      <c r="F1631" t="n">
        <v>1</v>
      </c>
      <c r="G1631" t="n">
        <v>29.9</v>
      </c>
      <c r="H1631" t="n">
        <v>11.85</v>
      </c>
      <c r="I1631" t="inlineStr">
        <is>
          <t>credit_card</t>
        </is>
      </c>
      <c r="J1631" t="n">
        <v>13</v>
      </c>
      <c r="K1631" t="inlineStr">
        <is>
          <t>On Time</t>
        </is>
      </c>
      <c r="L1631" t="n">
        <v>5</v>
      </c>
      <c r="M1631">
        <f>VLOOKUP(D1631,State_Lookup!$A$2:$B$28,2,FALSE)</f>
        <v/>
      </c>
    </row>
    <row r="1632">
      <c r="A1632" t="inlineStr">
        <is>
          <t>3eda68d81b3be569f9e35651a18c8215</t>
        </is>
      </c>
      <c r="B1632" t="inlineStr">
        <is>
          <t>2017-11-07</t>
        </is>
      </c>
      <c r="C1632" t="inlineStr">
        <is>
          <t>2017-11</t>
        </is>
      </c>
      <c r="D1632" t="inlineStr">
        <is>
          <t>PE</t>
        </is>
      </c>
      <c r="E1632" t="inlineStr">
        <is>
          <t>perfumery</t>
        </is>
      </c>
      <c r="F1632" t="n">
        <v>1</v>
      </c>
      <c r="G1632" t="n">
        <v>13.99</v>
      </c>
      <c r="H1632" t="n">
        <v>25.63</v>
      </c>
      <c r="I1632" t="inlineStr">
        <is>
          <t>boleto</t>
        </is>
      </c>
      <c r="J1632" t="n">
        <v>16</v>
      </c>
      <c r="K1632" t="inlineStr">
        <is>
          <t>On Time</t>
        </is>
      </c>
      <c r="L1632" t="n">
        <v>3</v>
      </c>
      <c r="M1632">
        <f>VLOOKUP(D1632,State_Lookup!$A$2:$B$28,2,FALSE)</f>
        <v/>
      </c>
    </row>
    <row r="1633">
      <c r="A1633" t="inlineStr">
        <is>
          <t>abb76549f54fa02e04e1d3da5e8f3cce</t>
        </is>
      </c>
      <c r="B1633" t="inlineStr">
        <is>
          <t>2017-11-07</t>
        </is>
      </c>
      <c r="C1633" t="inlineStr">
        <is>
          <t>2017-11</t>
        </is>
      </c>
      <c r="D1633" t="inlineStr">
        <is>
          <t>SP</t>
        </is>
      </c>
      <c r="E1633" t="inlineStr">
        <is>
          <t>baby</t>
        </is>
      </c>
      <c r="F1633" t="n">
        <v>1</v>
      </c>
      <c r="G1633" t="n">
        <v>38.97</v>
      </c>
      <c r="H1633" t="n">
        <v>11.85</v>
      </c>
      <c r="I1633" t="inlineStr">
        <is>
          <t>boleto</t>
        </is>
      </c>
      <c r="J1633" t="n">
        <v>7</v>
      </c>
      <c r="K1633" t="inlineStr">
        <is>
          <t>On Time</t>
        </is>
      </c>
      <c r="L1633" t="n">
        <v>5</v>
      </c>
      <c r="M1633">
        <f>VLOOKUP(D1633,State_Lookup!$A$2:$B$28,2,FALSE)</f>
        <v/>
      </c>
    </row>
    <row r="1634">
      <c r="A1634" t="inlineStr">
        <is>
          <t>0b8223a2d582ee50740baba714b65256</t>
        </is>
      </c>
      <c r="B1634" t="inlineStr">
        <is>
          <t>2017-11-07</t>
        </is>
      </c>
      <c r="C1634" t="inlineStr">
        <is>
          <t>2017-11</t>
        </is>
      </c>
      <c r="D1634" t="inlineStr">
        <is>
          <t>RN</t>
        </is>
      </c>
      <c r="E1634" t="inlineStr">
        <is>
          <t>consoles_games</t>
        </is>
      </c>
      <c r="F1634" t="n">
        <v>1</v>
      </c>
      <c r="G1634" t="n">
        <v>339.9</v>
      </c>
      <c r="H1634" t="n">
        <v>46.23</v>
      </c>
      <c r="I1634" t="inlineStr">
        <is>
          <t>credit_card</t>
        </is>
      </c>
      <c r="J1634" t="n">
        <v>18</v>
      </c>
      <c r="K1634" t="inlineStr">
        <is>
          <t>On Time</t>
        </is>
      </c>
      <c r="L1634" t="n">
        <v>5</v>
      </c>
      <c r="M1634">
        <f>VLOOKUP(D1634,State_Lookup!$A$2:$B$28,2,FALSE)</f>
        <v/>
      </c>
    </row>
    <row r="1635">
      <c r="A1635" t="inlineStr">
        <is>
          <t>2bf0bf5cbf38b387798a9143e05d4c2c</t>
        </is>
      </c>
      <c r="B1635" t="inlineStr">
        <is>
          <t>2017-11-07</t>
        </is>
      </c>
      <c r="C1635" t="inlineStr">
        <is>
          <t>2017-11</t>
        </is>
      </c>
      <c r="D1635" t="inlineStr">
        <is>
          <t>SP</t>
        </is>
      </c>
      <c r="E1635" t="inlineStr">
        <is>
          <t>electronics</t>
        </is>
      </c>
      <c r="F1635" t="n">
        <v>1</v>
      </c>
      <c r="G1635" t="n">
        <v>12.9</v>
      </c>
      <c r="H1635" t="n">
        <v>7.78</v>
      </c>
      <c r="I1635" t="inlineStr">
        <is>
          <t>boleto</t>
        </is>
      </c>
      <c r="J1635" t="n">
        <v>3</v>
      </c>
      <c r="K1635" t="inlineStr">
        <is>
          <t>On Time</t>
        </is>
      </c>
      <c r="L1635" t="n">
        <v>4</v>
      </c>
      <c r="M1635">
        <f>VLOOKUP(D1635,State_Lookup!$A$2:$B$28,2,FALSE)</f>
        <v/>
      </c>
    </row>
    <row r="1636">
      <c r="A1636" t="inlineStr">
        <is>
          <t>00c842d0ae6462afc1d38fc055b02c75</t>
        </is>
      </c>
      <c r="B1636" t="inlineStr">
        <is>
          <t>2017-11-08</t>
        </is>
      </c>
      <c r="C1636" t="inlineStr">
        <is>
          <t>2017-11</t>
        </is>
      </c>
      <c r="D1636" t="inlineStr">
        <is>
          <t>RJ</t>
        </is>
      </c>
      <c r="E1636" t="inlineStr">
        <is>
          <t>garden_tools</t>
        </is>
      </c>
      <c r="F1636" t="n">
        <v>1</v>
      </c>
      <c r="G1636" t="n">
        <v>59.9</v>
      </c>
      <c r="H1636" t="n">
        <v>17.67</v>
      </c>
      <c r="I1636" t="inlineStr">
        <is>
          <t>debit_card</t>
        </is>
      </c>
      <c r="J1636" t="n">
        <v>13</v>
      </c>
      <c r="K1636" t="inlineStr">
        <is>
          <t>On Time</t>
        </is>
      </c>
      <c r="L1636" t="n">
        <v>5</v>
      </c>
      <c r="M1636">
        <f>VLOOKUP(D1636,State_Lookup!$A$2:$B$28,2,FALSE)</f>
        <v/>
      </c>
    </row>
    <row r="1637">
      <c r="A1637" t="inlineStr">
        <is>
          <t>541a54e2a8381eb2797b40e7b1b255f0</t>
        </is>
      </c>
      <c r="B1637" t="inlineStr">
        <is>
          <t>2017-11-08</t>
        </is>
      </c>
      <c r="C1637" t="inlineStr">
        <is>
          <t>2017-11</t>
        </is>
      </c>
      <c r="D1637" t="inlineStr">
        <is>
          <t>SP</t>
        </is>
      </c>
      <c r="E1637" t="inlineStr">
        <is>
          <t>fashion_bags_accessories</t>
        </is>
      </c>
      <c r="F1637" t="n">
        <v>1</v>
      </c>
      <c r="G1637" t="n">
        <v>49.99</v>
      </c>
      <c r="H1637" t="n">
        <v>7.78</v>
      </c>
      <c r="I1637" t="inlineStr">
        <is>
          <t>credit_card</t>
        </is>
      </c>
      <c r="J1637" t="n">
        <v>1</v>
      </c>
      <c r="K1637" t="inlineStr">
        <is>
          <t>On Time</t>
        </is>
      </c>
      <c r="L1637" t="n">
        <v>5</v>
      </c>
      <c r="M1637">
        <f>VLOOKUP(D1637,State_Lookup!$A$2:$B$28,2,FALSE)</f>
        <v/>
      </c>
    </row>
    <row r="1638">
      <c r="A1638" t="inlineStr">
        <is>
          <t>2d2d4e2aa4df8b00e751162c05be40e7</t>
        </is>
      </c>
      <c r="B1638" t="inlineStr">
        <is>
          <t>2017-11-08</t>
        </is>
      </c>
      <c r="C1638" t="inlineStr">
        <is>
          <t>2017-11</t>
        </is>
      </c>
      <c r="D1638" t="inlineStr">
        <is>
          <t>MG</t>
        </is>
      </c>
      <c r="E1638" t="inlineStr">
        <is>
          <t>telephony</t>
        </is>
      </c>
      <c r="F1638" t="n">
        <v>1</v>
      </c>
      <c r="G1638" t="n">
        <v>27.99</v>
      </c>
      <c r="H1638" t="n">
        <v>14.1</v>
      </c>
      <c r="I1638" t="inlineStr">
        <is>
          <t>credit_card</t>
        </is>
      </c>
      <c r="J1638" t="n">
        <v>5</v>
      </c>
      <c r="K1638" t="inlineStr">
        <is>
          <t>On Time</t>
        </is>
      </c>
      <c r="L1638" t="n">
        <v>5</v>
      </c>
      <c r="M1638">
        <f>VLOOKUP(D1638,State_Lookup!$A$2:$B$28,2,FALSE)</f>
        <v/>
      </c>
    </row>
    <row r="1639">
      <c r="A1639" t="inlineStr">
        <is>
          <t>945edc9b56f1a08b87560bf946945f20</t>
        </is>
      </c>
      <c r="B1639" t="inlineStr">
        <is>
          <t>2017-11-08</t>
        </is>
      </c>
      <c r="C1639" t="inlineStr">
        <is>
          <t>2017-11</t>
        </is>
      </c>
      <c r="D1639" t="inlineStr">
        <is>
          <t>GO</t>
        </is>
      </c>
      <c r="E1639" t="inlineStr">
        <is>
          <t>construction_tools_lights</t>
        </is>
      </c>
      <c r="F1639" t="n">
        <v>1</v>
      </c>
      <c r="G1639" t="n">
        <v>250</v>
      </c>
      <c r="H1639" t="n">
        <v>62.49</v>
      </c>
      <c r="I1639" t="inlineStr">
        <is>
          <t>boleto</t>
        </is>
      </c>
      <c r="J1639" t="n">
        <v>20</v>
      </c>
      <c r="K1639" t="inlineStr">
        <is>
          <t>On Time</t>
        </is>
      </c>
      <c r="L1639" t="n">
        <v>5</v>
      </c>
      <c r="M1639">
        <f>VLOOKUP(D1639,State_Lookup!$A$2:$B$28,2,FALSE)</f>
        <v/>
      </c>
    </row>
    <row r="1640">
      <c r="A1640" t="inlineStr">
        <is>
          <t>952241c48f34d58c23ca57964d413834</t>
        </is>
      </c>
      <c r="B1640" t="inlineStr">
        <is>
          <t>2017-11-08</t>
        </is>
      </c>
      <c r="C1640" t="inlineStr">
        <is>
          <t>2017-11</t>
        </is>
      </c>
      <c r="D1640" t="inlineStr">
        <is>
          <t>SP</t>
        </is>
      </c>
      <c r="E1640" t="inlineStr">
        <is>
          <t>pet_shop</t>
        </is>
      </c>
      <c r="F1640" t="n">
        <v>1</v>
      </c>
      <c r="G1640" t="n">
        <v>78.90000000000001</v>
      </c>
      <c r="H1640" t="n">
        <v>9.300000000000001</v>
      </c>
      <c r="I1640" t="inlineStr">
        <is>
          <t>credit_card</t>
        </is>
      </c>
      <c r="J1640" t="n">
        <v>8</v>
      </c>
      <c r="K1640" t="inlineStr">
        <is>
          <t>On Time</t>
        </is>
      </c>
      <c r="L1640" t="n">
        <v>1</v>
      </c>
      <c r="M1640">
        <f>VLOOKUP(D1640,State_Lookup!$A$2:$B$28,2,FALSE)</f>
        <v/>
      </c>
    </row>
    <row r="1641">
      <c r="A1641" t="inlineStr">
        <is>
          <t>c4b6e7386225d1998cf863991ed1e47f</t>
        </is>
      </c>
      <c r="B1641" t="inlineStr">
        <is>
          <t>2017-11-09</t>
        </is>
      </c>
      <c r="C1641" t="inlineStr">
        <is>
          <t>2017-11</t>
        </is>
      </c>
      <c r="D1641" t="inlineStr">
        <is>
          <t>MG</t>
        </is>
      </c>
      <c r="E1641" t="inlineStr">
        <is>
          <t>cool_stuff</t>
        </is>
      </c>
      <c r="F1641" t="n">
        <v>1</v>
      </c>
      <c r="G1641" t="n">
        <v>139.99</v>
      </c>
      <c r="H1641" t="n">
        <v>17.23</v>
      </c>
      <c r="I1641" t="inlineStr">
        <is>
          <t>credit_card</t>
        </is>
      </c>
      <c r="J1641" t="n">
        <v>9</v>
      </c>
      <c r="K1641" t="inlineStr">
        <is>
          <t>On Time</t>
        </is>
      </c>
      <c r="L1641" t="n">
        <v>5</v>
      </c>
      <c r="M1641">
        <f>VLOOKUP(D1641,State_Lookup!$A$2:$B$28,2,FALSE)</f>
        <v/>
      </c>
    </row>
    <row r="1642">
      <c r="A1642" t="inlineStr">
        <is>
          <t>3bb9b0ab151de6d32543f721e301d58b</t>
        </is>
      </c>
      <c r="B1642" t="inlineStr">
        <is>
          <t>2017-11-09</t>
        </is>
      </c>
      <c r="C1642" t="inlineStr">
        <is>
          <t>2017-11</t>
        </is>
      </c>
      <c r="D1642" t="inlineStr">
        <is>
          <t>PR</t>
        </is>
      </c>
      <c r="E1642" t="inlineStr">
        <is>
          <t>musical_instruments</t>
        </is>
      </c>
      <c r="F1642" t="n">
        <v>2</v>
      </c>
      <c r="G1642" t="n">
        <v>119.8</v>
      </c>
      <c r="H1642" t="n">
        <v>98.02</v>
      </c>
      <c r="I1642" t="inlineStr">
        <is>
          <t>credit_card</t>
        </is>
      </c>
      <c r="J1642" t="n">
        <v>12</v>
      </c>
      <c r="K1642" t="inlineStr">
        <is>
          <t>On Time</t>
        </is>
      </c>
      <c r="L1642" t="n">
        <v>5</v>
      </c>
      <c r="M1642">
        <f>VLOOKUP(D1642,State_Lookup!$A$2:$B$28,2,FALSE)</f>
        <v/>
      </c>
    </row>
    <row r="1643">
      <c r="A1643" t="inlineStr">
        <is>
          <t>6ef5dc1efc95e43b6418e91ebc700210</t>
        </is>
      </c>
      <c r="B1643" t="inlineStr">
        <is>
          <t>2017-11-09</t>
        </is>
      </c>
      <c r="C1643" t="inlineStr">
        <is>
          <t>2017-11</t>
        </is>
      </c>
      <c r="D1643" t="inlineStr">
        <is>
          <t>RJ</t>
        </is>
      </c>
      <c r="E1643" t="inlineStr">
        <is>
          <t>auto</t>
        </is>
      </c>
      <c r="F1643" t="n">
        <v>1</v>
      </c>
      <c r="G1643" t="n">
        <v>399.99</v>
      </c>
      <c r="H1643" t="n">
        <v>19.05</v>
      </c>
      <c r="I1643" t="inlineStr">
        <is>
          <t>credit_card</t>
        </is>
      </c>
      <c r="J1643" t="n">
        <v>7</v>
      </c>
      <c r="K1643" t="inlineStr">
        <is>
          <t>On Time</t>
        </is>
      </c>
      <c r="L1643" t="n">
        <v>4</v>
      </c>
      <c r="M1643">
        <f>VLOOKUP(D1643,State_Lookup!$A$2:$B$28,2,FALSE)</f>
        <v/>
      </c>
    </row>
    <row r="1644">
      <c r="A1644" t="inlineStr">
        <is>
          <t>f12ff2a4932dcfb02448431710f346f9</t>
        </is>
      </c>
      <c r="B1644" t="inlineStr">
        <is>
          <t>2017-11-09</t>
        </is>
      </c>
      <c r="C1644" t="inlineStr">
        <is>
          <t>2017-11</t>
        </is>
      </c>
      <c r="D1644" t="inlineStr">
        <is>
          <t>CE</t>
        </is>
      </c>
      <c r="E1644" t="inlineStr">
        <is>
          <t>health_beauty</t>
        </is>
      </c>
      <c r="F1644" t="n">
        <v>1</v>
      </c>
      <c r="G1644" t="n">
        <v>47.99</v>
      </c>
      <c r="H1644" t="n">
        <v>17.63</v>
      </c>
      <c r="I1644" t="inlineStr">
        <is>
          <t>credit_card</t>
        </is>
      </c>
      <c r="J1644" t="inlineStr"/>
      <c r="K1644" t="inlineStr">
        <is>
          <t>Not Delivered</t>
        </is>
      </c>
      <c r="L1644" t="inlineStr"/>
      <c r="M1644">
        <f>VLOOKUP(D1644,State_Lookup!$A$2:$B$28,2,FALSE)</f>
        <v/>
      </c>
    </row>
    <row r="1645">
      <c r="A1645" t="inlineStr">
        <is>
          <t>08688e50bd932bdbd480bb25e55c70de</t>
        </is>
      </c>
      <c r="B1645" t="inlineStr">
        <is>
          <t>2017-11-09</t>
        </is>
      </c>
      <c r="C1645" t="inlineStr">
        <is>
          <t>2017-11</t>
        </is>
      </c>
      <c r="D1645" t="inlineStr">
        <is>
          <t>PR</t>
        </is>
      </c>
      <c r="E1645" t="inlineStr">
        <is>
          <t>telephony</t>
        </is>
      </c>
      <c r="F1645" t="n">
        <v>1</v>
      </c>
      <c r="G1645" t="n">
        <v>28.99</v>
      </c>
      <c r="H1645" t="n">
        <v>15.1</v>
      </c>
      <c r="I1645" t="inlineStr">
        <is>
          <t>credit_card</t>
        </is>
      </c>
      <c r="J1645" t="n">
        <v>13</v>
      </c>
      <c r="K1645" t="inlineStr">
        <is>
          <t>On Time</t>
        </is>
      </c>
      <c r="L1645" t="n">
        <v>1</v>
      </c>
      <c r="M1645">
        <f>VLOOKUP(D1645,State_Lookup!$A$2:$B$28,2,FALSE)</f>
        <v/>
      </c>
    </row>
    <row r="1646">
      <c r="A1646" t="inlineStr">
        <is>
          <t>53b8913fe5c632a9aa10069a33aaceb0</t>
        </is>
      </c>
      <c r="B1646" t="inlineStr">
        <is>
          <t>2017-11-09</t>
        </is>
      </c>
      <c r="C1646" t="inlineStr">
        <is>
          <t>2017-11</t>
        </is>
      </c>
      <c r="D1646" t="inlineStr">
        <is>
          <t>RJ</t>
        </is>
      </c>
      <c r="E1646" t="inlineStr">
        <is>
          <t>garden_tools</t>
        </is>
      </c>
      <c r="F1646" t="n">
        <v>1</v>
      </c>
      <c r="G1646" t="n">
        <v>59.9</v>
      </c>
      <c r="H1646" t="n">
        <v>17.67</v>
      </c>
      <c r="I1646" t="inlineStr">
        <is>
          <t>boleto</t>
        </is>
      </c>
      <c r="J1646" t="n">
        <v>25</v>
      </c>
      <c r="K1646" t="inlineStr">
        <is>
          <t>Late</t>
        </is>
      </c>
      <c r="L1646" t="n">
        <v>5</v>
      </c>
      <c r="M1646">
        <f>VLOOKUP(D1646,State_Lookup!$A$2:$B$28,2,FALSE)</f>
        <v/>
      </c>
    </row>
    <row r="1647">
      <c r="A1647" t="inlineStr">
        <is>
          <t>1854fd6df68c9fb96e79379e229929dc</t>
        </is>
      </c>
      <c r="B1647" t="inlineStr">
        <is>
          <t>2017-11-09</t>
        </is>
      </c>
      <c r="C1647" t="inlineStr">
        <is>
          <t>2017-11</t>
        </is>
      </c>
      <c r="D1647" t="inlineStr">
        <is>
          <t>SP</t>
        </is>
      </c>
      <c r="E1647" t="inlineStr">
        <is>
          <t>baby</t>
        </is>
      </c>
      <c r="F1647" t="n">
        <v>1</v>
      </c>
      <c r="G1647" t="n">
        <v>175.99</v>
      </c>
      <c r="H1647" t="n">
        <v>26.51</v>
      </c>
      <c r="I1647" t="inlineStr">
        <is>
          <t>boleto</t>
        </is>
      </c>
      <c r="J1647" t="n">
        <v>12</v>
      </c>
      <c r="K1647" t="inlineStr">
        <is>
          <t>On Time</t>
        </is>
      </c>
      <c r="L1647" t="n">
        <v>5</v>
      </c>
      <c r="M1647">
        <f>VLOOKUP(D1647,State_Lookup!$A$2:$B$28,2,FALSE)</f>
        <v/>
      </c>
    </row>
    <row r="1648">
      <c r="A1648" t="inlineStr">
        <is>
          <t>b999bcbc5dcb6e24a831378739f69e88</t>
        </is>
      </c>
      <c r="B1648" t="inlineStr">
        <is>
          <t>2017-11-09</t>
        </is>
      </c>
      <c r="C1648" t="inlineStr">
        <is>
          <t>2017-11</t>
        </is>
      </c>
      <c r="D1648" t="inlineStr">
        <is>
          <t>SE</t>
        </is>
      </c>
      <c r="E1648" t="inlineStr">
        <is>
          <t>telephony</t>
        </is>
      </c>
      <c r="F1648" t="n">
        <v>1</v>
      </c>
      <c r="G1648" t="n">
        <v>129</v>
      </c>
      <c r="H1648" t="n">
        <v>21.7</v>
      </c>
      <c r="I1648" t="inlineStr">
        <is>
          <t>boleto</t>
        </is>
      </c>
      <c r="J1648" t="n">
        <v>17</v>
      </c>
      <c r="K1648" t="inlineStr">
        <is>
          <t>On Time</t>
        </is>
      </c>
      <c r="L1648" t="n">
        <v>5</v>
      </c>
      <c r="M1648">
        <f>VLOOKUP(D1648,State_Lookup!$A$2:$B$28,2,FALSE)</f>
        <v/>
      </c>
    </row>
    <row r="1649">
      <c r="A1649" t="inlineStr">
        <is>
          <t>a4b320bb74cd579c4f58521b47a4e538</t>
        </is>
      </c>
      <c r="B1649" t="inlineStr">
        <is>
          <t>2017-11-09</t>
        </is>
      </c>
      <c r="C1649" t="inlineStr">
        <is>
          <t>2017-11</t>
        </is>
      </c>
      <c r="D1649" t="inlineStr">
        <is>
          <t>SP</t>
        </is>
      </c>
      <c r="E1649" t="inlineStr">
        <is>
          <t>fashion_bags_accessories</t>
        </is>
      </c>
      <c r="F1649" t="n">
        <v>1</v>
      </c>
      <c r="G1649" t="n">
        <v>49</v>
      </c>
      <c r="H1649" t="n">
        <v>7.78</v>
      </c>
      <c r="I1649" t="inlineStr">
        <is>
          <t>credit_card</t>
        </is>
      </c>
      <c r="J1649" t="n">
        <v>4</v>
      </c>
      <c r="K1649" t="inlineStr">
        <is>
          <t>On Time</t>
        </is>
      </c>
      <c r="L1649" t="n">
        <v>4</v>
      </c>
      <c r="M1649">
        <f>VLOOKUP(D1649,State_Lookup!$A$2:$B$28,2,FALSE)</f>
        <v/>
      </c>
    </row>
    <row r="1650">
      <c r="A1650" t="inlineStr">
        <is>
          <t>a3021cb38ee69a87a0cb9cda57f7d72e</t>
        </is>
      </c>
      <c r="B1650" t="inlineStr">
        <is>
          <t>2017-11-09</t>
        </is>
      </c>
      <c r="C1650" t="inlineStr">
        <is>
          <t>2017-11</t>
        </is>
      </c>
      <c r="D1650" t="inlineStr">
        <is>
          <t>RS</t>
        </is>
      </c>
      <c r="E1650" t="inlineStr">
        <is>
          <t>air_conditioning</t>
        </is>
      </c>
      <c r="F1650" t="n">
        <v>1</v>
      </c>
      <c r="G1650" t="n">
        <v>299.9</v>
      </c>
      <c r="H1650" t="n">
        <v>29.48</v>
      </c>
      <c r="I1650" t="inlineStr">
        <is>
          <t>credit_card</t>
        </is>
      </c>
      <c r="J1650" t="n">
        <v>15</v>
      </c>
      <c r="K1650" t="inlineStr">
        <is>
          <t>On Time</t>
        </is>
      </c>
      <c r="L1650" t="n">
        <v>5</v>
      </c>
      <c r="M1650">
        <f>VLOOKUP(D1650,State_Lookup!$A$2:$B$28,2,FALSE)</f>
        <v/>
      </c>
    </row>
    <row r="1651">
      <c r="A1651" t="inlineStr">
        <is>
          <t>61fbc5899c21d17064fe3d17911738b2</t>
        </is>
      </c>
      <c r="B1651" t="inlineStr">
        <is>
          <t>2017-11-09</t>
        </is>
      </c>
      <c r="C1651" t="inlineStr">
        <is>
          <t>2017-11</t>
        </is>
      </c>
      <c r="D1651" t="inlineStr">
        <is>
          <t>RS</t>
        </is>
      </c>
      <c r="E1651" t="inlineStr">
        <is>
          <t>furniture_decor</t>
        </is>
      </c>
      <c r="F1651" t="n">
        <v>2</v>
      </c>
      <c r="G1651" t="n">
        <v>76.8</v>
      </c>
      <c r="H1651" t="n">
        <v>30.22</v>
      </c>
      <c r="I1651" t="inlineStr">
        <is>
          <t>credit_card</t>
        </is>
      </c>
      <c r="J1651" t="n">
        <v>13</v>
      </c>
      <c r="K1651" t="inlineStr">
        <is>
          <t>On Time</t>
        </is>
      </c>
      <c r="L1651" t="n">
        <v>5</v>
      </c>
      <c r="M1651">
        <f>VLOOKUP(D1651,State_Lookup!$A$2:$B$28,2,FALSE)</f>
        <v/>
      </c>
    </row>
    <row r="1652">
      <c r="A1652" t="inlineStr">
        <is>
          <t>d6bfbcba448fc051ce09f23976bee3ab</t>
        </is>
      </c>
      <c r="B1652" t="inlineStr">
        <is>
          <t>2017-11-09</t>
        </is>
      </c>
      <c r="C1652" t="inlineStr">
        <is>
          <t>2017-11</t>
        </is>
      </c>
      <c r="D1652" t="inlineStr">
        <is>
          <t>SP</t>
        </is>
      </c>
      <c r="E1652" t="inlineStr">
        <is>
          <t>garden_tools</t>
        </is>
      </c>
      <c r="F1652" t="n">
        <v>1</v>
      </c>
      <c r="G1652" t="n">
        <v>59.9</v>
      </c>
      <c r="H1652" t="n">
        <v>13.44</v>
      </c>
      <c r="I1652" t="inlineStr">
        <is>
          <t>credit_card</t>
        </is>
      </c>
      <c r="J1652" t="n">
        <v>17</v>
      </c>
      <c r="K1652" t="inlineStr">
        <is>
          <t>On Time</t>
        </is>
      </c>
      <c r="L1652" t="n">
        <v>4</v>
      </c>
      <c r="M1652">
        <f>VLOOKUP(D1652,State_Lookup!$A$2:$B$28,2,FALSE)</f>
        <v/>
      </c>
    </row>
    <row r="1653">
      <c r="A1653" t="inlineStr">
        <is>
          <t>055148178e6fef1a7c02a3a04b6ef6e2</t>
        </is>
      </c>
      <c r="B1653" t="inlineStr">
        <is>
          <t>2017-11-10</t>
        </is>
      </c>
      <c r="C1653" t="inlineStr">
        <is>
          <t>2017-11</t>
        </is>
      </c>
      <c r="D1653" t="inlineStr">
        <is>
          <t>BA</t>
        </is>
      </c>
      <c r="E1653" t="inlineStr">
        <is>
          <t>sports_leisure</t>
        </is>
      </c>
      <c r="F1653" t="n">
        <v>1</v>
      </c>
      <c r="G1653" t="n">
        <v>269.9</v>
      </c>
      <c r="H1653" t="n">
        <v>18.33</v>
      </c>
      <c r="I1653" t="inlineStr">
        <is>
          <t>boleto</t>
        </is>
      </c>
      <c r="J1653" t="n">
        <v>17</v>
      </c>
      <c r="K1653" t="inlineStr">
        <is>
          <t>On Time</t>
        </is>
      </c>
      <c r="L1653" t="n">
        <v>5</v>
      </c>
      <c r="M1653">
        <f>VLOOKUP(D1653,State_Lookup!$A$2:$B$28,2,FALSE)</f>
        <v/>
      </c>
    </row>
    <row r="1654">
      <c r="A1654" t="inlineStr">
        <is>
          <t>a54f35a6dfb350a13c6410aa276e52d8</t>
        </is>
      </c>
      <c r="B1654" t="inlineStr">
        <is>
          <t>2017-11-10</t>
        </is>
      </c>
      <c r="C1654" t="inlineStr">
        <is>
          <t>2017-11</t>
        </is>
      </c>
      <c r="D1654" t="inlineStr">
        <is>
          <t>SP</t>
        </is>
      </c>
      <c r="E1654" t="inlineStr">
        <is>
          <t>watches_gifts</t>
        </is>
      </c>
      <c r="F1654" t="n">
        <v>1</v>
      </c>
      <c r="G1654" t="n">
        <v>133</v>
      </c>
      <c r="H1654" t="n">
        <v>16.56</v>
      </c>
      <c r="I1654" t="inlineStr">
        <is>
          <t>credit_card</t>
        </is>
      </c>
      <c r="J1654" t="n">
        <v>8</v>
      </c>
      <c r="K1654" t="inlineStr">
        <is>
          <t>On Time</t>
        </is>
      </c>
      <c r="L1654" t="n">
        <v>5</v>
      </c>
      <c r="M1654">
        <f>VLOOKUP(D1654,State_Lookup!$A$2:$B$28,2,FALSE)</f>
        <v/>
      </c>
    </row>
    <row r="1655">
      <c r="A1655" t="inlineStr">
        <is>
          <t>13d840efe9026dc20ab05e59663dff7f</t>
        </is>
      </c>
      <c r="B1655" t="inlineStr">
        <is>
          <t>2017-11-10</t>
        </is>
      </c>
      <c r="C1655" t="inlineStr">
        <is>
          <t>2017-11</t>
        </is>
      </c>
      <c r="D1655" t="inlineStr">
        <is>
          <t>SP</t>
        </is>
      </c>
      <c r="E1655" t="inlineStr">
        <is>
          <t>fashion_bags_accessories</t>
        </is>
      </c>
      <c r="F1655" t="n">
        <v>1</v>
      </c>
      <c r="G1655" t="n">
        <v>49</v>
      </c>
      <c r="H1655" t="n">
        <v>11.85</v>
      </c>
      <c r="I1655" t="inlineStr">
        <is>
          <t>credit_card</t>
        </is>
      </c>
      <c r="J1655" t="n">
        <v>19</v>
      </c>
      <c r="K1655" t="inlineStr">
        <is>
          <t>Late</t>
        </is>
      </c>
      <c r="L1655" t="n">
        <v>3</v>
      </c>
      <c r="M1655">
        <f>VLOOKUP(D1655,State_Lookup!$A$2:$B$28,2,FALSE)</f>
        <v/>
      </c>
    </row>
    <row r="1656">
      <c r="A1656" t="inlineStr">
        <is>
          <t>6e9e60623cf73b485aee48dc4b45c98d</t>
        </is>
      </c>
      <c r="B1656" t="inlineStr">
        <is>
          <t>2017-11-10</t>
        </is>
      </c>
      <c r="C1656" t="inlineStr">
        <is>
          <t>2017-11</t>
        </is>
      </c>
      <c r="D1656" t="inlineStr">
        <is>
          <t>SC</t>
        </is>
      </c>
      <c r="E1656" t="inlineStr">
        <is>
          <t>perfumery</t>
        </is>
      </c>
      <c r="F1656" t="n">
        <v>1</v>
      </c>
      <c r="G1656" t="n">
        <v>120.42</v>
      </c>
      <c r="H1656" t="n">
        <v>16.6</v>
      </c>
      <c r="I1656" t="inlineStr">
        <is>
          <t>credit_card</t>
        </is>
      </c>
      <c r="J1656" t="n">
        <v>14</v>
      </c>
      <c r="K1656" t="inlineStr">
        <is>
          <t>On Time</t>
        </is>
      </c>
      <c r="L1656" t="n">
        <v>5</v>
      </c>
      <c r="M1656">
        <f>VLOOKUP(D1656,State_Lookup!$A$2:$B$28,2,FALSE)</f>
        <v/>
      </c>
    </row>
    <row r="1657">
      <c r="A1657" t="inlineStr">
        <is>
          <t>82bf720ca63002cfa62c7910ad811079</t>
        </is>
      </c>
      <c r="B1657" t="inlineStr">
        <is>
          <t>2017-11-10</t>
        </is>
      </c>
      <c r="C1657" t="inlineStr">
        <is>
          <t>2017-11</t>
        </is>
      </c>
      <c r="D1657" t="inlineStr">
        <is>
          <t>PR</t>
        </is>
      </c>
      <c r="E1657" t="inlineStr">
        <is>
          <t>sports_leisure</t>
        </is>
      </c>
      <c r="F1657" t="n">
        <v>1</v>
      </c>
      <c r="G1657" t="n">
        <v>69.90000000000001</v>
      </c>
      <c r="H1657" t="n">
        <v>16.12</v>
      </c>
      <c r="I1657" t="inlineStr">
        <is>
          <t>boleto</t>
        </is>
      </c>
      <c r="J1657" t="n">
        <v>13</v>
      </c>
      <c r="K1657" t="inlineStr">
        <is>
          <t>On Time</t>
        </is>
      </c>
      <c r="L1657" t="n">
        <v>5</v>
      </c>
      <c r="M1657">
        <f>VLOOKUP(D1657,State_Lookup!$A$2:$B$28,2,FALSE)</f>
        <v/>
      </c>
    </row>
    <row r="1658">
      <c r="A1658" t="inlineStr">
        <is>
          <t>17a4db677e57484f24eb68217b8de4c1</t>
        </is>
      </c>
      <c r="B1658" t="inlineStr">
        <is>
          <t>2017-11-10</t>
        </is>
      </c>
      <c r="C1658" t="inlineStr">
        <is>
          <t>2017-11</t>
        </is>
      </c>
      <c r="D1658" t="inlineStr">
        <is>
          <t>DF</t>
        </is>
      </c>
      <c r="E1658" t="inlineStr">
        <is>
          <t>computers_accessories</t>
        </is>
      </c>
      <c r="F1658" t="n">
        <v>5</v>
      </c>
      <c r="G1658" t="n">
        <v>900</v>
      </c>
      <c r="H1658" t="n">
        <v>75.05</v>
      </c>
      <c r="I1658" t="inlineStr">
        <is>
          <t>boleto</t>
        </is>
      </c>
      <c r="J1658" t="inlineStr"/>
      <c r="K1658" t="inlineStr">
        <is>
          <t>Not Delivered</t>
        </is>
      </c>
      <c r="L1658" t="n">
        <v>1</v>
      </c>
      <c r="M1658">
        <f>VLOOKUP(D1658,State_Lookup!$A$2:$B$28,2,FALSE)</f>
        <v/>
      </c>
    </row>
    <row r="1659">
      <c r="A1659" t="inlineStr">
        <is>
          <t>afef48d3c8a0b1b7c9b7f8f922fb5674</t>
        </is>
      </c>
      <c r="B1659" t="inlineStr">
        <is>
          <t>2017-11-10</t>
        </is>
      </c>
      <c r="C1659" t="inlineStr">
        <is>
          <t>2017-11</t>
        </is>
      </c>
      <c r="D1659" t="inlineStr">
        <is>
          <t>RS</t>
        </is>
      </c>
      <c r="E1659" t="inlineStr">
        <is>
          <t>cool_stuff</t>
        </is>
      </c>
      <c r="F1659" t="n">
        <v>1</v>
      </c>
      <c r="G1659" t="n">
        <v>134.9</v>
      </c>
      <c r="H1659" t="n">
        <v>18.51</v>
      </c>
      <c r="I1659" t="inlineStr">
        <is>
          <t>credit_card</t>
        </is>
      </c>
      <c r="J1659" t="inlineStr"/>
      <c r="K1659" t="inlineStr">
        <is>
          <t>Not Delivered</t>
        </is>
      </c>
      <c r="L1659" t="n">
        <v>1</v>
      </c>
      <c r="M1659">
        <f>VLOOKUP(D1659,State_Lookup!$A$2:$B$28,2,FALSE)</f>
        <v/>
      </c>
    </row>
    <row r="1660">
      <c r="A1660" t="inlineStr">
        <is>
          <t>3a3b0394c09dbf1c3f658c1fbe9adc31</t>
        </is>
      </c>
      <c r="B1660" t="inlineStr">
        <is>
          <t>2017-11-10</t>
        </is>
      </c>
      <c r="C1660" t="inlineStr">
        <is>
          <t>2017-11</t>
        </is>
      </c>
      <c r="D1660" t="inlineStr">
        <is>
          <t>SP</t>
        </is>
      </c>
      <c r="E1660" t="inlineStr">
        <is>
          <t>garden_tools</t>
        </is>
      </c>
      <c r="F1660" t="n">
        <v>1</v>
      </c>
      <c r="G1660" t="n">
        <v>79.90000000000001</v>
      </c>
      <c r="H1660" t="n">
        <v>17.81</v>
      </c>
      <c r="I1660" t="inlineStr">
        <is>
          <t>credit_card</t>
        </is>
      </c>
      <c r="J1660" t="n">
        <v>63</v>
      </c>
      <c r="K1660" t="inlineStr">
        <is>
          <t>Late</t>
        </is>
      </c>
      <c r="L1660" t="n">
        <v>1</v>
      </c>
      <c r="M1660">
        <f>VLOOKUP(D1660,State_Lookup!$A$2:$B$28,2,FALSE)</f>
        <v/>
      </c>
    </row>
    <row r="1661">
      <c r="A1661" t="inlineStr">
        <is>
          <t>7da8b207db3f7231fb1d741fad7dce3a</t>
        </is>
      </c>
      <c r="B1661" t="inlineStr">
        <is>
          <t>2017-11-10</t>
        </is>
      </c>
      <c r="C1661" t="inlineStr">
        <is>
          <t>2017-11</t>
        </is>
      </c>
      <c r="D1661" t="inlineStr">
        <is>
          <t>MG</t>
        </is>
      </c>
      <c r="E1661" t="inlineStr">
        <is>
          <t>health_beauty</t>
        </is>
      </c>
      <c r="F1661" t="n">
        <v>1</v>
      </c>
      <c r="G1661" t="n">
        <v>23.99</v>
      </c>
      <c r="H1661" t="n">
        <v>14.1</v>
      </c>
      <c r="I1661" t="inlineStr">
        <is>
          <t>credit_card</t>
        </is>
      </c>
      <c r="J1661" t="n">
        <v>11</v>
      </c>
      <c r="K1661" t="inlineStr">
        <is>
          <t>On Time</t>
        </is>
      </c>
      <c r="L1661" t="n">
        <v>5</v>
      </c>
      <c r="M1661">
        <f>VLOOKUP(D1661,State_Lookup!$A$2:$B$28,2,FALSE)</f>
        <v/>
      </c>
    </row>
    <row r="1662">
      <c r="A1662" t="inlineStr">
        <is>
          <t>34713a7c57fc2cc3f40a0ed057046b70</t>
        </is>
      </c>
      <c r="B1662" t="inlineStr">
        <is>
          <t>2017-11-10</t>
        </is>
      </c>
      <c r="C1662" t="inlineStr">
        <is>
          <t>2017-11</t>
        </is>
      </c>
      <c r="D1662" t="inlineStr">
        <is>
          <t>RJ</t>
        </is>
      </c>
      <c r="E1662" t="inlineStr">
        <is>
          <t>housewares</t>
        </is>
      </c>
      <c r="F1662" t="n">
        <v>1</v>
      </c>
      <c r="G1662" t="n">
        <v>9.9</v>
      </c>
      <c r="H1662" t="n">
        <v>15.1</v>
      </c>
      <c r="I1662" t="inlineStr">
        <is>
          <t>credit_card</t>
        </is>
      </c>
      <c r="J1662" t="n">
        <v>13</v>
      </c>
      <c r="K1662" t="inlineStr">
        <is>
          <t>On Time</t>
        </is>
      </c>
      <c r="L1662" t="n">
        <v>5</v>
      </c>
      <c r="M1662">
        <f>VLOOKUP(D1662,State_Lookup!$A$2:$B$28,2,FALSE)</f>
        <v/>
      </c>
    </row>
    <row r="1663">
      <c r="A1663" t="inlineStr">
        <is>
          <t>1abe7fd5dfa459b6d9ffcf465d5e39b1</t>
        </is>
      </c>
      <c r="B1663" t="inlineStr">
        <is>
          <t>2017-11-11</t>
        </is>
      </c>
      <c r="C1663" t="inlineStr">
        <is>
          <t>2017-11</t>
        </is>
      </c>
      <c r="D1663" t="inlineStr">
        <is>
          <t>PR</t>
        </is>
      </c>
      <c r="E1663" t="inlineStr">
        <is>
          <t>sports_leisure</t>
        </is>
      </c>
      <c r="F1663" t="n">
        <v>1</v>
      </c>
      <c r="G1663" t="n">
        <v>319.49</v>
      </c>
      <c r="H1663" t="n">
        <v>22.73</v>
      </c>
      <c r="I1663" t="inlineStr">
        <is>
          <t>boleto</t>
        </is>
      </c>
      <c r="J1663" t="n">
        <v>12</v>
      </c>
      <c r="K1663" t="inlineStr">
        <is>
          <t>On Time</t>
        </is>
      </c>
      <c r="L1663" t="n">
        <v>4</v>
      </c>
      <c r="M1663">
        <f>VLOOKUP(D1663,State_Lookup!$A$2:$B$28,2,FALSE)</f>
        <v/>
      </c>
    </row>
    <row r="1664">
      <c r="A1664" t="inlineStr">
        <is>
          <t>dca570055f40d024d88a2d48de7e502e</t>
        </is>
      </c>
      <c r="B1664" t="inlineStr">
        <is>
          <t>2017-11-11</t>
        </is>
      </c>
      <c r="C1664" t="inlineStr">
        <is>
          <t>2017-11</t>
        </is>
      </c>
      <c r="D1664" t="inlineStr">
        <is>
          <t>SP</t>
        </is>
      </c>
      <c r="E1664" t="inlineStr">
        <is>
          <t>computers_accessories</t>
        </is>
      </c>
      <c r="F1664" t="n">
        <v>1</v>
      </c>
      <c r="G1664" t="n">
        <v>159.9</v>
      </c>
      <c r="H1664" t="n">
        <v>14.14</v>
      </c>
      <c r="I1664" t="inlineStr">
        <is>
          <t>boleto</t>
        </is>
      </c>
      <c r="J1664" t="n">
        <v>9</v>
      </c>
      <c r="K1664" t="inlineStr">
        <is>
          <t>On Time</t>
        </is>
      </c>
      <c r="L1664" t="n">
        <v>4</v>
      </c>
      <c r="M1664">
        <f>VLOOKUP(D1664,State_Lookup!$A$2:$B$28,2,FALSE)</f>
        <v/>
      </c>
    </row>
    <row r="1665">
      <c r="A1665" t="inlineStr">
        <is>
          <t>c855d7dabfd631a4aa54cdeefab7dc3a</t>
        </is>
      </c>
      <c r="B1665" t="inlineStr">
        <is>
          <t>2017-11-11</t>
        </is>
      </c>
      <c r="C1665" t="inlineStr">
        <is>
          <t>2017-11</t>
        </is>
      </c>
      <c r="D1665" t="inlineStr">
        <is>
          <t>RJ</t>
        </is>
      </c>
      <c r="E1665" t="inlineStr">
        <is>
          <t>bed_bath_table</t>
        </is>
      </c>
      <c r="F1665" t="n">
        <v>1</v>
      </c>
      <c r="G1665" t="n">
        <v>38</v>
      </c>
      <c r="H1665" t="n">
        <v>15.1</v>
      </c>
      <c r="I1665" t="inlineStr">
        <is>
          <t>credit_card</t>
        </is>
      </c>
      <c r="J1665" t="n">
        <v>16</v>
      </c>
      <c r="K1665" t="inlineStr">
        <is>
          <t>On Time</t>
        </is>
      </c>
      <c r="L1665" t="n">
        <v>1</v>
      </c>
      <c r="M1665">
        <f>VLOOKUP(D1665,State_Lookup!$A$2:$B$28,2,FALSE)</f>
        <v/>
      </c>
    </row>
    <row r="1666">
      <c r="A1666" t="inlineStr">
        <is>
          <t>ed836a8fccba401754e0b283c9b32f09</t>
        </is>
      </c>
      <c r="B1666" t="inlineStr">
        <is>
          <t>2017-11-11</t>
        </is>
      </c>
      <c r="C1666" t="inlineStr">
        <is>
          <t>2017-11</t>
        </is>
      </c>
      <c r="D1666" t="inlineStr">
        <is>
          <t>PR</t>
        </is>
      </c>
      <c r="E1666" t="inlineStr">
        <is>
          <t>telephony</t>
        </is>
      </c>
      <c r="F1666" t="n">
        <v>1</v>
      </c>
      <c r="G1666" t="n">
        <v>24.99</v>
      </c>
      <c r="H1666" t="n">
        <v>14.1</v>
      </c>
      <c r="I1666" t="inlineStr">
        <is>
          <t>credit_card</t>
        </is>
      </c>
      <c r="J1666" t="n">
        <v>8</v>
      </c>
      <c r="K1666" t="inlineStr">
        <is>
          <t>On Time</t>
        </is>
      </c>
      <c r="L1666" t="n">
        <v>5</v>
      </c>
      <c r="M1666">
        <f>VLOOKUP(D1666,State_Lookup!$A$2:$B$28,2,FALSE)</f>
        <v/>
      </c>
    </row>
    <row r="1667">
      <c r="A1667" t="inlineStr">
        <is>
          <t>d8d344285c3eb8fe24478102c93f6e94</t>
        </is>
      </c>
      <c r="B1667" t="inlineStr">
        <is>
          <t>2017-11-11</t>
        </is>
      </c>
      <c r="C1667" t="inlineStr">
        <is>
          <t>2017-11</t>
        </is>
      </c>
      <c r="D1667" t="inlineStr">
        <is>
          <t>RJ</t>
        </is>
      </c>
      <c r="E1667" t="inlineStr">
        <is>
          <t>sports_leisure</t>
        </is>
      </c>
      <c r="F1667" t="n">
        <v>1</v>
      </c>
      <c r="G1667" t="n">
        <v>43.2</v>
      </c>
      <c r="H1667" t="n">
        <v>14.1</v>
      </c>
      <c r="I1667" t="inlineStr">
        <is>
          <t>credit_card</t>
        </is>
      </c>
      <c r="J1667" t="n">
        <v>12</v>
      </c>
      <c r="K1667" t="inlineStr">
        <is>
          <t>On Time</t>
        </is>
      </c>
      <c r="L1667" t="n">
        <v>5</v>
      </c>
      <c r="M1667">
        <f>VLOOKUP(D1667,State_Lookup!$A$2:$B$28,2,FALSE)</f>
        <v/>
      </c>
    </row>
    <row r="1668">
      <c r="A1668" t="inlineStr">
        <is>
          <t>d9a932befd90783805fe255151f656a5</t>
        </is>
      </c>
      <c r="B1668" t="inlineStr">
        <is>
          <t>2017-11-11</t>
        </is>
      </c>
      <c r="C1668" t="inlineStr">
        <is>
          <t>2017-11</t>
        </is>
      </c>
      <c r="D1668" t="inlineStr">
        <is>
          <t>PA</t>
        </is>
      </c>
      <c r="E1668" t="inlineStr">
        <is>
          <t>unknown</t>
        </is>
      </c>
      <c r="F1668" t="n">
        <v>1</v>
      </c>
      <c r="G1668" t="n">
        <v>990</v>
      </c>
      <c r="H1668" t="n">
        <v>131.01</v>
      </c>
      <c r="I1668" t="inlineStr">
        <is>
          <t>boleto</t>
        </is>
      </c>
      <c r="J1668" t="n">
        <v>26</v>
      </c>
      <c r="K1668" t="inlineStr">
        <is>
          <t>On Time</t>
        </is>
      </c>
      <c r="L1668" t="n">
        <v>4</v>
      </c>
      <c r="M1668">
        <f>VLOOKUP(D1668,State_Lookup!$A$2:$B$28,2,FALSE)</f>
        <v/>
      </c>
    </row>
    <row r="1669">
      <c r="A1669" t="inlineStr">
        <is>
          <t>4093f51e15660b0278941a5b38e694c8</t>
        </is>
      </c>
      <c r="B1669" t="inlineStr">
        <is>
          <t>2017-11-11</t>
        </is>
      </c>
      <c r="C1669" t="inlineStr">
        <is>
          <t>2017-11</t>
        </is>
      </c>
      <c r="D1669" t="inlineStr">
        <is>
          <t>SC</t>
        </is>
      </c>
      <c r="E1669" t="inlineStr">
        <is>
          <t>stationery</t>
        </is>
      </c>
      <c r="F1669" t="n">
        <v>1</v>
      </c>
      <c r="G1669" t="n">
        <v>689</v>
      </c>
      <c r="H1669" t="n">
        <v>17.07</v>
      </c>
      <c r="I1669" t="inlineStr">
        <is>
          <t>credit_card</t>
        </is>
      </c>
      <c r="J1669" t="n">
        <v>8</v>
      </c>
      <c r="K1669" t="inlineStr">
        <is>
          <t>On Time</t>
        </is>
      </c>
      <c r="L1669" t="n">
        <v>5</v>
      </c>
      <c r="M1669">
        <f>VLOOKUP(D1669,State_Lookup!$A$2:$B$28,2,FALSE)</f>
        <v/>
      </c>
    </row>
    <row r="1670">
      <c r="A1670" t="inlineStr">
        <is>
          <t>67642a6b87ab5c8cdfffd5b81da8a501</t>
        </is>
      </c>
      <c r="B1670" t="inlineStr">
        <is>
          <t>2017-11-11</t>
        </is>
      </c>
      <c r="C1670" t="inlineStr">
        <is>
          <t>2017-11</t>
        </is>
      </c>
      <c r="D1670" t="inlineStr">
        <is>
          <t>MG</t>
        </is>
      </c>
      <c r="E1670" t="inlineStr">
        <is>
          <t>stationery</t>
        </is>
      </c>
      <c r="F1670" t="n">
        <v>1</v>
      </c>
      <c r="G1670" t="n">
        <v>99</v>
      </c>
      <c r="H1670" t="n">
        <v>16.45</v>
      </c>
      <c r="I1670" t="inlineStr">
        <is>
          <t>voucher</t>
        </is>
      </c>
      <c r="J1670" t="n">
        <v>16</v>
      </c>
      <c r="K1670" t="inlineStr">
        <is>
          <t>On Time</t>
        </is>
      </c>
      <c r="L1670" t="n">
        <v>4</v>
      </c>
      <c r="M1670">
        <f>VLOOKUP(D1670,State_Lookup!$A$2:$B$28,2,FALSE)</f>
        <v/>
      </c>
    </row>
    <row r="1671">
      <c r="A1671" t="inlineStr">
        <is>
          <t>4c7ced0f699389f760f6bee7e99f7b35</t>
        </is>
      </c>
      <c r="B1671" t="inlineStr">
        <is>
          <t>2017-11-11</t>
        </is>
      </c>
      <c r="C1671" t="inlineStr">
        <is>
          <t>2017-11</t>
        </is>
      </c>
      <c r="D1671" t="inlineStr">
        <is>
          <t>RJ</t>
        </is>
      </c>
      <c r="E1671" t="inlineStr">
        <is>
          <t>bed_bath_table</t>
        </is>
      </c>
      <c r="F1671" t="n">
        <v>2</v>
      </c>
      <c r="G1671" t="n">
        <v>194.8</v>
      </c>
      <c r="H1671" t="n">
        <v>33.53</v>
      </c>
      <c r="I1671" t="inlineStr">
        <is>
          <t>credit_card</t>
        </is>
      </c>
      <c r="J1671" t="n">
        <v>17</v>
      </c>
      <c r="K1671" t="inlineStr">
        <is>
          <t>On Time</t>
        </is>
      </c>
      <c r="L1671" t="n">
        <v>1</v>
      </c>
      <c r="M1671">
        <f>VLOOKUP(D1671,State_Lookup!$A$2:$B$28,2,FALSE)</f>
        <v/>
      </c>
    </row>
    <row r="1672">
      <c r="A1672" t="inlineStr">
        <is>
          <t>d02b1845a40a0f3f58d0fbf2e04fb0d2</t>
        </is>
      </c>
      <c r="B1672" t="inlineStr">
        <is>
          <t>2017-11-11</t>
        </is>
      </c>
      <c r="C1672" t="inlineStr">
        <is>
          <t>2017-11</t>
        </is>
      </c>
      <c r="D1672" t="inlineStr">
        <is>
          <t>SP</t>
        </is>
      </c>
      <c r="E1672" t="inlineStr">
        <is>
          <t>housewares</t>
        </is>
      </c>
      <c r="F1672" t="n">
        <v>1</v>
      </c>
      <c r="G1672" t="n">
        <v>29.9</v>
      </c>
      <c r="H1672" t="n">
        <v>9.34</v>
      </c>
      <c r="I1672" t="inlineStr">
        <is>
          <t>credit_card</t>
        </is>
      </c>
      <c r="J1672" t="n">
        <v>12</v>
      </c>
      <c r="K1672" t="inlineStr">
        <is>
          <t>On Time</t>
        </is>
      </c>
      <c r="L1672" t="n">
        <v>5</v>
      </c>
      <c r="M1672">
        <f>VLOOKUP(D1672,State_Lookup!$A$2:$B$28,2,FALSE)</f>
        <v/>
      </c>
    </row>
    <row r="1673">
      <c r="A1673" t="inlineStr">
        <is>
          <t>fc42f37778b223b55f8ccbd5f274b9aa</t>
        </is>
      </c>
      <c r="B1673" t="inlineStr">
        <is>
          <t>2017-11-12</t>
        </is>
      </c>
      <c r="C1673" t="inlineStr">
        <is>
          <t>2017-11</t>
        </is>
      </c>
      <c r="D1673" t="inlineStr">
        <is>
          <t>SP</t>
        </is>
      </c>
      <c r="E1673" t="inlineStr">
        <is>
          <t>watches_gifts</t>
        </is>
      </c>
      <c r="F1673" t="n">
        <v>2</v>
      </c>
      <c r="G1673" t="n">
        <v>58</v>
      </c>
      <c r="H1673" t="n">
        <v>23.7</v>
      </c>
      <c r="I1673" t="inlineStr">
        <is>
          <t>credit_card</t>
        </is>
      </c>
      <c r="J1673" t="n">
        <v>9</v>
      </c>
      <c r="K1673" t="inlineStr">
        <is>
          <t>On Time</t>
        </is>
      </c>
      <c r="L1673" t="n">
        <v>5</v>
      </c>
      <c r="M1673">
        <f>VLOOKUP(D1673,State_Lookup!$A$2:$B$28,2,FALSE)</f>
        <v/>
      </c>
    </row>
    <row r="1674">
      <c r="A1674" t="inlineStr">
        <is>
          <t>970faa2fc574e975f2badf8b2783c112</t>
        </is>
      </c>
      <c r="B1674" t="inlineStr">
        <is>
          <t>2017-11-12</t>
        </is>
      </c>
      <c r="C1674" t="inlineStr">
        <is>
          <t>2017-11</t>
        </is>
      </c>
      <c r="D1674" t="inlineStr">
        <is>
          <t>SP</t>
        </is>
      </c>
      <c r="E1674" t="inlineStr">
        <is>
          <t>toys</t>
        </is>
      </c>
      <c r="F1674" t="n">
        <v>1</v>
      </c>
      <c r="G1674" t="n">
        <v>89</v>
      </c>
      <c r="H1674" t="n">
        <v>13.64</v>
      </c>
      <c r="I1674" t="inlineStr">
        <is>
          <t>credit_card</t>
        </is>
      </c>
      <c r="J1674" t="n">
        <v>11</v>
      </c>
      <c r="K1674" t="inlineStr">
        <is>
          <t>On Time</t>
        </is>
      </c>
      <c r="L1674" t="n">
        <v>3</v>
      </c>
      <c r="M1674">
        <f>VLOOKUP(D1674,State_Lookup!$A$2:$B$28,2,FALSE)</f>
        <v/>
      </c>
    </row>
    <row r="1675">
      <c r="A1675" t="inlineStr">
        <is>
          <t>08a2bc9386ffb58b6637add8a8e7d4fc</t>
        </is>
      </c>
      <c r="B1675" t="inlineStr">
        <is>
          <t>2017-11-12</t>
        </is>
      </c>
      <c r="C1675" t="inlineStr">
        <is>
          <t>2017-11</t>
        </is>
      </c>
      <c r="D1675" t="inlineStr">
        <is>
          <t>SP</t>
        </is>
      </c>
      <c r="E1675" t="inlineStr">
        <is>
          <t>sports_leisure</t>
        </is>
      </c>
      <c r="F1675" t="n">
        <v>2</v>
      </c>
      <c r="G1675" t="n">
        <v>19.8</v>
      </c>
      <c r="H1675" t="n">
        <v>16.54</v>
      </c>
      <c r="I1675" t="inlineStr">
        <is>
          <t>credit_card</t>
        </is>
      </c>
      <c r="J1675" t="n">
        <v>9</v>
      </c>
      <c r="K1675" t="inlineStr">
        <is>
          <t>On Time</t>
        </is>
      </c>
      <c r="L1675" t="n">
        <v>5</v>
      </c>
      <c r="M1675">
        <f>VLOOKUP(D1675,State_Lookup!$A$2:$B$28,2,FALSE)</f>
        <v/>
      </c>
    </row>
    <row r="1676">
      <c r="A1676" t="inlineStr">
        <is>
          <t>8d5b464d16741c376da6aa92e4b09a81</t>
        </is>
      </c>
      <c r="B1676" t="inlineStr">
        <is>
          <t>2017-11-12</t>
        </is>
      </c>
      <c r="C1676" t="inlineStr">
        <is>
          <t>2017-11</t>
        </is>
      </c>
      <c r="D1676" t="inlineStr">
        <is>
          <t>MG</t>
        </is>
      </c>
      <c r="E1676" t="inlineStr">
        <is>
          <t>auto</t>
        </is>
      </c>
      <c r="F1676" t="n">
        <v>1</v>
      </c>
      <c r="G1676" t="n">
        <v>29.9</v>
      </c>
      <c r="H1676" t="n">
        <v>16.79</v>
      </c>
      <c r="I1676" t="inlineStr">
        <is>
          <t>credit_card</t>
        </is>
      </c>
      <c r="J1676" t="n">
        <v>11</v>
      </c>
      <c r="K1676" t="inlineStr">
        <is>
          <t>On Time</t>
        </is>
      </c>
      <c r="L1676" t="n">
        <v>5</v>
      </c>
      <c r="M1676">
        <f>VLOOKUP(D1676,State_Lookup!$A$2:$B$28,2,FALSE)</f>
        <v/>
      </c>
    </row>
    <row r="1677">
      <c r="A1677" t="inlineStr">
        <is>
          <t>2a6fcdee30bb4fda09190b53b4e9ffee</t>
        </is>
      </c>
      <c r="B1677" t="inlineStr">
        <is>
          <t>2017-11-12</t>
        </is>
      </c>
      <c r="C1677" t="inlineStr">
        <is>
          <t>2017-11</t>
        </is>
      </c>
      <c r="D1677" t="inlineStr">
        <is>
          <t>BA</t>
        </is>
      </c>
      <c r="E1677" t="inlineStr">
        <is>
          <t>housewares</t>
        </is>
      </c>
      <c r="F1677" t="n">
        <v>1</v>
      </c>
      <c r="G1677" t="n">
        <v>59.9</v>
      </c>
      <c r="H1677" t="n">
        <v>17.99</v>
      </c>
      <c r="I1677" t="inlineStr">
        <is>
          <t>credit_card</t>
        </is>
      </c>
      <c r="J1677" t="n">
        <v>13</v>
      </c>
      <c r="K1677" t="inlineStr">
        <is>
          <t>On Time</t>
        </is>
      </c>
      <c r="L1677" t="n">
        <v>4</v>
      </c>
      <c r="M1677">
        <f>VLOOKUP(D1677,State_Lookup!$A$2:$B$28,2,FALSE)</f>
        <v/>
      </c>
    </row>
    <row r="1678">
      <c r="A1678" t="inlineStr">
        <is>
          <t>21bffa9bb2f8540013b0eb048699805d</t>
        </is>
      </c>
      <c r="B1678" t="inlineStr">
        <is>
          <t>2017-11-12</t>
        </is>
      </c>
      <c r="C1678" t="inlineStr">
        <is>
          <t>2017-11</t>
        </is>
      </c>
      <c r="D1678" t="inlineStr">
        <is>
          <t>CE</t>
        </is>
      </c>
      <c r="E1678" t="inlineStr">
        <is>
          <t>cool_stuff</t>
        </is>
      </c>
      <c r="F1678" t="n">
        <v>1</v>
      </c>
      <c r="G1678" t="n">
        <v>219.99</v>
      </c>
      <c r="H1678" t="n">
        <v>25.99</v>
      </c>
      <c r="I1678" t="inlineStr">
        <is>
          <t>credit_card</t>
        </is>
      </c>
      <c r="J1678" t="n">
        <v>17</v>
      </c>
      <c r="K1678" t="inlineStr">
        <is>
          <t>On Time</t>
        </is>
      </c>
      <c r="L1678" t="n">
        <v>5</v>
      </c>
      <c r="M1678">
        <f>VLOOKUP(D1678,State_Lookup!$A$2:$B$28,2,FALSE)</f>
        <v/>
      </c>
    </row>
    <row r="1679">
      <c r="A1679" t="inlineStr">
        <is>
          <t>db3c88b2458388bddcd3b2a99f0b8b99</t>
        </is>
      </c>
      <c r="B1679" t="inlineStr">
        <is>
          <t>2017-11-12</t>
        </is>
      </c>
      <c r="C1679" t="inlineStr">
        <is>
          <t>2017-11</t>
        </is>
      </c>
      <c r="D1679" t="inlineStr">
        <is>
          <t>SP</t>
        </is>
      </c>
      <c r="E1679" t="inlineStr">
        <is>
          <t>furniture_decor</t>
        </is>
      </c>
      <c r="F1679" t="n">
        <v>1</v>
      </c>
      <c r="G1679" t="n">
        <v>49.9</v>
      </c>
      <c r="H1679" t="n">
        <v>9.09</v>
      </c>
      <c r="I1679" t="inlineStr">
        <is>
          <t>credit_card</t>
        </is>
      </c>
      <c r="J1679" t="n">
        <v>3</v>
      </c>
      <c r="K1679" t="inlineStr">
        <is>
          <t>On Time</t>
        </is>
      </c>
      <c r="L1679" t="n">
        <v>5</v>
      </c>
      <c r="M1679">
        <f>VLOOKUP(D1679,State_Lookup!$A$2:$B$28,2,FALSE)</f>
        <v/>
      </c>
    </row>
    <row r="1680">
      <c r="A1680" t="inlineStr">
        <is>
          <t>d9064a51ed213dcd0cfe59a9039ec458</t>
        </is>
      </c>
      <c r="B1680" t="inlineStr">
        <is>
          <t>2017-11-12</t>
        </is>
      </c>
      <c r="C1680" t="inlineStr">
        <is>
          <t>2017-11</t>
        </is>
      </c>
      <c r="D1680" t="inlineStr">
        <is>
          <t>SP</t>
        </is>
      </c>
      <c r="E1680" t="inlineStr">
        <is>
          <t>baby</t>
        </is>
      </c>
      <c r="F1680" t="n">
        <v>1</v>
      </c>
      <c r="G1680" t="n">
        <v>50</v>
      </c>
      <c r="H1680" t="n">
        <v>11.73</v>
      </c>
      <c r="I1680" t="inlineStr">
        <is>
          <t>credit_card</t>
        </is>
      </c>
      <c r="J1680" t="n">
        <v>5</v>
      </c>
      <c r="K1680" t="inlineStr">
        <is>
          <t>On Time</t>
        </is>
      </c>
      <c r="L1680" t="n">
        <v>5</v>
      </c>
      <c r="M1680">
        <f>VLOOKUP(D1680,State_Lookup!$A$2:$B$28,2,FALSE)</f>
        <v/>
      </c>
    </row>
    <row r="1681">
      <c r="A1681" t="inlineStr">
        <is>
          <t>f3753df1e0c5a22ca7c2ff5722387739</t>
        </is>
      </c>
      <c r="B1681" t="inlineStr">
        <is>
          <t>2017-11-13</t>
        </is>
      </c>
      <c r="C1681" t="inlineStr">
        <is>
          <t>2017-11</t>
        </is>
      </c>
      <c r="D1681" t="inlineStr">
        <is>
          <t>PR</t>
        </is>
      </c>
      <c r="E1681" t="inlineStr">
        <is>
          <t>toys</t>
        </is>
      </c>
      <c r="F1681" t="n">
        <v>1</v>
      </c>
      <c r="G1681" t="n">
        <v>39.9</v>
      </c>
      <c r="H1681" t="n">
        <v>17.6</v>
      </c>
      <c r="I1681" t="inlineStr">
        <is>
          <t>credit_card</t>
        </is>
      </c>
      <c r="J1681" t="n">
        <v>14</v>
      </c>
      <c r="K1681" t="inlineStr">
        <is>
          <t>On Time</t>
        </is>
      </c>
      <c r="L1681" t="n">
        <v>4</v>
      </c>
      <c r="M1681">
        <f>VLOOKUP(D1681,State_Lookup!$A$2:$B$28,2,FALSE)</f>
        <v/>
      </c>
    </row>
    <row r="1682">
      <c r="A1682" t="inlineStr">
        <is>
          <t>5e5b80a664dfaad7f64dafff8e8d018a</t>
        </is>
      </c>
      <c r="B1682" t="inlineStr">
        <is>
          <t>2017-11-13</t>
        </is>
      </c>
      <c r="C1682" t="inlineStr">
        <is>
          <t>2017-11</t>
        </is>
      </c>
      <c r="D1682" t="inlineStr">
        <is>
          <t>MT</t>
        </is>
      </c>
      <c r="E1682" t="inlineStr">
        <is>
          <t>office_furniture</t>
        </is>
      </c>
      <c r="F1682" t="n">
        <v>2</v>
      </c>
      <c r="G1682" t="n">
        <v>599.8</v>
      </c>
      <c r="H1682" t="n">
        <v>149.64</v>
      </c>
      <c r="I1682" t="inlineStr">
        <is>
          <t>credit_card</t>
        </is>
      </c>
      <c r="J1682" t="n">
        <v>18</v>
      </c>
      <c r="K1682" t="inlineStr">
        <is>
          <t>On Time</t>
        </is>
      </c>
      <c r="L1682" t="n">
        <v>1</v>
      </c>
      <c r="M1682">
        <f>VLOOKUP(D1682,State_Lookup!$A$2:$B$28,2,FALSE)</f>
        <v/>
      </c>
    </row>
    <row r="1683">
      <c r="A1683" t="inlineStr">
        <is>
          <t>05fb9a42b233b4fb63dcaec6fac364a1</t>
        </is>
      </c>
      <c r="B1683" t="inlineStr">
        <is>
          <t>2017-11-13</t>
        </is>
      </c>
      <c r="C1683" t="inlineStr">
        <is>
          <t>2017-11</t>
        </is>
      </c>
      <c r="D1683" t="inlineStr">
        <is>
          <t>RS</t>
        </is>
      </c>
      <c r="E1683" t="inlineStr">
        <is>
          <t>small_appliances</t>
        </is>
      </c>
      <c r="F1683" t="n">
        <v>1</v>
      </c>
      <c r="G1683" t="n">
        <v>48</v>
      </c>
      <c r="H1683" t="n">
        <v>17.6</v>
      </c>
      <c r="I1683" t="inlineStr">
        <is>
          <t>credit_card</t>
        </is>
      </c>
      <c r="J1683" t="n">
        <v>11</v>
      </c>
      <c r="K1683" t="inlineStr">
        <is>
          <t>On Time</t>
        </is>
      </c>
      <c r="L1683" t="n">
        <v>5</v>
      </c>
      <c r="M1683">
        <f>VLOOKUP(D1683,State_Lookup!$A$2:$B$28,2,FALSE)</f>
        <v/>
      </c>
    </row>
    <row r="1684">
      <c r="A1684" t="inlineStr">
        <is>
          <t>dcaeb1396857c15c0cba7456fb469c3e</t>
        </is>
      </c>
      <c r="B1684" t="inlineStr">
        <is>
          <t>2017-11-13</t>
        </is>
      </c>
      <c r="C1684" t="inlineStr">
        <is>
          <t>2017-11</t>
        </is>
      </c>
      <c r="D1684" t="inlineStr">
        <is>
          <t>SP</t>
        </is>
      </c>
      <c r="E1684" t="inlineStr">
        <is>
          <t>health_beauty</t>
        </is>
      </c>
      <c r="F1684" t="n">
        <v>1</v>
      </c>
      <c r="G1684" t="n">
        <v>125</v>
      </c>
      <c r="H1684" t="n">
        <v>14.62</v>
      </c>
      <c r="I1684" t="inlineStr">
        <is>
          <t>boleto</t>
        </is>
      </c>
      <c r="J1684" t="n">
        <v>7</v>
      </c>
      <c r="K1684" t="inlineStr">
        <is>
          <t>On Time</t>
        </is>
      </c>
      <c r="L1684" t="n">
        <v>3</v>
      </c>
      <c r="M1684">
        <f>VLOOKUP(D1684,State_Lookup!$A$2:$B$28,2,FALSE)</f>
        <v/>
      </c>
    </row>
    <row r="1685">
      <c r="A1685" t="inlineStr">
        <is>
          <t>1ac9d38dde347ffac03bdb653003682b</t>
        </is>
      </c>
      <c r="B1685" t="inlineStr">
        <is>
          <t>2017-11-13</t>
        </is>
      </c>
      <c r="C1685" t="inlineStr">
        <is>
          <t>2017-11</t>
        </is>
      </c>
      <c r="D1685" t="inlineStr">
        <is>
          <t>SP</t>
        </is>
      </c>
      <c r="E1685" t="inlineStr">
        <is>
          <t>unknown</t>
        </is>
      </c>
      <c r="F1685" t="n">
        <v>1</v>
      </c>
      <c r="G1685" t="n">
        <v>30</v>
      </c>
      <c r="H1685" t="n">
        <v>11.85</v>
      </c>
      <c r="I1685" t="inlineStr">
        <is>
          <t>boleto</t>
        </is>
      </c>
      <c r="J1685" t="n">
        <v>10</v>
      </c>
      <c r="K1685" t="inlineStr">
        <is>
          <t>On Time</t>
        </is>
      </c>
      <c r="L1685" t="n">
        <v>4</v>
      </c>
      <c r="M1685">
        <f>VLOOKUP(D1685,State_Lookup!$A$2:$B$28,2,FALSE)</f>
        <v/>
      </c>
    </row>
    <row r="1686">
      <c r="A1686" t="inlineStr">
        <is>
          <t>4d34eb469920ba37e6cab956395a5265</t>
        </is>
      </c>
      <c r="B1686" t="inlineStr">
        <is>
          <t>2017-11-13</t>
        </is>
      </c>
      <c r="C1686" t="inlineStr">
        <is>
          <t>2017-11</t>
        </is>
      </c>
      <c r="D1686" t="inlineStr">
        <is>
          <t>SP</t>
        </is>
      </c>
      <c r="E1686" t="inlineStr">
        <is>
          <t>sports_leisure</t>
        </is>
      </c>
      <c r="F1686" t="n">
        <v>1</v>
      </c>
      <c r="G1686" t="n">
        <v>339</v>
      </c>
      <c r="H1686" t="n">
        <v>18.13</v>
      </c>
      <c r="I1686" t="inlineStr">
        <is>
          <t>credit_card</t>
        </is>
      </c>
      <c r="J1686" t="n">
        <v>10</v>
      </c>
      <c r="K1686" t="inlineStr">
        <is>
          <t>On Time</t>
        </is>
      </c>
      <c r="L1686" t="n">
        <v>5</v>
      </c>
      <c r="M1686">
        <f>VLOOKUP(D1686,State_Lookup!$A$2:$B$28,2,FALSE)</f>
        <v/>
      </c>
    </row>
    <row r="1687">
      <c r="A1687" t="inlineStr">
        <is>
          <t>300a0fb67e14c56475f361381f629060</t>
        </is>
      </c>
      <c r="B1687" t="inlineStr">
        <is>
          <t>2017-11-13</t>
        </is>
      </c>
      <c r="C1687" t="inlineStr">
        <is>
          <t>2017-11</t>
        </is>
      </c>
      <c r="D1687" t="inlineStr">
        <is>
          <t>RJ</t>
        </is>
      </c>
      <c r="E1687" t="inlineStr">
        <is>
          <t>perfumery</t>
        </is>
      </c>
      <c r="F1687" t="n">
        <v>1</v>
      </c>
      <c r="G1687" t="n">
        <v>79.90000000000001</v>
      </c>
      <c r="H1687" t="n">
        <v>14.31</v>
      </c>
      <c r="I1687" t="inlineStr">
        <is>
          <t>credit_card</t>
        </is>
      </c>
      <c r="J1687" t="n">
        <v>13</v>
      </c>
      <c r="K1687" t="inlineStr">
        <is>
          <t>On Time</t>
        </is>
      </c>
      <c r="L1687" t="n">
        <v>5</v>
      </c>
      <c r="M1687">
        <f>VLOOKUP(D1687,State_Lookup!$A$2:$B$28,2,FALSE)</f>
        <v/>
      </c>
    </row>
    <row r="1688">
      <c r="A1688" t="inlineStr">
        <is>
          <t>dd6871ac691db075bd6f8e6c70576648</t>
        </is>
      </c>
      <c r="B1688" t="inlineStr">
        <is>
          <t>2017-11-13</t>
        </is>
      </c>
      <c r="C1688" t="inlineStr">
        <is>
          <t>2017-11</t>
        </is>
      </c>
      <c r="D1688" t="inlineStr">
        <is>
          <t>BA</t>
        </is>
      </c>
      <c r="E1688" t="inlineStr">
        <is>
          <t>bed_bath_table</t>
        </is>
      </c>
      <c r="F1688" t="n">
        <v>1</v>
      </c>
      <c r="G1688" t="n">
        <v>59.9</v>
      </c>
      <c r="H1688" t="n">
        <v>16.86</v>
      </c>
      <c r="I1688" t="inlineStr">
        <is>
          <t>credit_card</t>
        </is>
      </c>
      <c r="J1688" t="n">
        <v>28</v>
      </c>
      <c r="K1688" t="inlineStr">
        <is>
          <t>On Time</t>
        </is>
      </c>
      <c r="L1688" t="n">
        <v>1</v>
      </c>
      <c r="M1688">
        <f>VLOOKUP(D1688,State_Lookup!$A$2:$B$28,2,FALSE)</f>
        <v/>
      </c>
    </row>
    <row r="1689">
      <c r="A1689" t="inlineStr">
        <is>
          <t>d9673e96478769083775f81525768734</t>
        </is>
      </c>
      <c r="B1689" t="inlineStr">
        <is>
          <t>2017-11-13</t>
        </is>
      </c>
      <c r="C1689" t="inlineStr">
        <is>
          <t>2017-11</t>
        </is>
      </c>
      <c r="D1689" t="inlineStr">
        <is>
          <t>SP</t>
        </is>
      </c>
      <c r="E1689" t="inlineStr">
        <is>
          <t>fashion_bags_accessories</t>
        </is>
      </c>
      <c r="F1689" t="n">
        <v>1</v>
      </c>
      <c r="G1689" t="n">
        <v>89</v>
      </c>
      <c r="H1689" t="n">
        <v>15.37</v>
      </c>
      <c r="I1689" t="inlineStr">
        <is>
          <t>credit_card</t>
        </is>
      </c>
      <c r="J1689" t="n">
        <v>20</v>
      </c>
      <c r="K1689" t="inlineStr">
        <is>
          <t>On Time</t>
        </is>
      </c>
      <c r="L1689" t="n">
        <v>5</v>
      </c>
      <c r="M1689">
        <f>VLOOKUP(D1689,State_Lookup!$A$2:$B$28,2,FALSE)</f>
        <v/>
      </c>
    </row>
    <row r="1690">
      <c r="A1690" t="inlineStr">
        <is>
          <t>a7da4c5d1aa10f5bd43694601bea7057</t>
        </is>
      </c>
      <c r="B1690" t="inlineStr">
        <is>
          <t>2017-11-14</t>
        </is>
      </c>
      <c r="C1690" t="inlineStr">
        <is>
          <t>2017-11</t>
        </is>
      </c>
      <c r="D1690" t="inlineStr">
        <is>
          <t>RJ</t>
        </is>
      </c>
      <c r="E1690" t="inlineStr">
        <is>
          <t>stationery</t>
        </is>
      </c>
      <c r="F1690" t="n">
        <v>1</v>
      </c>
      <c r="G1690" t="n">
        <v>79</v>
      </c>
      <c r="H1690" t="n">
        <v>17.8</v>
      </c>
      <c r="I1690" t="inlineStr">
        <is>
          <t>credit_card</t>
        </is>
      </c>
      <c r="J1690" t="n">
        <v>36</v>
      </c>
      <c r="K1690" t="inlineStr">
        <is>
          <t>Late</t>
        </is>
      </c>
      <c r="L1690" t="n">
        <v>4</v>
      </c>
      <c r="M1690">
        <f>VLOOKUP(D1690,State_Lookup!$A$2:$B$28,2,FALSE)</f>
        <v/>
      </c>
    </row>
    <row r="1691">
      <c r="A1691" t="inlineStr">
        <is>
          <t>79ad173ce97ec1e564c9819eff96628e</t>
        </is>
      </c>
      <c r="B1691" t="inlineStr">
        <is>
          <t>2017-11-14</t>
        </is>
      </c>
      <c r="C1691" t="inlineStr">
        <is>
          <t>2017-11</t>
        </is>
      </c>
      <c r="D1691" t="inlineStr">
        <is>
          <t>SP</t>
        </is>
      </c>
      <c r="E1691" t="inlineStr">
        <is>
          <t>health_beauty</t>
        </is>
      </c>
      <c r="F1691" t="n">
        <v>1</v>
      </c>
      <c r="G1691" t="n">
        <v>31.9</v>
      </c>
      <c r="H1691" t="n">
        <v>11.85</v>
      </c>
      <c r="I1691" t="inlineStr">
        <is>
          <t>credit_card</t>
        </is>
      </c>
      <c r="J1691" t="n">
        <v>7</v>
      </c>
      <c r="K1691" t="inlineStr">
        <is>
          <t>On Time</t>
        </is>
      </c>
      <c r="L1691" t="n">
        <v>5</v>
      </c>
      <c r="M1691">
        <f>VLOOKUP(D1691,State_Lookup!$A$2:$B$28,2,FALSE)</f>
        <v/>
      </c>
    </row>
    <row r="1692">
      <c r="A1692" t="inlineStr">
        <is>
          <t>d73a3a52a8b9b8430deede6d0491ae54</t>
        </is>
      </c>
      <c r="B1692" t="inlineStr">
        <is>
          <t>2017-11-14</t>
        </is>
      </c>
      <c r="C1692" t="inlineStr">
        <is>
          <t>2017-11</t>
        </is>
      </c>
      <c r="D1692" t="inlineStr">
        <is>
          <t>PE</t>
        </is>
      </c>
      <c r="E1692" t="inlineStr">
        <is>
          <t>furniture_decor</t>
        </is>
      </c>
      <c r="F1692" t="n">
        <v>2</v>
      </c>
      <c r="G1692" t="n">
        <v>98</v>
      </c>
      <c r="H1692" t="n">
        <v>42.38</v>
      </c>
      <c r="I1692" t="inlineStr">
        <is>
          <t>credit_card</t>
        </is>
      </c>
      <c r="J1692" t="n">
        <v>20</v>
      </c>
      <c r="K1692" t="inlineStr">
        <is>
          <t>On Time</t>
        </is>
      </c>
      <c r="L1692" t="n">
        <v>5</v>
      </c>
      <c r="M1692">
        <f>VLOOKUP(D1692,State_Lookup!$A$2:$B$28,2,FALSE)</f>
        <v/>
      </c>
    </row>
    <row r="1693">
      <c r="A1693" t="inlineStr">
        <is>
          <t>4ab6fc6c373a975bb90e462b81260198</t>
        </is>
      </c>
      <c r="B1693" t="inlineStr">
        <is>
          <t>2017-11-14</t>
        </is>
      </c>
      <c r="C1693" t="inlineStr">
        <is>
          <t>2017-11</t>
        </is>
      </c>
      <c r="D1693" t="inlineStr">
        <is>
          <t>SP</t>
        </is>
      </c>
      <c r="E1693" t="inlineStr">
        <is>
          <t>bed_bath_table</t>
        </is>
      </c>
      <c r="F1693" t="n">
        <v>1</v>
      </c>
      <c r="G1693" t="n">
        <v>87.90000000000001</v>
      </c>
      <c r="H1693" t="n">
        <v>12.96</v>
      </c>
      <c r="I1693" t="inlineStr">
        <is>
          <t>credit_card</t>
        </is>
      </c>
      <c r="J1693" t="n">
        <v>9</v>
      </c>
      <c r="K1693" t="inlineStr">
        <is>
          <t>On Time</t>
        </is>
      </c>
      <c r="L1693" t="n">
        <v>5</v>
      </c>
      <c r="M1693">
        <f>VLOOKUP(D1693,State_Lookup!$A$2:$B$28,2,FALSE)</f>
        <v/>
      </c>
    </row>
    <row r="1694">
      <c r="A1694" t="inlineStr">
        <is>
          <t>56a91c78a7764f270b44113386c34866</t>
        </is>
      </c>
      <c r="B1694" t="inlineStr">
        <is>
          <t>2017-11-14</t>
        </is>
      </c>
      <c r="C1694" t="inlineStr">
        <is>
          <t>2017-11</t>
        </is>
      </c>
      <c r="D1694" t="inlineStr">
        <is>
          <t>RJ</t>
        </is>
      </c>
      <c r="E1694" t="inlineStr">
        <is>
          <t>bed_bath_table</t>
        </is>
      </c>
      <c r="F1694" t="n">
        <v>1</v>
      </c>
      <c r="G1694" t="n">
        <v>53</v>
      </c>
      <c r="H1694" t="n">
        <v>16.13</v>
      </c>
      <c r="I1694" t="inlineStr">
        <is>
          <t>credit_card</t>
        </is>
      </c>
      <c r="J1694" t="n">
        <v>18</v>
      </c>
      <c r="K1694" t="inlineStr">
        <is>
          <t>On Time</t>
        </is>
      </c>
      <c r="L1694" t="n">
        <v>5</v>
      </c>
      <c r="M1694">
        <f>VLOOKUP(D1694,State_Lookup!$A$2:$B$28,2,FALSE)</f>
        <v/>
      </c>
    </row>
    <row r="1695">
      <c r="A1695" t="inlineStr">
        <is>
          <t>1997b62c6e07059b2059f0b871aeda1f</t>
        </is>
      </c>
      <c r="B1695" t="inlineStr">
        <is>
          <t>2017-11-14</t>
        </is>
      </c>
      <c r="C1695" t="inlineStr">
        <is>
          <t>2017-11</t>
        </is>
      </c>
      <c r="D1695" t="inlineStr">
        <is>
          <t>RJ</t>
        </is>
      </c>
      <c r="E1695" t="inlineStr">
        <is>
          <t>stationery</t>
        </is>
      </c>
      <c r="F1695" t="n">
        <v>1</v>
      </c>
      <c r="G1695" t="n">
        <v>79</v>
      </c>
      <c r="H1695" t="n">
        <v>17.8</v>
      </c>
      <c r="I1695" t="inlineStr">
        <is>
          <t>credit_card</t>
        </is>
      </c>
      <c r="J1695" t="n">
        <v>16</v>
      </c>
      <c r="K1695" t="inlineStr">
        <is>
          <t>On Time</t>
        </is>
      </c>
      <c r="L1695" t="n">
        <v>4</v>
      </c>
      <c r="M1695">
        <f>VLOOKUP(D1695,State_Lookup!$A$2:$B$28,2,FALSE)</f>
        <v/>
      </c>
    </row>
    <row r="1696">
      <c r="A1696" t="inlineStr">
        <is>
          <t>7e1d7adfaf4e026419cedeaed88f3a4b</t>
        </is>
      </c>
      <c r="B1696" t="inlineStr">
        <is>
          <t>2017-11-14</t>
        </is>
      </c>
      <c r="C1696" t="inlineStr">
        <is>
          <t>2017-11</t>
        </is>
      </c>
      <c r="D1696" t="inlineStr">
        <is>
          <t>AC</t>
        </is>
      </c>
      <c r="E1696" t="inlineStr">
        <is>
          <t>baby</t>
        </is>
      </c>
      <c r="F1696" t="n">
        <v>1</v>
      </c>
      <c r="G1696" t="n">
        <v>189.94</v>
      </c>
      <c r="H1696" t="n">
        <v>108.36</v>
      </c>
      <c r="I1696" t="inlineStr">
        <is>
          <t>credit_card</t>
        </is>
      </c>
      <c r="J1696" t="n">
        <v>30</v>
      </c>
      <c r="K1696" t="inlineStr">
        <is>
          <t>On Time</t>
        </is>
      </c>
      <c r="L1696" t="n">
        <v>5</v>
      </c>
      <c r="M1696">
        <f>VLOOKUP(D1696,State_Lookup!$A$2:$B$28,2,FALSE)</f>
        <v/>
      </c>
    </row>
    <row r="1697">
      <c r="A1697" t="inlineStr">
        <is>
          <t>f49a4845f6b824e13d9a0e15ad9e599c</t>
        </is>
      </c>
      <c r="B1697" t="inlineStr">
        <is>
          <t>2017-11-14</t>
        </is>
      </c>
      <c r="C1697" t="inlineStr">
        <is>
          <t>2017-11</t>
        </is>
      </c>
      <c r="D1697" t="inlineStr">
        <is>
          <t>SE</t>
        </is>
      </c>
      <c r="E1697" t="inlineStr">
        <is>
          <t>auto</t>
        </is>
      </c>
      <c r="F1697" t="n">
        <v>1</v>
      </c>
      <c r="G1697" t="n">
        <v>42.36</v>
      </c>
      <c r="H1697" t="n">
        <v>54.02</v>
      </c>
      <c r="I1697" t="inlineStr">
        <is>
          <t>credit_card</t>
        </is>
      </c>
      <c r="J1697" t="n">
        <v>36</v>
      </c>
      <c r="K1697" t="inlineStr">
        <is>
          <t>On Time</t>
        </is>
      </c>
      <c r="L1697" t="n">
        <v>4</v>
      </c>
      <c r="M1697">
        <f>VLOOKUP(D1697,State_Lookup!$A$2:$B$28,2,FALSE)</f>
        <v/>
      </c>
    </row>
    <row r="1698">
      <c r="A1698" t="inlineStr">
        <is>
          <t>d47929036b8c504537b7a458185913da</t>
        </is>
      </c>
      <c r="B1698" t="inlineStr">
        <is>
          <t>2017-11-14</t>
        </is>
      </c>
      <c r="C1698" t="inlineStr">
        <is>
          <t>2017-11</t>
        </is>
      </c>
      <c r="D1698" t="inlineStr">
        <is>
          <t>RJ</t>
        </is>
      </c>
      <c r="E1698" t="inlineStr">
        <is>
          <t>furniture_decor</t>
        </is>
      </c>
      <c r="F1698" t="n">
        <v>1</v>
      </c>
      <c r="G1698" t="n">
        <v>47.9</v>
      </c>
      <c r="H1698" t="n">
        <v>16.79</v>
      </c>
      <c r="I1698" t="inlineStr">
        <is>
          <t>credit_card</t>
        </is>
      </c>
      <c r="J1698" t="n">
        <v>13</v>
      </c>
      <c r="K1698" t="inlineStr">
        <is>
          <t>On Time</t>
        </is>
      </c>
      <c r="L1698" t="n">
        <v>5</v>
      </c>
      <c r="M1698">
        <f>VLOOKUP(D1698,State_Lookup!$A$2:$B$28,2,FALSE)</f>
        <v/>
      </c>
    </row>
    <row r="1699">
      <c r="A1699" t="inlineStr">
        <is>
          <t>9a4127f371426e180aaf7e0f4bf1b4fb</t>
        </is>
      </c>
      <c r="B1699" t="inlineStr">
        <is>
          <t>2017-11-14</t>
        </is>
      </c>
      <c r="C1699" t="inlineStr">
        <is>
          <t>2017-11</t>
        </is>
      </c>
      <c r="D1699" t="inlineStr">
        <is>
          <t>SP</t>
        </is>
      </c>
      <c r="E1699" t="inlineStr">
        <is>
          <t>bed_bath_table</t>
        </is>
      </c>
      <c r="F1699" t="n">
        <v>1</v>
      </c>
      <c r="G1699" t="n">
        <v>45.9</v>
      </c>
      <c r="H1699" t="n">
        <v>9.34</v>
      </c>
      <c r="I1699" t="inlineStr">
        <is>
          <t>debit_card</t>
        </is>
      </c>
      <c r="J1699" t="n">
        <v>9</v>
      </c>
      <c r="K1699" t="inlineStr">
        <is>
          <t>On Time</t>
        </is>
      </c>
      <c r="L1699" t="n">
        <v>5</v>
      </c>
      <c r="M1699">
        <f>VLOOKUP(D1699,State_Lookup!$A$2:$B$28,2,FALSE)</f>
        <v/>
      </c>
    </row>
    <row r="1700">
      <c r="A1700" t="inlineStr">
        <is>
          <t>45030898b4361255cbd03efa424707bc</t>
        </is>
      </c>
      <c r="B1700" t="inlineStr">
        <is>
          <t>2017-11-14</t>
        </is>
      </c>
      <c r="C1700" t="inlineStr">
        <is>
          <t>2017-11</t>
        </is>
      </c>
      <c r="D1700" t="inlineStr">
        <is>
          <t>SP</t>
        </is>
      </c>
      <c r="E1700" t="inlineStr">
        <is>
          <t>toys</t>
        </is>
      </c>
      <c r="F1700" t="n">
        <v>1</v>
      </c>
      <c r="G1700" t="n">
        <v>29.9</v>
      </c>
      <c r="H1700" t="n">
        <v>11.85</v>
      </c>
      <c r="I1700" t="inlineStr">
        <is>
          <t>voucher</t>
        </is>
      </c>
      <c r="J1700" t="n">
        <v>10</v>
      </c>
      <c r="K1700" t="inlineStr">
        <is>
          <t>On Time</t>
        </is>
      </c>
      <c r="L1700" t="n">
        <v>5</v>
      </c>
      <c r="M1700">
        <f>VLOOKUP(D1700,State_Lookup!$A$2:$B$28,2,FALSE)</f>
        <v/>
      </c>
    </row>
    <row r="1701">
      <c r="A1701" t="inlineStr">
        <is>
          <t>dacd45999c3175778f90426dc0dfbebc</t>
        </is>
      </c>
      <c r="B1701" t="inlineStr">
        <is>
          <t>2017-11-14</t>
        </is>
      </c>
      <c r="C1701" t="inlineStr">
        <is>
          <t>2017-11</t>
        </is>
      </c>
      <c r="D1701" t="inlineStr">
        <is>
          <t>SC</t>
        </is>
      </c>
      <c r="E1701" t="inlineStr">
        <is>
          <t>watches_gifts</t>
        </is>
      </c>
      <c r="F1701" t="n">
        <v>1</v>
      </c>
      <c r="G1701" t="n">
        <v>146</v>
      </c>
      <c r="H1701" t="n">
        <v>15.77</v>
      </c>
      <c r="I1701" t="inlineStr">
        <is>
          <t>boleto</t>
        </is>
      </c>
      <c r="J1701" t="n">
        <v>16</v>
      </c>
      <c r="K1701" t="inlineStr">
        <is>
          <t>On Time</t>
        </is>
      </c>
      <c r="L1701" t="n">
        <v>4</v>
      </c>
      <c r="M1701">
        <f>VLOOKUP(D1701,State_Lookup!$A$2:$B$28,2,FALSE)</f>
        <v/>
      </c>
    </row>
    <row r="1702">
      <c r="A1702" t="inlineStr">
        <is>
          <t>3e1616d48a50cea07cdf8ca77e8eb0f8</t>
        </is>
      </c>
      <c r="B1702" t="inlineStr">
        <is>
          <t>2017-11-14</t>
        </is>
      </c>
      <c r="C1702" t="inlineStr">
        <is>
          <t>2017-11</t>
        </is>
      </c>
      <c r="D1702" t="inlineStr">
        <is>
          <t>MG</t>
        </is>
      </c>
      <c r="E1702" t="inlineStr">
        <is>
          <t>perfumery</t>
        </is>
      </c>
      <c r="F1702" t="n">
        <v>1</v>
      </c>
      <c r="G1702" t="n">
        <v>39</v>
      </c>
      <c r="H1702" t="n">
        <v>14.1</v>
      </c>
      <c r="I1702" t="inlineStr">
        <is>
          <t>credit_card</t>
        </is>
      </c>
      <c r="J1702" t="n">
        <v>9</v>
      </c>
      <c r="K1702" t="inlineStr">
        <is>
          <t>On Time</t>
        </is>
      </c>
      <c r="L1702" t="n">
        <v>5</v>
      </c>
      <c r="M1702">
        <f>VLOOKUP(D1702,State_Lookup!$A$2:$B$28,2,FALSE)</f>
        <v/>
      </c>
    </row>
    <row r="1703">
      <c r="A1703" t="inlineStr">
        <is>
          <t>b1255ece61a04beee71a3dd933220a22</t>
        </is>
      </c>
      <c r="B1703" t="inlineStr">
        <is>
          <t>2017-11-15</t>
        </is>
      </c>
      <c r="C1703" t="inlineStr">
        <is>
          <t>2017-11</t>
        </is>
      </c>
      <c r="D1703" t="inlineStr">
        <is>
          <t>SP</t>
        </is>
      </c>
      <c r="E1703" t="inlineStr">
        <is>
          <t>fashion_bags_accessories</t>
        </is>
      </c>
      <c r="F1703" t="n">
        <v>1</v>
      </c>
      <c r="G1703" t="n">
        <v>413.6</v>
      </c>
      <c r="H1703" t="n">
        <v>14.4</v>
      </c>
      <c r="I1703" t="inlineStr">
        <is>
          <t>credit_card</t>
        </is>
      </c>
      <c r="J1703" t="n">
        <v>11</v>
      </c>
      <c r="K1703" t="inlineStr">
        <is>
          <t>On Time</t>
        </is>
      </c>
      <c r="L1703" t="n">
        <v>5</v>
      </c>
      <c r="M1703">
        <f>VLOOKUP(D1703,State_Lookup!$A$2:$B$28,2,FALSE)</f>
        <v/>
      </c>
    </row>
    <row r="1704">
      <c r="A1704" t="inlineStr">
        <is>
          <t>ddee206e57fa8a88cb37d640dbd73477</t>
        </is>
      </c>
      <c r="B1704" t="inlineStr">
        <is>
          <t>2017-11-15</t>
        </is>
      </c>
      <c r="C1704" t="inlineStr">
        <is>
          <t>2017-11</t>
        </is>
      </c>
      <c r="D1704" t="inlineStr">
        <is>
          <t>SP</t>
        </is>
      </c>
      <c r="E1704" t="inlineStr">
        <is>
          <t>sports_leisure</t>
        </is>
      </c>
      <c r="F1704" t="n">
        <v>1</v>
      </c>
      <c r="G1704" t="n">
        <v>84.94</v>
      </c>
      <c r="H1704" t="n">
        <v>9.41</v>
      </c>
      <c r="I1704" t="inlineStr">
        <is>
          <t>credit_card</t>
        </is>
      </c>
      <c r="J1704" t="n">
        <v>7</v>
      </c>
      <c r="K1704" t="inlineStr">
        <is>
          <t>On Time</t>
        </is>
      </c>
      <c r="L1704" t="n">
        <v>5</v>
      </c>
      <c r="M1704">
        <f>VLOOKUP(D1704,State_Lookup!$A$2:$B$28,2,FALSE)</f>
        <v/>
      </c>
    </row>
    <row r="1705">
      <c r="A1705" t="inlineStr">
        <is>
          <t>fa642a520fa06e31dd5b64808e1fa92d</t>
        </is>
      </c>
      <c r="B1705" t="inlineStr">
        <is>
          <t>2017-11-15</t>
        </is>
      </c>
      <c r="C1705" t="inlineStr">
        <is>
          <t>2017-11</t>
        </is>
      </c>
      <c r="D1705" t="inlineStr">
        <is>
          <t>BA</t>
        </is>
      </c>
      <c r="E1705" t="inlineStr">
        <is>
          <t>fashion_underwear_beach</t>
        </is>
      </c>
      <c r="F1705" t="n">
        <v>1</v>
      </c>
      <c r="G1705" t="n">
        <v>183</v>
      </c>
      <c r="H1705" t="n">
        <v>17.72</v>
      </c>
      <c r="I1705" t="inlineStr">
        <is>
          <t>credit_card</t>
        </is>
      </c>
      <c r="J1705" t="n">
        <v>26</v>
      </c>
      <c r="K1705" t="inlineStr">
        <is>
          <t>Late</t>
        </is>
      </c>
      <c r="L1705" t="n">
        <v>4</v>
      </c>
      <c r="M1705">
        <f>VLOOKUP(D1705,State_Lookup!$A$2:$B$28,2,FALSE)</f>
        <v/>
      </c>
    </row>
    <row r="1706">
      <c r="A1706" t="inlineStr">
        <is>
          <t>47177614899397fe8f3f95ee78904220</t>
        </is>
      </c>
      <c r="B1706" t="inlineStr">
        <is>
          <t>2017-11-15</t>
        </is>
      </c>
      <c r="C1706" t="inlineStr">
        <is>
          <t>2017-11</t>
        </is>
      </c>
      <c r="D1706" t="inlineStr">
        <is>
          <t>SP</t>
        </is>
      </c>
      <c r="E1706" t="inlineStr">
        <is>
          <t>watches_gifts</t>
        </is>
      </c>
      <c r="F1706" t="n">
        <v>1</v>
      </c>
      <c r="G1706" t="n">
        <v>195.9</v>
      </c>
      <c r="H1706" t="n">
        <v>8.630000000000001</v>
      </c>
      <c r="I1706" t="inlineStr">
        <is>
          <t>boleto</t>
        </is>
      </c>
      <c r="J1706" t="n">
        <v>13</v>
      </c>
      <c r="K1706" t="inlineStr">
        <is>
          <t>On Time</t>
        </is>
      </c>
      <c r="L1706" t="n">
        <v>5</v>
      </c>
      <c r="M1706">
        <f>VLOOKUP(D1706,State_Lookup!$A$2:$B$28,2,FALSE)</f>
        <v/>
      </c>
    </row>
    <row r="1707">
      <c r="A1707" t="inlineStr">
        <is>
          <t>3905a00bbf19b69bc9875bd40c6fcf5c</t>
        </is>
      </c>
      <c r="B1707" t="inlineStr">
        <is>
          <t>2017-11-15</t>
        </is>
      </c>
      <c r="C1707" t="inlineStr">
        <is>
          <t>2017-11</t>
        </is>
      </c>
      <c r="D1707" t="inlineStr">
        <is>
          <t>RS</t>
        </is>
      </c>
      <c r="E1707" t="inlineStr">
        <is>
          <t>furniture_decor</t>
        </is>
      </c>
      <c r="F1707" t="n">
        <v>1</v>
      </c>
      <c r="G1707" t="n">
        <v>345.62</v>
      </c>
      <c r="H1707" t="n">
        <v>17.17</v>
      </c>
      <c r="I1707" t="inlineStr">
        <is>
          <t>credit_card</t>
        </is>
      </c>
      <c r="J1707" t="n">
        <v>13</v>
      </c>
      <c r="K1707" t="inlineStr">
        <is>
          <t>On Time</t>
        </is>
      </c>
      <c r="L1707" t="n">
        <v>5</v>
      </c>
      <c r="M1707">
        <f>VLOOKUP(D1707,State_Lookup!$A$2:$B$28,2,FALSE)</f>
        <v/>
      </c>
    </row>
    <row r="1708">
      <c r="A1708" t="inlineStr">
        <is>
          <t>8c40ac9725c892399870b555b8d45978</t>
        </is>
      </c>
      <c r="B1708" t="inlineStr">
        <is>
          <t>2017-11-15</t>
        </is>
      </c>
      <c r="C1708" t="inlineStr">
        <is>
          <t>2017-11</t>
        </is>
      </c>
      <c r="D1708" t="inlineStr">
        <is>
          <t>SP</t>
        </is>
      </c>
      <c r="E1708" t="inlineStr">
        <is>
          <t>sports_leisure</t>
        </is>
      </c>
      <c r="F1708" t="n">
        <v>1</v>
      </c>
      <c r="G1708" t="n">
        <v>79</v>
      </c>
      <c r="H1708" t="n">
        <v>12.05</v>
      </c>
      <c r="I1708" t="inlineStr">
        <is>
          <t>credit_card</t>
        </is>
      </c>
      <c r="J1708" t="inlineStr"/>
      <c r="K1708" t="inlineStr">
        <is>
          <t>Not Delivered</t>
        </is>
      </c>
      <c r="L1708" t="n">
        <v>1</v>
      </c>
      <c r="M1708">
        <f>VLOOKUP(D1708,State_Lookup!$A$2:$B$28,2,FALSE)</f>
        <v/>
      </c>
    </row>
    <row r="1709">
      <c r="A1709" t="inlineStr">
        <is>
          <t>87f3e0c786f2e675979bd0d0778cd9dc</t>
        </is>
      </c>
      <c r="B1709" t="inlineStr">
        <is>
          <t>2017-11-15</t>
        </is>
      </c>
      <c r="C1709" t="inlineStr">
        <is>
          <t>2017-11</t>
        </is>
      </c>
      <c r="D1709" t="inlineStr">
        <is>
          <t>SP</t>
        </is>
      </c>
      <c r="E1709" t="inlineStr">
        <is>
          <t>computers_accessories</t>
        </is>
      </c>
      <c r="F1709" t="n">
        <v>1</v>
      </c>
      <c r="G1709" t="n">
        <v>229.7</v>
      </c>
      <c r="H1709" t="n">
        <v>13.95</v>
      </c>
      <c r="I1709" t="inlineStr">
        <is>
          <t>credit_card</t>
        </is>
      </c>
      <c r="J1709" t="n">
        <v>6</v>
      </c>
      <c r="K1709" t="inlineStr">
        <is>
          <t>On Time</t>
        </is>
      </c>
      <c r="L1709" t="n">
        <v>5</v>
      </c>
      <c r="M1709">
        <f>VLOOKUP(D1709,State_Lookup!$A$2:$B$28,2,FALSE)</f>
        <v/>
      </c>
    </row>
    <row r="1710">
      <c r="A1710" t="inlineStr">
        <is>
          <t>a640d10af396f0aa5f1c751f1f976bdc</t>
        </is>
      </c>
      <c r="B1710" t="inlineStr">
        <is>
          <t>2017-11-15</t>
        </is>
      </c>
      <c r="C1710" t="inlineStr">
        <is>
          <t>2017-11</t>
        </is>
      </c>
      <c r="D1710" t="inlineStr">
        <is>
          <t>SP</t>
        </is>
      </c>
      <c r="E1710" t="inlineStr">
        <is>
          <t>toys</t>
        </is>
      </c>
      <c r="F1710" t="n">
        <v>1</v>
      </c>
      <c r="G1710" t="n">
        <v>34.99</v>
      </c>
      <c r="H1710" t="n">
        <v>8.720000000000001</v>
      </c>
      <c r="I1710" t="inlineStr">
        <is>
          <t>boleto</t>
        </is>
      </c>
      <c r="J1710" t="n">
        <v>5</v>
      </c>
      <c r="K1710" t="inlineStr">
        <is>
          <t>On Time</t>
        </is>
      </c>
      <c r="L1710" t="n">
        <v>2</v>
      </c>
      <c r="M1710">
        <f>VLOOKUP(D1710,State_Lookup!$A$2:$B$28,2,FALSE)</f>
        <v/>
      </c>
    </row>
    <row r="1711">
      <c r="A1711" t="inlineStr">
        <is>
          <t>886cadc098626f2e17d54f76b7bac8bd</t>
        </is>
      </c>
      <c r="B1711" t="inlineStr">
        <is>
          <t>2017-11-15</t>
        </is>
      </c>
      <c r="C1711" t="inlineStr">
        <is>
          <t>2017-11</t>
        </is>
      </c>
      <c r="D1711" t="inlineStr">
        <is>
          <t>RJ</t>
        </is>
      </c>
      <c r="E1711" t="inlineStr">
        <is>
          <t>sports_leisure</t>
        </is>
      </c>
      <c r="F1711" t="n">
        <v>1</v>
      </c>
      <c r="G1711" t="n">
        <v>99.98999999999999</v>
      </c>
      <c r="H1711" t="n">
        <v>15.46</v>
      </c>
      <c r="I1711" t="inlineStr">
        <is>
          <t>credit_card</t>
        </is>
      </c>
      <c r="J1711" t="n">
        <v>18</v>
      </c>
      <c r="K1711" t="inlineStr">
        <is>
          <t>On Time</t>
        </is>
      </c>
      <c r="L1711" t="n">
        <v>5</v>
      </c>
      <c r="M1711">
        <f>VLOOKUP(D1711,State_Lookup!$A$2:$B$28,2,FALSE)</f>
        <v/>
      </c>
    </row>
    <row r="1712">
      <c r="A1712" t="inlineStr">
        <is>
          <t>5a5a4a1319679a5e560257abd2fa1273</t>
        </is>
      </c>
      <c r="B1712" t="inlineStr">
        <is>
          <t>2017-11-15</t>
        </is>
      </c>
      <c r="C1712" t="inlineStr">
        <is>
          <t>2017-11</t>
        </is>
      </c>
      <c r="D1712" t="inlineStr">
        <is>
          <t>BA</t>
        </is>
      </c>
      <c r="E1712" t="inlineStr">
        <is>
          <t>garden_tools</t>
        </is>
      </c>
      <c r="F1712" t="n">
        <v>1</v>
      </c>
      <c r="G1712" t="n">
        <v>89.98999999999999</v>
      </c>
      <c r="H1712" t="n">
        <v>43</v>
      </c>
      <c r="I1712" t="inlineStr">
        <is>
          <t>credit_card</t>
        </is>
      </c>
      <c r="J1712" t="n">
        <v>12</v>
      </c>
      <c r="K1712" t="inlineStr">
        <is>
          <t>On Time</t>
        </is>
      </c>
      <c r="L1712" t="n">
        <v>2</v>
      </c>
      <c r="M1712">
        <f>VLOOKUP(D1712,State_Lookup!$A$2:$B$28,2,FALSE)</f>
        <v/>
      </c>
    </row>
    <row r="1713">
      <c r="A1713" t="inlineStr">
        <is>
          <t>e1e968a372e80f44b16ab1dabcbca579</t>
        </is>
      </c>
      <c r="B1713" t="inlineStr">
        <is>
          <t>2017-11-15</t>
        </is>
      </c>
      <c r="C1713" t="inlineStr">
        <is>
          <t>2017-11</t>
        </is>
      </c>
      <c r="D1713" t="inlineStr">
        <is>
          <t>SP</t>
        </is>
      </c>
      <c r="E1713" t="inlineStr">
        <is>
          <t>bed_bath_table</t>
        </is>
      </c>
      <c r="F1713" t="n">
        <v>1</v>
      </c>
      <c r="G1713" t="n">
        <v>49.99</v>
      </c>
      <c r="H1713" t="n">
        <v>11.85</v>
      </c>
      <c r="I1713" t="inlineStr">
        <is>
          <t>credit_card</t>
        </is>
      </c>
      <c r="J1713" t="n">
        <v>7</v>
      </c>
      <c r="K1713" t="inlineStr">
        <is>
          <t>On Time</t>
        </is>
      </c>
      <c r="L1713" t="n">
        <v>3</v>
      </c>
      <c r="M1713">
        <f>VLOOKUP(D1713,State_Lookup!$A$2:$B$28,2,FALSE)</f>
        <v/>
      </c>
    </row>
    <row r="1714">
      <c r="A1714" t="inlineStr">
        <is>
          <t>17c765461652f9154943bd66875b0686</t>
        </is>
      </c>
      <c r="B1714" t="inlineStr">
        <is>
          <t>2017-11-15</t>
        </is>
      </c>
      <c r="C1714" t="inlineStr">
        <is>
          <t>2017-11</t>
        </is>
      </c>
      <c r="D1714" t="inlineStr">
        <is>
          <t>RJ</t>
        </is>
      </c>
      <c r="E1714" t="inlineStr">
        <is>
          <t>cool_stuff</t>
        </is>
      </c>
      <c r="F1714" t="n">
        <v>1</v>
      </c>
      <c r="G1714" t="n">
        <v>72.98999999999999</v>
      </c>
      <c r="H1714" t="n">
        <v>16.76</v>
      </c>
      <c r="I1714" t="inlineStr">
        <is>
          <t>voucher</t>
        </is>
      </c>
      <c r="J1714" t="n">
        <v>16</v>
      </c>
      <c r="K1714" t="inlineStr">
        <is>
          <t>On Time</t>
        </is>
      </c>
      <c r="L1714" t="n">
        <v>5</v>
      </c>
      <c r="M1714">
        <f>VLOOKUP(D1714,State_Lookup!$A$2:$B$28,2,FALSE)</f>
        <v/>
      </c>
    </row>
    <row r="1715">
      <c r="A1715" t="inlineStr">
        <is>
          <t>0eae0847dbceff8611d706710c724ee2</t>
        </is>
      </c>
      <c r="B1715" t="inlineStr">
        <is>
          <t>2017-11-16</t>
        </is>
      </c>
      <c r="C1715" t="inlineStr">
        <is>
          <t>2017-11</t>
        </is>
      </c>
      <c r="D1715" t="inlineStr">
        <is>
          <t>RS</t>
        </is>
      </c>
      <c r="E1715" t="inlineStr">
        <is>
          <t>watches_gifts</t>
        </is>
      </c>
      <c r="F1715" t="n">
        <v>1</v>
      </c>
      <c r="G1715" t="n">
        <v>29</v>
      </c>
      <c r="H1715" t="n">
        <v>14.1</v>
      </c>
      <c r="I1715" t="inlineStr">
        <is>
          <t>boleto</t>
        </is>
      </c>
      <c r="J1715" t="n">
        <v>25</v>
      </c>
      <c r="K1715" t="inlineStr">
        <is>
          <t>Late</t>
        </is>
      </c>
      <c r="L1715" t="n">
        <v>5</v>
      </c>
      <c r="M1715">
        <f>VLOOKUP(D1715,State_Lookup!$A$2:$B$28,2,FALSE)</f>
        <v/>
      </c>
    </row>
    <row r="1716">
      <c r="A1716" t="inlineStr">
        <is>
          <t>7bbb6edafc3614ad57fb17a6ae04a502</t>
        </is>
      </c>
      <c r="B1716" t="inlineStr">
        <is>
          <t>2017-11-16</t>
        </is>
      </c>
      <c r="C1716" t="inlineStr">
        <is>
          <t>2017-11</t>
        </is>
      </c>
      <c r="D1716" t="inlineStr">
        <is>
          <t>SP</t>
        </is>
      </c>
      <c r="E1716" t="inlineStr">
        <is>
          <t>auto</t>
        </is>
      </c>
      <c r="F1716" t="n">
        <v>2</v>
      </c>
      <c r="G1716" t="n">
        <v>172.5</v>
      </c>
      <c r="H1716" t="n">
        <v>27.37</v>
      </c>
      <c r="I1716" t="inlineStr">
        <is>
          <t>credit_card</t>
        </is>
      </c>
      <c r="J1716" t="n">
        <v>12</v>
      </c>
      <c r="K1716" t="inlineStr">
        <is>
          <t>On Time</t>
        </is>
      </c>
      <c r="L1716" t="n">
        <v>4</v>
      </c>
      <c r="M1716">
        <f>VLOOKUP(D1716,State_Lookup!$A$2:$B$28,2,FALSE)</f>
        <v/>
      </c>
    </row>
    <row r="1717">
      <c r="A1717" t="inlineStr">
        <is>
          <t>086f8f18f98299e22931d762c63db2b8</t>
        </is>
      </c>
      <c r="B1717" t="inlineStr">
        <is>
          <t>2017-11-16</t>
        </is>
      </c>
      <c r="C1717" t="inlineStr">
        <is>
          <t>2017-11</t>
        </is>
      </c>
      <c r="D1717" t="inlineStr">
        <is>
          <t>RS</t>
        </is>
      </c>
      <c r="E1717" t="inlineStr">
        <is>
          <t>garden_tools</t>
        </is>
      </c>
      <c r="F1717" t="n">
        <v>1</v>
      </c>
      <c r="G1717" t="n">
        <v>2029</v>
      </c>
      <c r="H1717" t="n">
        <v>121.22</v>
      </c>
      <c r="I1717" t="inlineStr">
        <is>
          <t>credit_card</t>
        </is>
      </c>
      <c r="J1717" t="n">
        <v>8</v>
      </c>
      <c r="K1717" t="inlineStr">
        <is>
          <t>On Time</t>
        </is>
      </c>
      <c r="L1717" t="n">
        <v>5</v>
      </c>
      <c r="M1717">
        <f>VLOOKUP(D1717,State_Lookup!$A$2:$B$28,2,FALSE)</f>
        <v/>
      </c>
    </row>
    <row r="1718">
      <c r="A1718" t="inlineStr">
        <is>
          <t>7827425b5eac9f9df63f65d9bb7f6a25</t>
        </is>
      </c>
      <c r="B1718" t="inlineStr">
        <is>
          <t>2017-11-16</t>
        </is>
      </c>
      <c r="C1718" t="inlineStr">
        <is>
          <t>2017-11</t>
        </is>
      </c>
      <c r="D1718" t="inlineStr">
        <is>
          <t>PE</t>
        </is>
      </c>
      <c r="E1718" t="inlineStr">
        <is>
          <t>watches_gifts</t>
        </is>
      </c>
      <c r="F1718" t="n">
        <v>1</v>
      </c>
      <c r="G1718" t="n">
        <v>249.8</v>
      </c>
      <c r="H1718" t="n">
        <v>19.03</v>
      </c>
      <c r="I1718" t="inlineStr">
        <is>
          <t>credit_card</t>
        </is>
      </c>
      <c r="J1718" t="n">
        <v>13</v>
      </c>
      <c r="K1718" t="inlineStr">
        <is>
          <t>On Time</t>
        </is>
      </c>
      <c r="L1718" t="n">
        <v>4</v>
      </c>
      <c r="M1718">
        <f>VLOOKUP(D1718,State_Lookup!$A$2:$B$28,2,FALSE)</f>
        <v/>
      </c>
    </row>
    <row r="1719">
      <c r="A1719" t="inlineStr">
        <is>
          <t>2d3ee63d21894eb0e7c3879fa3f9b0d1</t>
        </is>
      </c>
      <c r="B1719" t="inlineStr">
        <is>
          <t>2017-11-16</t>
        </is>
      </c>
      <c r="C1719" t="inlineStr">
        <is>
          <t>2017-11</t>
        </is>
      </c>
      <c r="D1719" t="inlineStr">
        <is>
          <t>SP</t>
        </is>
      </c>
      <c r="E1719" t="inlineStr">
        <is>
          <t>cool_stuff</t>
        </is>
      </c>
      <c r="F1719" t="n">
        <v>1</v>
      </c>
      <c r="G1719" t="n">
        <v>72.98999999999999</v>
      </c>
      <c r="H1719" t="n">
        <v>11.73</v>
      </c>
      <c r="I1719" t="inlineStr">
        <is>
          <t>boleto</t>
        </is>
      </c>
      <c r="J1719" t="n">
        <v>5</v>
      </c>
      <c r="K1719" t="inlineStr">
        <is>
          <t>On Time</t>
        </is>
      </c>
      <c r="L1719" t="n">
        <v>5</v>
      </c>
      <c r="M1719">
        <f>VLOOKUP(D1719,State_Lookup!$A$2:$B$28,2,FALSE)</f>
        <v/>
      </c>
    </row>
    <row r="1720">
      <c r="A1720" t="inlineStr">
        <is>
          <t>088a21dbb29d74a07738fb93a96b507a</t>
        </is>
      </c>
      <c r="B1720" t="inlineStr">
        <is>
          <t>2017-11-16</t>
        </is>
      </c>
      <c r="C1720" t="inlineStr">
        <is>
          <t>2017-11</t>
        </is>
      </c>
      <c r="D1720" t="inlineStr">
        <is>
          <t>BA</t>
        </is>
      </c>
      <c r="E1720" t="inlineStr">
        <is>
          <t>garden_tools</t>
        </is>
      </c>
      <c r="F1720" t="n">
        <v>3</v>
      </c>
      <c r="G1720" t="n">
        <v>269.97</v>
      </c>
      <c r="H1720" t="n">
        <v>151.5</v>
      </c>
      <c r="I1720" t="inlineStr">
        <is>
          <t>boleto</t>
        </is>
      </c>
      <c r="J1720" t="n">
        <v>13</v>
      </c>
      <c r="K1720" t="inlineStr">
        <is>
          <t>On Time</t>
        </is>
      </c>
      <c r="L1720" t="n">
        <v>5</v>
      </c>
      <c r="M1720">
        <f>VLOOKUP(D1720,State_Lookup!$A$2:$B$28,2,FALSE)</f>
        <v/>
      </c>
    </row>
    <row r="1721">
      <c r="A1721" t="inlineStr">
        <is>
          <t>32c18d30cd806e094dffaa4a7c4c0c7e</t>
        </is>
      </c>
      <c r="B1721" t="inlineStr">
        <is>
          <t>2017-11-16</t>
        </is>
      </c>
      <c r="C1721" t="inlineStr">
        <is>
          <t>2017-11</t>
        </is>
      </c>
      <c r="D1721" t="inlineStr">
        <is>
          <t>SP</t>
        </is>
      </c>
      <c r="E1721" t="inlineStr">
        <is>
          <t>kitchen_dining_laundry_garden_furniture</t>
        </is>
      </c>
      <c r="F1721" t="n">
        <v>1</v>
      </c>
      <c r="G1721" t="n">
        <v>35.9</v>
      </c>
      <c r="H1721" t="n">
        <v>13.37</v>
      </c>
      <c r="I1721" t="inlineStr">
        <is>
          <t>credit_card</t>
        </is>
      </c>
      <c r="J1721" t="n">
        <v>13</v>
      </c>
      <c r="K1721" t="inlineStr">
        <is>
          <t>On Time</t>
        </is>
      </c>
      <c r="L1721" t="n">
        <v>4</v>
      </c>
      <c r="M1721">
        <f>VLOOKUP(D1721,State_Lookup!$A$2:$B$28,2,FALSE)</f>
        <v/>
      </c>
    </row>
    <row r="1722">
      <c r="A1722" t="inlineStr">
        <is>
          <t>dff7f8766eb0c26b8cfbc2147c33e1e4</t>
        </is>
      </c>
      <c r="B1722" t="inlineStr">
        <is>
          <t>2017-11-16</t>
        </is>
      </c>
      <c r="C1722" t="inlineStr">
        <is>
          <t>2017-11</t>
        </is>
      </c>
      <c r="D1722" t="inlineStr">
        <is>
          <t>PR</t>
        </is>
      </c>
      <c r="E1722" t="inlineStr">
        <is>
          <t>health_beauty</t>
        </is>
      </c>
      <c r="F1722" t="n">
        <v>1</v>
      </c>
      <c r="G1722" t="n">
        <v>80</v>
      </c>
      <c r="H1722" t="n">
        <v>20.96</v>
      </c>
      <c r="I1722" t="inlineStr">
        <is>
          <t>credit_card</t>
        </is>
      </c>
      <c r="J1722" t="n">
        <v>12</v>
      </c>
      <c r="K1722" t="inlineStr">
        <is>
          <t>On Time</t>
        </is>
      </c>
      <c r="L1722" t="n">
        <v>5</v>
      </c>
      <c r="M1722">
        <f>VLOOKUP(D1722,State_Lookup!$A$2:$B$28,2,FALSE)</f>
        <v/>
      </c>
    </row>
    <row r="1723">
      <c r="A1723" t="inlineStr">
        <is>
          <t>a2f9ff7df829bc4345e5cf8b5bab2e85</t>
        </is>
      </c>
      <c r="B1723" t="inlineStr">
        <is>
          <t>2017-11-16</t>
        </is>
      </c>
      <c r="C1723" t="inlineStr">
        <is>
          <t>2017-11</t>
        </is>
      </c>
      <c r="D1723" t="inlineStr">
        <is>
          <t>PR</t>
        </is>
      </c>
      <c r="E1723" t="inlineStr">
        <is>
          <t>computers_accessories</t>
        </is>
      </c>
      <c r="F1723" t="n">
        <v>1</v>
      </c>
      <c r="G1723" t="n">
        <v>45</v>
      </c>
      <c r="H1723" t="n">
        <v>14.1</v>
      </c>
      <c r="I1723" t="inlineStr">
        <is>
          <t>credit_card</t>
        </is>
      </c>
      <c r="J1723" t="n">
        <v>8</v>
      </c>
      <c r="K1723" t="inlineStr">
        <is>
          <t>On Time</t>
        </is>
      </c>
      <c r="L1723" t="n">
        <v>4</v>
      </c>
      <c r="M1723">
        <f>VLOOKUP(D1723,State_Lookup!$A$2:$B$28,2,FALSE)</f>
        <v/>
      </c>
    </row>
    <row r="1724">
      <c r="A1724" t="inlineStr">
        <is>
          <t>a1fa8465f15178a62e2429d53c230d99</t>
        </is>
      </c>
      <c r="B1724" t="inlineStr">
        <is>
          <t>2017-11-16</t>
        </is>
      </c>
      <c r="C1724" t="inlineStr">
        <is>
          <t>2017-11</t>
        </is>
      </c>
      <c r="D1724" t="inlineStr">
        <is>
          <t>SP</t>
        </is>
      </c>
      <c r="E1724" t="inlineStr">
        <is>
          <t>watches_gifts</t>
        </is>
      </c>
      <c r="F1724" t="n">
        <v>1</v>
      </c>
      <c r="G1724" t="n">
        <v>119.39</v>
      </c>
      <c r="H1724" t="n">
        <v>8.09</v>
      </c>
      <c r="I1724" t="inlineStr">
        <is>
          <t>credit_card</t>
        </is>
      </c>
      <c r="J1724" t="n">
        <v>6</v>
      </c>
      <c r="K1724" t="inlineStr">
        <is>
          <t>On Time</t>
        </is>
      </c>
      <c r="L1724" t="n">
        <v>5</v>
      </c>
      <c r="M1724">
        <f>VLOOKUP(D1724,State_Lookup!$A$2:$B$28,2,FALSE)</f>
        <v/>
      </c>
    </row>
    <row r="1725">
      <c r="A1725" t="inlineStr">
        <is>
          <t>8a4902db3aa7fdf0a39bf75a14697e2d</t>
        </is>
      </c>
      <c r="B1725" t="inlineStr">
        <is>
          <t>2017-11-16</t>
        </is>
      </c>
      <c r="C1725" t="inlineStr">
        <is>
          <t>2017-11</t>
        </is>
      </c>
      <c r="D1725" t="inlineStr">
        <is>
          <t>RJ</t>
        </is>
      </c>
      <c r="E1725" t="inlineStr">
        <is>
          <t>toys</t>
        </is>
      </c>
      <c r="F1725" t="n">
        <v>1</v>
      </c>
      <c r="G1725" t="n">
        <v>50.7</v>
      </c>
      <c r="H1725" t="n">
        <v>17.6</v>
      </c>
      <c r="I1725" t="inlineStr">
        <is>
          <t>credit_card</t>
        </is>
      </c>
      <c r="J1725" t="n">
        <v>11</v>
      </c>
      <c r="K1725" t="inlineStr">
        <is>
          <t>On Time</t>
        </is>
      </c>
      <c r="L1725" t="n">
        <v>5</v>
      </c>
      <c r="M1725">
        <f>VLOOKUP(D1725,State_Lookup!$A$2:$B$28,2,FALSE)</f>
        <v/>
      </c>
    </row>
    <row r="1726">
      <c r="A1726" t="inlineStr">
        <is>
          <t>afbb859246fee92c1850a6e8bf1a9854</t>
        </is>
      </c>
      <c r="B1726" t="inlineStr">
        <is>
          <t>2017-11-16</t>
        </is>
      </c>
      <c r="C1726" t="inlineStr">
        <is>
          <t>2017-11</t>
        </is>
      </c>
      <c r="D1726" t="inlineStr">
        <is>
          <t>RJ</t>
        </is>
      </c>
      <c r="E1726" t="inlineStr">
        <is>
          <t>furniture_decor</t>
        </is>
      </c>
      <c r="F1726" t="n">
        <v>1</v>
      </c>
      <c r="G1726" t="n">
        <v>12.99</v>
      </c>
      <c r="H1726" t="n">
        <v>14.1</v>
      </c>
      <c r="I1726" t="inlineStr">
        <is>
          <t>boleto</t>
        </is>
      </c>
      <c r="J1726" t="n">
        <v>11</v>
      </c>
      <c r="K1726" t="inlineStr">
        <is>
          <t>On Time</t>
        </is>
      </c>
      <c r="L1726" t="n">
        <v>4</v>
      </c>
      <c r="M1726">
        <f>VLOOKUP(D1726,State_Lookup!$A$2:$B$28,2,FALSE)</f>
        <v/>
      </c>
    </row>
    <row r="1727">
      <c r="A1727" t="inlineStr">
        <is>
          <t>e38994925b350c88bd9b885f0b726439</t>
        </is>
      </c>
      <c r="B1727" t="inlineStr">
        <is>
          <t>2017-11-17</t>
        </is>
      </c>
      <c r="C1727" t="inlineStr">
        <is>
          <t>2017-11</t>
        </is>
      </c>
      <c r="D1727" t="inlineStr">
        <is>
          <t>RS</t>
        </is>
      </c>
      <c r="E1727" t="inlineStr">
        <is>
          <t>health_beauty</t>
        </is>
      </c>
      <c r="F1727" t="n">
        <v>1</v>
      </c>
      <c r="G1727" t="n">
        <v>38.4</v>
      </c>
      <c r="H1727" t="n">
        <v>16.11</v>
      </c>
      <c r="I1727" t="inlineStr">
        <is>
          <t>boleto</t>
        </is>
      </c>
      <c r="J1727" t="n">
        <v>17</v>
      </c>
      <c r="K1727" t="inlineStr">
        <is>
          <t>On Time</t>
        </is>
      </c>
      <c r="L1727" t="n">
        <v>5</v>
      </c>
      <c r="M1727">
        <f>VLOOKUP(D1727,State_Lookup!$A$2:$B$28,2,FALSE)</f>
        <v/>
      </c>
    </row>
    <row r="1728">
      <c r="A1728" t="inlineStr">
        <is>
          <t>b591d108e5c3f485635223ddaf07dc36</t>
        </is>
      </c>
      <c r="B1728" t="inlineStr">
        <is>
          <t>2017-11-17</t>
        </is>
      </c>
      <c r="C1728" t="inlineStr">
        <is>
          <t>2017-11</t>
        </is>
      </c>
      <c r="D1728" t="inlineStr">
        <is>
          <t>SP</t>
        </is>
      </c>
      <c r="E1728" t="inlineStr">
        <is>
          <t>electronics</t>
        </is>
      </c>
      <c r="F1728" t="n">
        <v>1</v>
      </c>
      <c r="G1728" t="n">
        <v>23.7</v>
      </c>
      <c r="H1728" t="n">
        <v>11.85</v>
      </c>
      <c r="I1728" t="inlineStr">
        <is>
          <t>credit_card</t>
        </is>
      </c>
      <c r="J1728" t="n">
        <v>11</v>
      </c>
      <c r="K1728" t="inlineStr">
        <is>
          <t>On Time</t>
        </is>
      </c>
      <c r="L1728" t="n">
        <v>5</v>
      </c>
      <c r="M1728">
        <f>VLOOKUP(D1728,State_Lookup!$A$2:$B$28,2,FALSE)</f>
        <v/>
      </c>
    </row>
    <row r="1729">
      <c r="A1729" t="inlineStr">
        <is>
          <t>6fb0ec015d5b4e5f4031a61d1a6e1f64</t>
        </is>
      </c>
      <c r="B1729" t="inlineStr">
        <is>
          <t>2017-11-17</t>
        </is>
      </c>
      <c r="C1729" t="inlineStr">
        <is>
          <t>2017-11</t>
        </is>
      </c>
      <c r="D1729" t="inlineStr">
        <is>
          <t>SP</t>
        </is>
      </c>
      <c r="E1729" t="inlineStr">
        <is>
          <t>watches_gifts</t>
        </is>
      </c>
      <c r="F1729" t="n">
        <v>1</v>
      </c>
      <c r="G1729" t="n">
        <v>219.9</v>
      </c>
      <c r="H1729" t="n">
        <v>14.56</v>
      </c>
      <c r="I1729" t="inlineStr">
        <is>
          <t>credit_card</t>
        </is>
      </c>
      <c r="J1729" t="n">
        <v>5</v>
      </c>
      <c r="K1729" t="inlineStr">
        <is>
          <t>On Time</t>
        </is>
      </c>
      <c r="L1729" t="n">
        <v>5</v>
      </c>
      <c r="M1729">
        <f>VLOOKUP(D1729,State_Lookup!$A$2:$B$28,2,FALSE)</f>
        <v/>
      </c>
    </row>
    <row r="1730">
      <c r="A1730" t="inlineStr">
        <is>
          <t>08523d94685d7c7efc1381136873cab3</t>
        </is>
      </c>
      <c r="B1730" t="inlineStr">
        <is>
          <t>2017-11-17</t>
        </is>
      </c>
      <c r="C1730" t="inlineStr">
        <is>
          <t>2017-11</t>
        </is>
      </c>
      <c r="D1730" t="inlineStr">
        <is>
          <t>SC</t>
        </is>
      </c>
      <c r="E1730" t="inlineStr">
        <is>
          <t>furniture_decor</t>
        </is>
      </c>
      <c r="F1730" t="n">
        <v>1</v>
      </c>
      <c r="G1730" t="n">
        <v>75</v>
      </c>
      <c r="H1730" t="n">
        <v>21.02</v>
      </c>
      <c r="I1730" t="inlineStr">
        <is>
          <t>boleto</t>
        </is>
      </c>
      <c r="J1730" t="n">
        <v>18</v>
      </c>
      <c r="K1730" t="inlineStr">
        <is>
          <t>On Time</t>
        </is>
      </c>
      <c r="L1730" t="n">
        <v>5</v>
      </c>
      <c r="M1730">
        <f>VLOOKUP(D1730,State_Lookup!$A$2:$B$28,2,FALSE)</f>
        <v/>
      </c>
    </row>
    <row r="1731">
      <c r="A1731" t="inlineStr">
        <is>
          <t>7bd0fa93f3aecfd0f0cd772c59c848e6</t>
        </is>
      </c>
      <c r="B1731" t="inlineStr">
        <is>
          <t>2017-11-17</t>
        </is>
      </c>
      <c r="C1731" t="inlineStr">
        <is>
          <t>2017-11</t>
        </is>
      </c>
      <c r="D1731" t="inlineStr">
        <is>
          <t>SP</t>
        </is>
      </c>
      <c r="E1731" t="inlineStr">
        <is>
          <t>bed_bath_table</t>
        </is>
      </c>
      <c r="F1731" t="n">
        <v>1</v>
      </c>
      <c r="G1731" t="n">
        <v>114.9</v>
      </c>
      <c r="H1731" t="n">
        <v>13.82</v>
      </c>
      <c r="I1731" t="inlineStr">
        <is>
          <t>credit_card</t>
        </is>
      </c>
      <c r="J1731" t="n">
        <v>10</v>
      </c>
      <c r="K1731" t="inlineStr">
        <is>
          <t>On Time</t>
        </is>
      </c>
      <c r="L1731" t="n">
        <v>4</v>
      </c>
      <c r="M1731">
        <f>VLOOKUP(D1731,State_Lookup!$A$2:$B$28,2,FALSE)</f>
        <v/>
      </c>
    </row>
    <row r="1732">
      <c r="A1732" t="inlineStr">
        <is>
          <t>8fb9e44943fd93ec9a5eed36cce925c5</t>
        </is>
      </c>
      <c r="B1732" t="inlineStr">
        <is>
          <t>2017-11-17</t>
        </is>
      </c>
      <c r="C1732" t="inlineStr">
        <is>
          <t>2017-11</t>
        </is>
      </c>
      <c r="D1732" t="inlineStr">
        <is>
          <t>SP</t>
        </is>
      </c>
      <c r="E1732" t="inlineStr">
        <is>
          <t>computers_accessories</t>
        </is>
      </c>
      <c r="F1732" t="n">
        <v>1</v>
      </c>
      <c r="G1732" t="n">
        <v>299.99</v>
      </c>
      <c r="H1732" t="n">
        <v>19.99</v>
      </c>
      <c r="I1732" t="inlineStr">
        <is>
          <t>credit_card</t>
        </is>
      </c>
      <c r="J1732" t="n">
        <v>5</v>
      </c>
      <c r="K1732" t="inlineStr">
        <is>
          <t>On Time</t>
        </is>
      </c>
      <c r="L1732" t="n">
        <v>4</v>
      </c>
      <c r="M1732">
        <f>VLOOKUP(D1732,State_Lookup!$A$2:$B$28,2,FALSE)</f>
        <v/>
      </c>
    </row>
    <row r="1733">
      <c r="A1733" t="inlineStr">
        <is>
          <t>60eeb6cfb0da0d3db8ccd8a0ca15f272</t>
        </is>
      </c>
      <c r="B1733" t="inlineStr">
        <is>
          <t>2017-11-17</t>
        </is>
      </c>
      <c r="C1733" t="inlineStr">
        <is>
          <t>2017-11</t>
        </is>
      </c>
      <c r="D1733" t="inlineStr">
        <is>
          <t>DF</t>
        </is>
      </c>
      <c r="E1733" t="inlineStr">
        <is>
          <t>baby</t>
        </is>
      </c>
      <c r="F1733" t="n">
        <v>1</v>
      </c>
      <c r="G1733" t="n">
        <v>59.9</v>
      </c>
      <c r="H1733" t="n">
        <v>18.96</v>
      </c>
      <c r="I1733" t="inlineStr">
        <is>
          <t>credit_card</t>
        </is>
      </c>
      <c r="J1733" t="n">
        <v>10</v>
      </c>
      <c r="K1733" t="inlineStr">
        <is>
          <t>On Time</t>
        </is>
      </c>
      <c r="L1733" t="n">
        <v>4</v>
      </c>
      <c r="M1733">
        <f>VLOOKUP(D1733,State_Lookup!$A$2:$B$28,2,FALSE)</f>
        <v/>
      </c>
    </row>
    <row r="1734">
      <c r="A1734" t="inlineStr">
        <is>
          <t>c4746ccd04aef8864a52efd2b5fa6c1f</t>
        </is>
      </c>
      <c r="B1734" t="inlineStr">
        <is>
          <t>2017-11-18</t>
        </is>
      </c>
      <c r="C1734" t="inlineStr">
        <is>
          <t>2017-11</t>
        </is>
      </c>
      <c r="D1734" t="inlineStr">
        <is>
          <t>TO</t>
        </is>
      </c>
      <c r="E1734" t="inlineStr">
        <is>
          <t>perfumery</t>
        </is>
      </c>
      <c r="F1734" t="n">
        <v>1</v>
      </c>
      <c r="G1734" t="n">
        <v>149.9</v>
      </c>
      <c r="H1734" t="n">
        <v>19.59</v>
      </c>
      <c r="I1734" t="inlineStr">
        <is>
          <t>boleto</t>
        </is>
      </c>
      <c r="J1734" t="n">
        <v>19</v>
      </c>
      <c r="K1734" t="inlineStr">
        <is>
          <t>On Time</t>
        </is>
      </c>
      <c r="L1734" t="n">
        <v>4</v>
      </c>
      <c r="M1734">
        <f>VLOOKUP(D1734,State_Lookup!$A$2:$B$28,2,FALSE)</f>
        <v/>
      </c>
    </row>
    <row r="1735">
      <c r="A1735" t="inlineStr">
        <is>
          <t>f4bfb8dea9ecdb8ecff6f92691e8f45d</t>
        </is>
      </c>
      <c r="B1735" t="inlineStr">
        <is>
          <t>2017-11-18</t>
        </is>
      </c>
      <c r="C1735" t="inlineStr">
        <is>
          <t>2017-11</t>
        </is>
      </c>
      <c r="D1735" t="inlineStr">
        <is>
          <t>SP</t>
        </is>
      </c>
      <c r="E1735" t="inlineStr">
        <is>
          <t>computers_accessories</t>
        </is>
      </c>
      <c r="F1735" t="n">
        <v>1</v>
      </c>
      <c r="G1735" t="n">
        <v>45.73</v>
      </c>
      <c r="H1735" t="n">
        <v>11.85</v>
      </c>
      <c r="I1735" t="inlineStr">
        <is>
          <t>voucher</t>
        </is>
      </c>
      <c r="J1735" t="n">
        <v>6</v>
      </c>
      <c r="K1735" t="inlineStr">
        <is>
          <t>On Time</t>
        </is>
      </c>
      <c r="L1735" t="n">
        <v>5</v>
      </c>
      <c r="M1735">
        <f>VLOOKUP(D1735,State_Lookup!$A$2:$B$28,2,FALSE)</f>
        <v/>
      </c>
    </row>
    <row r="1736">
      <c r="A1736" t="inlineStr">
        <is>
          <t>3ba9c7e03e16689f18c77e2f5efd2af4</t>
        </is>
      </c>
      <c r="B1736" t="inlineStr">
        <is>
          <t>2017-11-18</t>
        </is>
      </c>
      <c r="C1736" t="inlineStr">
        <is>
          <t>2017-11</t>
        </is>
      </c>
      <c r="D1736" t="inlineStr">
        <is>
          <t>BA</t>
        </is>
      </c>
      <c r="E1736" t="inlineStr">
        <is>
          <t>fashion_bags_accessories</t>
        </is>
      </c>
      <c r="F1736" t="n">
        <v>1</v>
      </c>
      <c r="G1736" t="n">
        <v>49</v>
      </c>
      <c r="H1736" t="n">
        <v>16.79</v>
      </c>
      <c r="I1736" t="inlineStr">
        <is>
          <t>voucher</t>
        </is>
      </c>
      <c r="J1736" t="n">
        <v>12</v>
      </c>
      <c r="K1736" t="inlineStr">
        <is>
          <t>On Time</t>
        </is>
      </c>
      <c r="L1736" t="n">
        <v>5</v>
      </c>
      <c r="M1736">
        <f>VLOOKUP(D1736,State_Lookup!$A$2:$B$28,2,FALSE)</f>
        <v/>
      </c>
    </row>
    <row r="1737">
      <c r="A1737" t="inlineStr">
        <is>
          <t>7a818012b467239b762232ca1644c096</t>
        </is>
      </c>
      <c r="B1737" t="inlineStr">
        <is>
          <t>2017-11-18</t>
        </is>
      </c>
      <c r="C1737" t="inlineStr">
        <is>
          <t>2017-11</t>
        </is>
      </c>
      <c r="D1737" t="inlineStr">
        <is>
          <t>RO</t>
        </is>
      </c>
      <c r="E1737" t="inlineStr">
        <is>
          <t>luggage_accessories</t>
        </is>
      </c>
      <c r="F1737" t="n">
        <v>1</v>
      </c>
      <c r="G1737" t="n">
        <v>299.9</v>
      </c>
      <c r="H1737" t="n">
        <v>155.47</v>
      </c>
      <c r="I1737" t="inlineStr">
        <is>
          <t>credit_card</t>
        </is>
      </c>
      <c r="J1737" t="n">
        <v>25</v>
      </c>
      <c r="K1737" t="inlineStr">
        <is>
          <t>On Time</t>
        </is>
      </c>
      <c r="L1737" t="n">
        <v>4</v>
      </c>
      <c r="M1737">
        <f>VLOOKUP(D1737,State_Lookup!$A$2:$B$28,2,FALSE)</f>
        <v/>
      </c>
    </row>
    <row r="1738">
      <c r="A1738" t="inlineStr">
        <is>
          <t>bb112b59b8f03e372acab987c036fbf3</t>
        </is>
      </c>
      <c r="B1738" t="inlineStr">
        <is>
          <t>2017-11-18</t>
        </is>
      </c>
      <c r="C1738" t="inlineStr">
        <is>
          <t>2017-11</t>
        </is>
      </c>
      <c r="D1738" t="inlineStr">
        <is>
          <t>GO</t>
        </is>
      </c>
      <c r="E1738" t="inlineStr">
        <is>
          <t>bed_bath_table</t>
        </is>
      </c>
      <c r="F1738" t="n">
        <v>1</v>
      </c>
      <c r="G1738" t="n">
        <v>109.9</v>
      </c>
      <c r="H1738" t="n">
        <v>25.61</v>
      </c>
      <c r="I1738" t="inlineStr">
        <is>
          <t>credit_card</t>
        </is>
      </c>
      <c r="J1738" t="n">
        <v>16</v>
      </c>
      <c r="K1738" t="inlineStr">
        <is>
          <t>On Time</t>
        </is>
      </c>
      <c r="L1738" t="n">
        <v>5</v>
      </c>
      <c r="M1738">
        <f>VLOOKUP(D1738,State_Lookup!$A$2:$B$28,2,FALSE)</f>
        <v/>
      </c>
    </row>
    <row r="1739">
      <c r="A1739" t="inlineStr">
        <is>
          <t>ece8853f47b1069c213415c8b64ad6b3</t>
        </is>
      </c>
      <c r="B1739" t="inlineStr">
        <is>
          <t>2017-11-18</t>
        </is>
      </c>
      <c r="C1739" t="inlineStr">
        <is>
          <t>2017-11</t>
        </is>
      </c>
      <c r="D1739" t="inlineStr">
        <is>
          <t>PR</t>
        </is>
      </c>
      <c r="E1739" t="inlineStr">
        <is>
          <t>computers_accessories</t>
        </is>
      </c>
      <c r="F1739" t="n">
        <v>4</v>
      </c>
      <c r="G1739" t="n">
        <v>664.4</v>
      </c>
      <c r="H1739" t="n">
        <v>86.09</v>
      </c>
      <c r="I1739" t="inlineStr">
        <is>
          <t>credit_card</t>
        </is>
      </c>
      <c r="J1739" t="n">
        <v>6</v>
      </c>
      <c r="K1739" t="inlineStr">
        <is>
          <t>On Time</t>
        </is>
      </c>
      <c r="L1739" t="n">
        <v>1</v>
      </c>
      <c r="M1739">
        <f>VLOOKUP(D1739,State_Lookup!$A$2:$B$28,2,FALSE)</f>
        <v/>
      </c>
    </row>
    <row r="1740">
      <c r="A1740" t="inlineStr">
        <is>
          <t>e55981b5cea8072097093592652571ca</t>
        </is>
      </c>
      <c r="B1740" t="inlineStr">
        <is>
          <t>2017-11-18</t>
        </is>
      </c>
      <c r="C1740" t="inlineStr">
        <is>
          <t>2017-11</t>
        </is>
      </c>
      <c r="D1740" t="inlineStr">
        <is>
          <t>SP</t>
        </is>
      </c>
      <c r="E1740" t="inlineStr">
        <is>
          <t>health_beauty</t>
        </is>
      </c>
      <c r="F1740" t="n">
        <v>1</v>
      </c>
      <c r="G1740" t="n">
        <v>349.9</v>
      </c>
      <c r="H1740" t="n">
        <v>18.7</v>
      </c>
      <c r="I1740" t="inlineStr">
        <is>
          <t>credit_card</t>
        </is>
      </c>
      <c r="J1740" t="n">
        <v>8</v>
      </c>
      <c r="K1740" t="inlineStr">
        <is>
          <t>On Time</t>
        </is>
      </c>
      <c r="L1740" t="n">
        <v>5</v>
      </c>
      <c r="M1740">
        <f>VLOOKUP(D1740,State_Lookup!$A$2:$B$28,2,FALSE)</f>
        <v/>
      </c>
    </row>
    <row r="1741">
      <c r="A1741" t="inlineStr">
        <is>
          <t>991bb9cfd54d9ab89b563df31d3ed95d</t>
        </is>
      </c>
      <c r="B1741" t="inlineStr">
        <is>
          <t>2017-11-18</t>
        </is>
      </c>
      <c r="C1741" t="inlineStr">
        <is>
          <t>2017-11</t>
        </is>
      </c>
      <c r="D1741" t="inlineStr">
        <is>
          <t>MG</t>
        </is>
      </c>
      <c r="E1741" t="inlineStr">
        <is>
          <t>baby</t>
        </is>
      </c>
      <c r="F1741" t="n">
        <v>1</v>
      </c>
      <c r="G1741" t="n">
        <v>48.9</v>
      </c>
      <c r="H1741" t="n">
        <v>16.11</v>
      </c>
      <c r="I1741" t="inlineStr">
        <is>
          <t>credit_card</t>
        </is>
      </c>
      <c r="J1741" t="n">
        <v>10</v>
      </c>
      <c r="K1741" t="inlineStr">
        <is>
          <t>On Time</t>
        </is>
      </c>
      <c r="L1741" t="n">
        <v>5</v>
      </c>
      <c r="M1741">
        <f>VLOOKUP(D1741,State_Lookup!$A$2:$B$28,2,FALSE)</f>
        <v/>
      </c>
    </row>
    <row r="1742">
      <c r="A1742" t="inlineStr">
        <is>
          <t>f7203d9ccdf6519081031222d1f49788</t>
        </is>
      </c>
      <c r="B1742" t="inlineStr">
        <is>
          <t>2017-11-18</t>
        </is>
      </c>
      <c r="C1742" t="inlineStr">
        <is>
          <t>2017-11</t>
        </is>
      </c>
      <c r="D1742" t="inlineStr">
        <is>
          <t>PR</t>
        </is>
      </c>
      <c r="E1742" t="inlineStr">
        <is>
          <t>auto</t>
        </is>
      </c>
      <c r="F1742" t="n">
        <v>1</v>
      </c>
      <c r="G1742" t="n">
        <v>49.9</v>
      </c>
      <c r="H1742" t="n">
        <v>15.1</v>
      </c>
      <c r="I1742" t="inlineStr">
        <is>
          <t>boleto</t>
        </is>
      </c>
      <c r="J1742" t="n">
        <v>27</v>
      </c>
      <c r="K1742" t="inlineStr">
        <is>
          <t>Late</t>
        </is>
      </c>
      <c r="L1742" t="n">
        <v>1</v>
      </c>
      <c r="M1742">
        <f>VLOOKUP(D1742,State_Lookup!$A$2:$B$28,2,FALSE)</f>
        <v/>
      </c>
    </row>
    <row r="1743">
      <c r="A1743" t="inlineStr">
        <is>
          <t>cd1ddd0a998b40f3335a4b6d9af53e7f</t>
        </is>
      </c>
      <c r="B1743" t="inlineStr">
        <is>
          <t>2017-11-18</t>
        </is>
      </c>
      <c r="C1743" t="inlineStr">
        <is>
          <t>2017-11</t>
        </is>
      </c>
      <c r="D1743" t="inlineStr">
        <is>
          <t>SP</t>
        </is>
      </c>
      <c r="E1743" t="inlineStr">
        <is>
          <t>baby</t>
        </is>
      </c>
      <c r="F1743" t="n">
        <v>1</v>
      </c>
      <c r="G1743" t="n">
        <v>119.99</v>
      </c>
      <c r="H1743" t="n">
        <v>27.28</v>
      </c>
      <c r="I1743" t="inlineStr">
        <is>
          <t>voucher</t>
        </is>
      </c>
      <c r="J1743" t="n">
        <v>4</v>
      </c>
      <c r="K1743" t="inlineStr">
        <is>
          <t>On Time</t>
        </is>
      </c>
      <c r="L1743" t="n">
        <v>5</v>
      </c>
      <c r="M1743">
        <f>VLOOKUP(D1743,State_Lookup!$A$2:$B$28,2,FALSE)</f>
        <v/>
      </c>
    </row>
    <row r="1744">
      <c r="A1744" t="inlineStr">
        <is>
          <t>70537c8a3dfbbe79f0d078a43a815d97</t>
        </is>
      </c>
      <c r="B1744" t="inlineStr">
        <is>
          <t>2017-11-18</t>
        </is>
      </c>
      <c r="C1744" t="inlineStr">
        <is>
          <t>2017-11</t>
        </is>
      </c>
      <c r="D1744" t="inlineStr">
        <is>
          <t>RS</t>
        </is>
      </c>
      <c r="E1744" t="inlineStr">
        <is>
          <t>toys</t>
        </is>
      </c>
      <c r="F1744" t="n">
        <v>1</v>
      </c>
      <c r="G1744" t="n">
        <v>99.98999999999999</v>
      </c>
      <c r="H1744" t="n">
        <v>18.94</v>
      </c>
      <c r="I1744" t="inlineStr">
        <is>
          <t>boleto</t>
        </is>
      </c>
      <c r="J1744" t="n">
        <v>24</v>
      </c>
      <c r="K1744" t="inlineStr">
        <is>
          <t>Late</t>
        </is>
      </c>
      <c r="L1744" t="n">
        <v>4</v>
      </c>
      <c r="M1744">
        <f>VLOOKUP(D1744,State_Lookup!$A$2:$B$28,2,FALSE)</f>
        <v/>
      </c>
    </row>
    <row r="1745">
      <c r="A1745" t="inlineStr">
        <is>
          <t>a29ff9ad73114cca7be0859ec0cddd74</t>
        </is>
      </c>
      <c r="B1745" t="inlineStr">
        <is>
          <t>2017-11-19</t>
        </is>
      </c>
      <c r="C1745" t="inlineStr">
        <is>
          <t>2017-11</t>
        </is>
      </c>
      <c r="D1745" t="inlineStr">
        <is>
          <t>SP</t>
        </is>
      </c>
      <c r="E1745" t="inlineStr">
        <is>
          <t>bed_bath_table</t>
        </is>
      </c>
      <c r="F1745" t="n">
        <v>1</v>
      </c>
      <c r="G1745" t="n">
        <v>69.90000000000001</v>
      </c>
      <c r="H1745" t="n">
        <v>12.83</v>
      </c>
      <c r="I1745" t="inlineStr">
        <is>
          <t>credit_card</t>
        </is>
      </c>
      <c r="J1745" t="n">
        <v>8</v>
      </c>
      <c r="K1745" t="inlineStr">
        <is>
          <t>On Time</t>
        </is>
      </c>
      <c r="L1745" t="n">
        <v>5</v>
      </c>
      <c r="M1745">
        <f>VLOOKUP(D1745,State_Lookup!$A$2:$B$28,2,FALSE)</f>
        <v/>
      </c>
    </row>
    <row r="1746">
      <c r="A1746" t="inlineStr">
        <is>
          <t>bf11d6d45abb67220dbfb9b1f8c09efe</t>
        </is>
      </c>
      <c r="B1746" t="inlineStr">
        <is>
          <t>2017-11-19</t>
        </is>
      </c>
      <c r="C1746" t="inlineStr">
        <is>
          <t>2017-11</t>
        </is>
      </c>
      <c r="D1746" t="inlineStr">
        <is>
          <t>RJ</t>
        </is>
      </c>
      <c r="E1746" t="inlineStr">
        <is>
          <t>auto</t>
        </is>
      </c>
      <c r="F1746" t="n">
        <v>1</v>
      </c>
      <c r="G1746" t="n">
        <v>83.41</v>
      </c>
      <c r="H1746" t="n">
        <v>17.83</v>
      </c>
      <c r="I1746" t="inlineStr">
        <is>
          <t>boleto</t>
        </is>
      </c>
      <c r="J1746" t="n">
        <v>19</v>
      </c>
      <c r="K1746" t="inlineStr">
        <is>
          <t>On Time</t>
        </is>
      </c>
      <c r="L1746" t="n">
        <v>3</v>
      </c>
      <c r="M1746">
        <f>VLOOKUP(D1746,State_Lookup!$A$2:$B$28,2,FALSE)</f>
        <v/>
      </c>
    </row>
    <row r="1747">
      <c r="A1747" t="inlineStr">
        <is>
          <t>f939f0226d610aad8bc41cb7433e5f70</t>
        </is>
      </c>
      <c r="B1747" t="inlineStr">
        <is>
          <t>2017-11-19</t>
        </is>
      </c>
      <c r="C1747" t="inlineStr">
        <is>
          <t>2017-11</t>
        </is>
      </c>
      <c r="D1747" t="inlineStr">
        <is>
          <t>RJ</t>
        </is>
      </c>
      <c r="E1747" t="inlineStr">
        <is>
          <t>auto</t>
        </is>
      </c>
      <c r="F1747" t="n">
        <v>1</v>
      </c>
      <c r="G1747" t="n">
        <v>89.90000000000001</v>
      </c>
      <c r="H1747" t="n">
        <v>17.88</v>
      </c>
      <c r="I1747" t="inlineStr">
        <is>
          <t>credit_card</t>
        </is>
      </c>
      <c r="J1747" t="n">
        <v>16</v>
      </c>
      <c r="K1747" t="inlineStr">
        <is>
          <t>On Time</t>
        </is>
      </c>
      <c r="L1747" t="n">
        <v>5</v>
      </c>
      <c r="M1747">
        <f>VLOOKUP(D1747,State_Lookup!$A$2:$B$28,2,FALSE)</f>
        <v/>
      </c>
    </row>
    <row r="1748">
      <c r="A1748" t="inlineStr">
        <is>
          <t>82f67231caceb165dadf21bcc8f0ee72</t>
        </is>
      </c>
      <c r="B1748" t="inlineStr">
        <is>
          <t>2017-11-19</t>
        </is>
      </c>
      <c r="C1748" t="inlineStr">
        <is>
          <t>2017-11</t>
        </is>
      </c>
      <c r="D1748" t="inlineStr">
        <is>
          <t>RJ</t>
        </is>
      </c>
      <c r="E1748" t="inlineStr">
        <is>
          <t>health_beauty</t>
        </is>
      </c>
      <c r="F1748" t="n">
        <v>1</v>
      </c>
      <c r="G1748" t="n">
        <v>298</v>
      </c>
      <c r="H1748" t="n">
        <v>18.4</v>
      </c>
      <c r="I1748" t="inlineStr">
        <is>
          <t>credit_card</t>
        </is>
      </c>
      <c r="J1748" t="n">
        <v>4</v>
      </c>
      <c r="K1748" t="inlineStr">
        <is>
          <t>On Time</t>
        </is>
      </c>
      <c r="L1748" t="n">
        <v>5</v>
      </c>
      <c r="M1748">
        <f>VLOOKUP(D1748,State_Lookup!$A$2:$B$28,2,FALSE)</f>
        <v/>
      </c>
    </row>
    <row r="1749">
      <c r="A1749" t="inlineStr">
        <is>
          <t>f12da93bfc1ee01030cea1345a142abb</t>
        </is>
      </c>
      <c r="B1749" t="inlineStr">
        <is>
          <t>2017-11-19</t>
        </is>
      </c>
      <c r="C1749" t="inlineStr">
        <is>
          <t>2017-11</t>
        </is>
      </c>
      <c r="D1749" t="inlineStr">
        <is>
          <t>RJ</t>
        </is>
      </c>
      <c r="E1749" t="inlineStr">
        <is>
          <t>telephony</t>
        </is>
      </c>
      <c r="F1749" t="n">
        <v>1</v>
      </c>
      <c r="G1749" t="n">
        <v>17.99</v>
      </c>
      <c r="H1749" t="n">
        <v>14.1</v>
      </c>
      <c r="I1749" t="inlineStr">
        <is>
          <t>credit_card</t>
        </is>
      </c>
      <c r="J1749" t="n">
        <v>23</v>
      </c>
      <c r="K1749" t="inlineStr">
        <is>
          <t>Late</t>
        </is>
      </c>
      <c r="L1749" t="n">
        <v>4</v>
      </c>
      <c r="M1749">
        <f>VLOOKUP(D1749,State_Lookup!$A$2:$B$28,2,FALSE)</f>
        <v/>
      </c>
    </row>
    <row r="1750">
      <c r="A1750" t="inlineStr">
        <is>
          <t>bb0c66e312ff8cb97698f012cd92553c</t>
        </is>
      </c>
      <c r="B1750" t="inlineStr">
        <is>
          <t>2017-11-19</t>
        </is>
      </c>
      <c r="C1750" t="inlineStr">
        <is>
          <t>2017-11</t>
        </is>
      </c>
      <c r="D1750" t="inlineStr">
        <is>
          <t>SP</t>
        </is>
      </c>
      <c r="E1750" t="inlineStr">
        <is>
          <t>perfumery</t>
        </is>
      </c>
      <c r="F1750" t="n">
        <v>1</v>
      </c>
      <c r="G1750" t="n">
        <v>56.99</v>
      </c>
      <c r="H1750" t="n">
        <v>8.720000000000001</v>
      </c>
      <c r="I1750" t="inlineStr">
        <is>
          <t>boleto</t>
        </is>
      </c>
      <c r="J1750" t="n">
        <v>5</v>
      </c>
      <c r="K1750" t="inlineStr">
        <is>
          <t>On Time</t>
        </is>
      </c>
      <c r="L1750" t="n">
        <v>5</v>
      </c>
      <c r="M1750">
        <f>VLOOKUP(D1750,State_Lookup!$A$2:$B$28,2,FALSE)</f>
        <v/>
      </c>
    </row>
    <row r="1751">
      <c r="A1751" t="inlineStr">
        <is>
          <t>f7f4ddbedac13a064aeb2fe0d513cabd</t>
        </is>
      </c>
      <c r="B1751" t="inlineStr">
        <is>
          <t>2017-11-19</t>
        </is>
      </c>
      <c r="C1751" t="inlineStr">
        <is>
          <t>2017-11</t>
        </is>
      </c>
      <c r="D1751" t="inlineStr">
        <is>
          <t>RJ</t>
        </is>
      </c>
      <c r="E1751" t="inlineStr">
        <is>
          <t>health_beauty</t>
        </is>
      </c>
      <c r="F1751" t="n">
        <v>1</v>
      </c>
      <c r="G1751" t="n">
        <v>550</v>
      </c>
      <c r="H1751" t="n">
        <v>145.99</v>
      </c>
      <c r="I1751" t="inlineStr">
        <is>
          <t>credit_card</t>
        </is>
      </c>
      <c r="J1751" t="n">
        <v>19</v>
      </c>
      <c r="K1751" t="inlineStr">
        <is>
          <t>On Time</t>
        </is>
      </c>
      <c r="L1751" t="n">
        <v>4</v>
      </c>
      <c r="M1751">
        <f>VLOOKUP(D1751,State_Lookup!$A$2:$B$28,2,FALSE)</f>
        <v/>
      </c>
    </row>
    <row r="1752">
      <c r="A1752" t="inlineStr">
        <is>
          <t>d1bae3aba9294d4d0cb1141637b50f07</t>
        </is>
      </c>
      <c r="B1752" t="inlineStr">
        <is>
          <t>2017-11-20</t>
        </is>
      </c>
      <c r="C1752" t="inlineStr">
        <is>
          <t>2017-11</t>
        </is>
      </c>
      <c r="D1752" t="inlineStr">
        <is>
          <t>SP</t>
        </is>
      </c>
      <c r="E1752" t="inlineStr">
        <is>
          <t>sports_leisure</t>
        </is>
      </c>
      <c r="F1752" t="n">
        <v>1</v>
      </c>
      <c r="G1752" t="n">
        <v>149.99</v>
      </c>
      <c r="H1752" t="n">
        <v>16.81</v>
      </c>
      <c r="I1752" t="inlineStr">
        <is>
          <t>credit_card</t>
        </is>
      </c>
      <c r="J1752" t="n">
        <v>5</v>
      </c>
      <c r="K1752" t="inlineStr">
        <is>
          <t>On Time</t>
        </is>
      </c>
      <c r="L1752" t="n">
        <v>5</v>
      </c>
      <c r="M1752">
        <f>VLOOKUP(D1752,State_Lookup!$A$2:$B$28,2,FALSE)</f>
        <v/>
      </c>
    </row>
    <row r="1753">
      <c r="A1753" t="inlineStr">
        <is>
          <t>fec5a30841300e1ebf3aa37f9023f345</t>
        </is>
      </c>
      <c r="B1753" t="inlineStr">
        <is>
          <t>2017-11-20</t>
        </is>
      </c>
      <c r="C1753" t="inlineStr">
        <is>
          <t>2017-11</t>
        </is>
      </c>
      <c r="D1753" t="inlineStr">
        <is>
          <t>RJ</t>
        </is>
      </c>
      <c r="E1753" t="inlineStr">
        <is>
          <t>consoles_games</t>
        </is>
      </c>
      <c r="F1753" t="n">
        <v>1</v>
      </c>
      <c r="G1753" t="n">
        <v>24.5</v>
      </c>
      <c r="H1753" t="n">
        <v>15.1</v>
      </c>
      <c r="I1753" t="inlineStr">
        <is>
          <t>credit_card</t>
        </is>
      </c>
      <c r="J1753" t="n">
        <v>15</v>
      </c>
      <c r="K1753" t="inlineStr">
        <is>
          <t>On Time</t>
        </is>
      </c>
      <c r="L1753" t="n">
        <v>4</v>
      </c>
      <c r="M1753">
        <f>VLOOKUP(D1753,State_Lookup!$A$2:$B$28,2,FALSE)</f>
        <v/>
      </c>
    </row>
    <row r="1754">
      <c r="A1754" t="inlineStr">
        <is>
          <t>59f20ac0aae46d0940018c589d3571f4</t>
        </is>
      </c>
      <c r="B1754" t="inlineStr">
        <is>
          <t>2017-11-20</t>
        </is>
      </c>
      <c r="C1754" t="inlineStr">
        <is>
          <t>2017-11</t>
        </is>
      </c>
      <c r="D1754" t="inlineStr">
        <is>
          <t>PE</t>
        </is>
      </c>
      <c r="E1754" t="inlineStr">
        <is>
          <t>furniture_decor</t>
        </is>
      </c>
      <c r="F1754" t="n">
        <v>2</v>
      </c>
      <c r="G1754" t="n">
        <v>151.8</v>
      </c>
      <c r="H1754" t="n">
        <v>51.62</v>
      </c>
      <c r="I1754" t="inlineStr">
        <is>
          <t>credit_card</t>
        </is>
      </c>
      <c r="J1754" t="n">
        <v>8</v>
      </c>
      <c r="K1754" t="inlineStr">
        <is>
          <t>On Time</t>
        </is>
      </c>
      <c r="L1754" t="n">
        <v>1</v>
      </c>
      <c r="M1754">
        <f>VLOOKUP(D1754,State_Lookup!$A$2:$B$28,2,FALSE)</f>
        <v/>
      </c>
    </row>
    <row r="1755">
      <c r="A1755" t="inlineStr">
        <is>
          <t>2a680095a7549ad07085fb6863f91316</t>
        </is>
      </c>
      <c r="B1755" t="inlineStr">
        <is>
          <t>2017-11-20</t>
        </is>
      </c>
      <c r="C1755" t="inlineStr">
        <is>
          <t>2017-11</t>
        </is>
      </c>
      <c r="D1755" t="inlineStr">
        <is>
          <t>SP</t>
        </is>
      </c>
      <c r="E1755" t="inlineStr">
        <is>
          <t>bed_bath_table</t>
        </is>
      </c>
      <c r="F1755" t="n">
        <v>1</v>
      </c>
      <c r="G1755" t="n">
        <v>24.9</v>
      </c>
      <c r="H1755" t="n">
        <v>9.09</v>
      </c>
      <c r="I1755" t="inlineStr">
        <is>
          <t>boleto</t>
        </is>
      </c>
      <c r="J1755" t="n">
        <v>3</v>
      </c>
      <c r="K1755" t="inlineStr">
        <is>
          <t>On Time</t>
        </is>
      </c>
      <c r="L1755" t="n">
        <v>5</v>
      </c>
      <c r="M1755">
        <f>VLOOKUP(D1755,State_Lookup!$A$2:$B$28,2,FALSE)</f>
        <v/>
      </c>
    </row>
    <row r="1756">
      <c r="A1756" t="inlineStr">
        <is>
          <t>338fbd3c36de682efeb03bf89d62ae95</t>
        </is>
      </c>
      <c r="B1756" t="inlineStr">
        <is>
          <t>2017-11-20</t>
        </is>
      </c>
      <c r="C1756" t="inlineStr">
        <is>
          <t>2017-11</t>
        </is>
      </c>
      <c r="D1756" t="inlineStr">
        <is>
          <t>SP</t>
        </is>
      </c>
      <c r="E1756" t="inlineStr">
        <is>
          <t>bed_bath_table</t>
        </is>
      </c>
      <c r="F1756" t="n">
        <v>1</v>
      </c>
      <c r="G1756" t="n">
        <v>89.90000000000001</v>
      </c>
      <c r="H1756" t="n">
        <v>12.33</v>
      </c>
      <c r="I1756" t="inlineStr">
        <is>
          <t>debit_card</t>
        </is>
      </c>
      <c r="J1756" t="n">
        <v>2</v>
      </c>
      <c r="K1756" t="inlineStr">
        <is>
          <t>On Time</t>
        </is>
      </c>
      <c r="L1756" t="n">
        <v>5</v>
      </c>
      <c r="M1756">
        <f>VLOOKUP(D1756,State_Lookup!$A$2:$B$28,2,FALSE)</f>
        <v/>
      </c>
    </row>
    <row r="1757">
      <c r="A1757" t="inlineStr">
        <is>
          <t>21e532e1fe87c6d6f72b17543a12af1a</t>
        </is>
      </c>
      <c r="B1757" t="inlineStr">
        <is>
          <t>2017-11-20</t>
        </is>
      </c>
      <c r="C1757" t="inlineStr">
        <is>
          <t>2017-11</t>
        </is>
      </c>
      <c r="D1757" t="inlineStr">
        <is>
          <t>RJ</t>
        </is>
      </c>
      <c r="E1757" t="inlineStr">
        <is>
          <t>toys</t>
        </is>
      </c>
      <c r="F1757" t="n">
        <v>1</v>
      </c>
      <c r="G1757" t="n">
        <v>35.9</v>
      </c>
      <c r="H1757" t="n">
        <v>14.1</v>
      </c>
      <c r="I1757" t="inlineStr">
        <is>
          <t>credit_card</t>
        </is>
      </c>
      <c r="J1757" t="n">
        <v>4</v>
      </c>
      <c r="K1757" t="inlineStr">
        <is>
          <t>On Time</t>
        </is>
      </c>
      <c r="L1757" t="n">
        <v>5</v>
      </c>
      <c r="M1757">
        <f>VLOOKUP(D1757,State_Lookup!$A$2:$B$28,2,FALSE)</f>
        <v/>
      </c>
    </row>
    <row r="1758">
      <c r="A1758" t="inlineStr">
        <is>
          <t>884ddcd0965c8f4d41006f07efa3c32b</t>
        </is>
      </c>
      <c r="B1758" t="inlineStr">
        <is>
          <t>2017-11-20</t>
        </is>
      </c>
      <c r="C1758" t="inlineStr">
        <is>
          <t>2017-11</t>
        </is>
      </c>
      <c r="D1758" t="inlineStr">
        <is>
          <t>SP</t>
        </is>
      </c>
      <c r="E1758" t="inlineStr">
        <is>
          <t>toys</t>
        </is>
      </c>
      <c r="F1758" t="n">
        <v>1</v>
      </c>
      <c r="G1758" t="n">
        <v>99.90000000000001</v>
      </c>
      <c r="H1758" t="n">
        <v>13.72</v>
      </c>
      <c r="I1758" t="inlineStr">
        <is>
          <t>credit_card</t>
        </is>
      </c>
      <c r="J1758" t="inlineStr"/>
      <c r="K1758" t="inlineStr">
        <is>
          <t>Not Delivered</t>
        </is>
      </c>
      <c r="L1758" t="n">
        <v>2</v>
      </c>
      <c r="M1758">
        <f>VLOOKUP(D1758,State_Lookup!$A$2:$B$28,2,FALSE)</f>
        <v/>
      </c>
    </row>
    <row r="1759">
      <c r="A1759" t="inlineStr">
        <is>
          <t>5ee31cacb02c4f421f938c50e446185b</t>
        </is>
      </c>
      <c r="B1759" t="inlineStr">
        <is>
          <t>2017-11-20</t>
        </is>
      </c>
      <c r="C1759" t="inlineStr">
        <is>
          <t>2017-11</t>
        </is>
      </c>
      <c r="D1759" t="inlineStr">
        <is>
          <t>SP</t>
        </is>
      </c>
      <c r="E1759" t="inlineStr">
        <is>
          <t>housewares</t>
        </is>
      </c>
      <c r="F1759" t="n">
        <v>3</v>
      </c>
      <c r="G1759" t="n">
        <v>89.40000000000001</v>
      </c>
      <c r="H1759" t="n">
        <v>35.55</v>
      </c>
      <c r="I1759" t="inlineStr">
        <is>
          <t>credit_card</t>
        </is>
      </c>
      <c r="J1759" t="n">
        <v>21</v>
      </c>
      <c r="K1759" t="inlineStr">
        <is>
          <t>Late</t>
        </is>
      </c>
      <c r="L1759" t="n">
        <v>1</v>
      </c>
      <c r="M1759">
        <f>VLOOKUP(D1759,State_Lookup!$A$2:$B$28,2,FALSE)</f>
        <v/>
      </c>
    </row>
    <row r="1760">
      <c r="A1760" t="inlineStr">
        <is>
          <t>b0200fb90c91c50e3310f7f78f68fdfc</t>
        </is>
      </c>
      <c r="B1760" t="inlineStr">
        <is>
          <t>2017-11-20</t>
        </is>
      </c>
      <c r="C1760" t="inlineStr">
        <is>
          <t>2017-11</t>
        </is>
      </c>
      <c r="D1760" t="inlineStr">
        <is>
          <t>PR</t>
        </is>
      </c>
      <c r="E1760" t="inlineStr">
        <is>
          <t>furniture_decor</t>
        </is>
      </c>
      <c r="F1760" t="n">
        <v>1</v>
      </c>
      <c r="G1760" t="n">
        <v>269.9</v>
      </c>
      <c r="H1760" t="n">
        <v>60.9</v>
      </c>
      <c r="I1760" t="inlineStr">
        <is>
          <t>boleto</t>
        </is>
      </c>
      <c r="J1760" t="n">
        <v>15</v>
      </c>
      <c r="K1760" t="inlineStr">
        <is>
          <t>On Time</t>
        </is>
      </c>
      <c r="L1760" t="n">
        <v>5</v>
      </c>
      <c r="M1760">
        <f>VLOOKUP(D1760,State_Lookup!$A$2:$B$28,2,FALSE)</f>
        <v/>
      </c>
    </row>
    <row r="1761">
      <c r="A1761" t="inlineStr">
        <is>
          <t>3296617b0f860015465b3259c42115b2</t>
        </is>
      </c>
      <c r="B1761" t="inlineStr">
        <is>
          <t>2017-11-20</t>
        </is>
      </c>
      <c r="C1761" t="inlineStr">
        <is>
          <t>2017-11</t>
        </is>
      </c>
      <c r="D1761" t="inlineStr">
        <is>
          <t>RS</t>
        </is>
      </c>
      <c r="E1761" t="inlineStr">
        <is>
          <t>watches_gifts</t>
        </is>
      </c>
      <c r="F1761" t="n">
        <v>1</v>
      </c>
      <c r="G1761" t="n">
        <v>55</v>
      </c>
      <c r="H1761" t="n">
        <v>16.83</v>
      </c>
      <c r="I1761" t="inlineStr">
        <is>
          <t>boleto</t>
        </is>
      </c>
      <c r="J1761" t="n">
        <v>14</v>
      </c>
      <c r="K1761" t="inlineStr">
        <is>
          <t>On Time</t>
        </is>
      </c>
      <c r="L1761" t="n">
        <v>5</v>
      </c>
      <c r="M1761">
        <f>VLOOKUP(D1761,State_Lookup!$A$2:$B$28,2,FALSE)</f>
        <v/>
      </c>
    </row>
    <row r="1762">
      <c r="A1762" t="inlineStr">
        <is>
          <t>077700dcf4e3bb4128459fc825a4056c</t>
        </is>
      </c>
      <c r="B1762" t="inlineStr">
        <is>
          <t>2017-11-20</t>
        </is>
      </c>
      <c r="C1762" t="inlineStr">
        <is>
          <t>2017-11</t>
        </is>
      </c>
      <c r="D1762" t="inlineStr">
        <is>
          <t>MG</t>
        </is>
      </c>
      <c r="E1762" t="inlineStr">
        <is>
          <t>watches_gifts</t>
        </is>
      </c>
      <c r="F1762" t="n">
        <v>1</v>
      </c>
      <c r="G1762" t="n">
        <v>199.9</v>
      </c>
      <c r="H1762" t="n">
        <v>15.15</v>
      </c>
      <c r="I1762" t="inlineStr">
        <is>
          <t>credit_card</t>
        </is>
      </c>
      <c r="J1762" t="n">
        <v>9</v>
      </c>
      <c r="K1762" t="inlineStr">
        <is>
          <t>On Time</t>
        </is>
      </c>
      <c r="L1762" t="n">
        <v>5</v>
      </c>
      <c r="M1762">
        <f>VLOOKUP(D1762,State_Lookup!$A$2:$B$28,2,FALSE)</f>
        <v/>
      </c>
    </row>
    <row r="1763">
      <c r="A1763" t="inlineStr">
        <is>
          <t>19802314932831a78e4f0e3dead30f83</t>
        </is>
      </c>
      <c r="B1763" t="inlineStr">
        <is>
          <t>2017-11-20</t>
        </is>
      </c>
      <c r="C1763" t="inlineStr">
        <is>
          <t>2017-11</t>
        </is>
      </c>
      <c r="D1763" t="inlineStr">
        <is>
          <t>CE</t>
        </is>
      </c>
      <c r="E1763" t="inlineStr">
        <is>
          <t>fashion_bags_accessories</t>
        </is>
      </c>
      <c r="F1763" t="n">
        <v>1</v>
      </c>
      <c r="G1763" t="n">
        <v>119.99</v>
      </c>
      <c r="H1763" t="n">
        <v>19.38</v>
      </c>
      <c r="I1763" t="inlineStr">
        <is>
          <t>credit_card</t>
        </is>
      </c>
      <c r="J1763" t="inlineStr"/>
      <c r="K1763" t="inlineStr">
        <is>
          <t>Not Delivered</t>
        </is>
      </c>
      <c r="L1763" t="n">
        <v>1</v>
      </c>
      <c r="M1763">
        <f>VLOOKUP(D1763,State_Lookup!$A$2:$B$28,2,FALSE)</f>
        <v/>
      </c>
    </row>
    <row r="1764">
      <c r="A1764" t="inlineStr">
        <is>
          <t>b95698cb2b294e6656ad89f313fab791</t>
        </is>
      </c>
      <c r="B1764" t="inlineStr">
        <is>
          <t>2017-11-20</t>
        </is>
      </c>
      <c r="C1764" t="inlineStr">
        <is>
          <t>2017-11</t>
        </is>
      </c>
      <c r="D1764" t="inlineStr">
        <is>
          <t>GO</t>
        </is>
      </c>
      <c r="E1764" t="inlineStr">
        <is>
          <t>housewares</t>
        </is>
      </c>
      <c r="F1764" t="n">
        <v>1</v>
      </c>
      <c r="G1764" t="n">
        <v>114.9</v>
      </c>
      <c r="H1764" t="n">
        <v>18.05</v>
      </c>
      <c r="I1764" t="inlineStr">
        <is>
          <t>credit_card</t>
        </is>
      </c>
      <c r="J1764" t="n">
        <v>22</v>
      </c>
      <c r="K1764" t="inlineStr">
        <is>
          <t>On Time</t>
        </is>
      </c>
      <c r="L1764" t="n">
        <v>5</v>
      </c>
      <c r="M1764">
        <f>VLOOKUP(D1764,State_Lookup!$A$2:$B$28,2,FALSE)</f>
        <v/>
      </c>
    </row>
    <row r="1765">
      <c r="A1765" t="inlineStr">
        <is>
          <t>81d7555ffbde7261c34dca2bc0c03a06</t>
        </is>
      </c>
      <c r="B1765" t="inlineStr">
        <is>
          <t>2017-11-20</t>
        </is>
      </c>
      <c r="C1765" t="inlineStr">
        <is>
          <t>2017-11</t>
        </is>
      </c>
      <c r="D1765" t="inlineStr">
        <is>
          <t>SP</t>
        </is>
      </c>
      <c r="E1765" t="inlineStr">
        <is>
          <t>computers_accessories</t>
        </is>
      </c>
      <c r="F1765" t="n">
        <v>1</v>
      </c>
      <c r="G1765" t="n">
        <v>169.99</v>
      </c>
      <c r="H1765" t="n">
        <v>13.32</v>
      </c>
      <c r="I1765" t="inlineStr">
        <is>
          <t>credit_card</t>
        </is>
      </c>
      <c r="J1765" t="n">
        <v>7</v>
      </c>
      <c r="K1765" t="inlineStr">
        <is>
          <t>On Time</t>
        </is>
      </c>
      <c r="L1765" t="n">
        <v>5</v>
      </c>
      <c r="M1765">
        <f>VLOOKUP(D1765,State_Lookup!$A$2:$B$28,2,FALSE)</f>
        <v/>
      </c>
    </row>
    <row r="1766">
      <c r="A1766" t="inlineStr">
        <is>
          <t>e1c810cb179481ffaa80d2cb9585933d</t>
        </is>
      </c>
      <c r="B1766" t="inlineStr">
        <is>
          <t>2017-11-21</t>
        </is>
      </c>
      <c r="C1766" t="inlineStr">
        <is>
          <t>2017-11</t>
        </is>
      </c>
      <c r="D1766" t="inlineStr">
        <is>
          <t>SP</t>
        </is>
      </c>
      <c r="E1766" t="inlineStr">
        <is>
          <t>furniture_decor</t>
        </is>
      </c>
      <c r="F1766" t="n">
        <v>1</v>
      </c>
      <c r="G1766" t="n">
        <v>39.9</v>
      </c>
      <c r="H1766" t="n">
        <v>15.11</v>
      </c>
      <c r="I1766" t="inlineStr">
        <is>
          <t>voucher</t>
        </is>
      </c>
      <c r="J1766" t="n">
        <v>2</v>
      </c>
      <c r="K1766" t="inlineStr">
        <is>
          <t>On Time</t>
        </is>
      </c>
      <c r="L1766" t="n">
        <v>5</v>
      </c>
      <c r="M1766">
        <f>VLOOKUP(D1766,State_Lookup!$A$2:$B$28,2,FALSE)</f>
        <v/>
      </c>
    </row>
    <row r="1767">
      <c r="A1767" t="inlineStr">
        <is>
          <t>6aa2fc0ec99ae145158d9f9f790ada82</t>
        </is>
      </c>
      <c r="B1767" t="inlineStr">
        <is>
          <t>2017-11-21</t>
        </is>
      </c>
      <c r="C1767" t="inlineStr">
        <is>
          <t>2017-11</t>
        </is>
      </c>
      <c r="D1767" t="inlineStr">
        <is>
          <t>MG</t>
        </is>
      </c>
      <c r="E1767" t="inlineStr">
        <is>
          <t>sports_leisure</t>
        </is>
      </c>
      <c r="F1767" t="n">
        <v>1</v>
      </c>
      <c r="G1767" t="n">
        <v>36</v>
      </c>
      <c r="H1767" t="n">
        <v>12.69</v>
      </c>
      <c r="I1767" t="inlineStr">
        <is>
          <t>boleto</t>
        </is>
      </c>
      <c r="J1767" t="n">
        <v>28</v>
      </c>
      <c r="K1767" t="inlineStr">
        <is>
          <t>Late</t>
        </is>
      </c>
      <c r="L1767" t="n">
        <v>3</v>
      </c>
      <c r="M1767">
        <f>VLOOKUP(D1767,State_Lookup!$A$2:$B$28,2,FALSE)</f>
        <v/>
      </c>
    </row>
    <row r="1768">
      <c r="A1768" t="inlineStr">
        <is>
          <t>a7b2dea846384ba7e7e9577dc8c5bd54</t>
        </is>
      </c>
      <c r="B1768" t="inlineStr">
        <is>
          <t>2017-11-21</t>
        </is>
      </c>
      <c r="C1768" t="inlineStr">
        <is>
          <t>2017-11</t>
        </is>
      </c>
      <c r="D1768" t="inlineStr">
        <is>
          <t>SP</t>
        </is>
      </c>
      <c r="E1768" t="inlineStr">
        <is>
          <t>housewares</t>
        </is>
      </c>
      <c r="F1768" t="n">
        <v>1</v>
      </c>
      <c r="G1768" t="n">
        <v>58.9</v>
      </c>
      <c r="H1768" t="n">
        <v>14.13</v>
      </c>
      <c r="I1768" t="inlineStr">
        <is>
          <t>credit_card</t>
        </is>
      </c>
      <c r="J1768" t="n">
        <v>6</v>
      </c>
      <c r="K1768" t="inlineStr">
        <is>
          <t>On Time</t>
        </is>
      </c>
      <c r="L1768" t="n">
        <v>5</v>
      </c>
      <c r="M1768">
        <f>VLOOKUP(D1768,State_Lookup!$A$2:$B$28,2,FALSE)</f>
        <v/>
      </c>
    </row>
    <row r="1769">
      <c r="A1769" t="inlineStr">
        <is>
          <t>c8cc1b9b063cd184da9dd5293346a11a</t>
        </is>
      </c>
      <c r="B1769" t="inlineStr">
        <is>
          <t>2017-11-21</t>
        </is>
      </c>
      <c r="C1769" t="inlineStr">
        <is>
          <t>2017-11</t>
        </is>
      </c>
      <c r="D1769" t="inlineStr">
        <is>
          <t>SP</t>
        </is>
      </c>
      <c r="E1769" t="inlineStr">
        <is>
          <t>baby</t>
        </is>
      </c>
      <c r="F1769" t="n">
        <v>2</v>
      </c>
      <c r="G1769" t="n">
        <v>59.8</v>
      </c>
      <c r="H1769" t="n">
        <v>23.7</v>
      </c>
      <c r="I1769" t="inlineStr">
        <is>
          <t>credit_card</t>
        </is>
      </c>
      <c r="J1769" t="n">
        <v>12</v>
      </c>
      <c r="K1769" t="inlineStr">
        <is>
          <t>On Time</t>
        </is>
      </c>
      <c r="L1769" t="n">
        <v>4</v>
      </c>
      <c r="M1769">
        <f>VLOOKUP(D1769,State_Lookup!$A$2:$B$28,2,FALSE)</f>
        <v/>
      </c>
    </row>
    <row r="1770">
      <c r="A1770" t="inlineStr">
        <is>
          <t>7d1ce7457c6de5e26ff0d58b395befb6</t>
        </is>
      </c>
      <c r="B1770" t="inlineStr">
        <is>
          <t>2017-11-21</t>
        </is>
      </c>
      <c r="C1770" t="inlineStr">
        <is>
          <t>2017-11</t>
        </is>
      </c>
      <c r="D1770" t="inlineStr">
        <is>
          <t>RS</t>
        </is>
      </c>
      <c r="E1770" t="inlineStr">
        <is>
          <t>kitchen_dining_laundry_garden_furniture</t>
        </is>
      </c>
      <c r="F1770" t="n">
        <v>1</v>
      </c>
      <c r="G1770" t="n">
        <v>43.9</v>
      </c>
      <c r="H1770" t="n">
        <v>25.19</v>
      </c>
      <c r="I1770" t="inlineStr">
        <is>
          <t>boleto</t>
        </is>
      </c>
      <c r="J1770" t="n">
        <v>20</v>
      </c>
      <c r="K1770" t="inlineStr">
        <is>
          <t>On Time</t>
        </is>
      </c>
      <c r="L1770" t="n">
        <v>4</v>
      </c>
      <c r="M1770">
        <f>VLOOKUP(D1770,State_Lookup!$A$2:$B$28,2,FALSE)</f>
        <v/>
      </c>
    </row>
    <row r="1771">
      <c r="A1771" t="inlineStr">
        <is>
          <t>46c820acb13d40759d9cf3941fb7a47d</t>
        </is>
      </c>
      <c r="B1771" t="inlineStr">
        <is>
          <t>2017-11-21</t>
        </is>
      </c>
      <c r="C1771" t="inlineStr">
        <is>
          <t>2017-11</t>
        </is>
      </c>
      <c r="D1771" t="inlineStr">
        <is>
          <t>RJ</t>
        </is>
      </c>
      <c r="E1771" t="inlineStr">
        <is>
          <t>garden_tools</t>
        </is>
      </c>
      <c r="F1771" t="n">
        <v>1</v>
      </c>
      <c r="G1771" t="n">
        <v>59.9</v>
      </c>
      <c r="H1771" t="n">
        <v>17.67</v>
      </c>
      <c r="I1771" t="inlineStr">
        <is>
          <t>credit_card</t>
        </is>
      </c>
      <c r="J1771" t="n">
        <v>17</v>
      </c>
      <c r="K1771" t="inlineStr">
        <is>
          <t>On Time</t>
        </is>
      </c>
      <c r="L1771" t="n">
        <v>5</v>
      </c>
      <c r="M1771">
        <f>VLOOKUP(D1771,State_Lookup!$A$2:$B$28,2,FALSE)</f>
        <v/>
      </c>
    </row>
    <row r="1772">
      <c r="A1772" t="inlineStr">
        <is>
          <t>61ef5e0982e79d6bdb7d3734b7ed8df7</t>
        </is>
      </c>
      <c r="B1772" t="inlineStr">
        <is>
          <t>2017-11-21</t>
        </is>
      </c>
      <c r="C1772" t="inlineStr">
        <is>
          <t>2017-11</t>
        </is>
      </c>
      <c r="D1772" t="inlineStr">
        <is>
          <t>MG</t>
        </is>
      </c>
      <c r="E1772" t="inlineStr">
        <is>
          <t>bed_bath_table</t>
        </is>
      </c>
      <c r="F1772" t="n">
        <v>1</v>
      </c>
      <c r="G1772" t="n">
        <v>114.9</v>
      </c>
      <c r="H1772" t="n">
        <v>18.05</v>
      </c>
      <c r="I1772" t="inlineStr">
        <is>
          <t>credit_card</t>
        </is>
      </c>
      <c r="J1772" t="n">
        <v>7</v>
      </c>
      <c r="K1772" t="inlineStr">
        <is>
          <t>On Time</t>
        </is>
      </c>
      <c r="L1772" t="n">
        <v>4</v>
      </c>
      <c r="M1772">
        <f>VLOOKUP(D1772,State_Lookup!$A$2:$B$28,2,FALSE)</f>
        <v/>
      </c>
    </row>
    <row r="1773">
      <c r="A1773" t="inlineStr">
        <is>
          <t>a9b4d68c2c9921f6475ffb650b6c41bd</t>
        </is>
      </c>
      <c r="B1773" t="inlineStr">
        <is>
          <t>2017-11-21</t>
        </is>
      </c>
      <c r="C1773" t="inlineStr">
        <is>
          <t>2017-11</t>
        </is>
      </c>
      <c r="D1773" t="inlineStr">
        <is>
          <t>SP</t>
        </is>
      </c>
      <c r="E1773" t="inlineStr">
        <is>
          <t>housewares</t>
        </is>
      </c>
      <c r="F1773" t="n">
        <v>1</v>
      </c>
      <c r="G1773" t="n">
        <v>12.99</v>
      </c>
      <c r="H1773" t="n">
        <v>11.73</v>
      </c>
      <c r="I1773" t="inlineStr">
        <is>
          <t>boleto</t>
        </is>
      </c>
      <c r="J1773" t="n">
        <v>10</v>
      </c>
      <c r="K1773" t="inlineStr">
        <is>
          <t>On Time</t>
        </is>
      </c>
      <c r="L1773" t="n">
        <v>5</v>
      </c>
      <c r="M1773">
        <f>VLOOKUP(D1773,State_Lookup!$A$2:$B$28,2,FALSE)</f>
        <v/>
      </c>
    </row>
    <row r="1774">
      <c r="A1774" t="inlineStr">
        <is>
          <t>52ed4ea43ae701531f7a3a18b16783f8</t>
        </is>
      </c>
      <c r="B1774" t="inlineStr">
        <is>
          <t>2017-11-21</t>
        </is>
      </c>
      <c r="C1774" t="inlineStr">
        <is>
          <t>2017-11</t>
        </is>
      </c>
      <c r="D1774" t="inlineStr">
        <is>
          <t>SP</t>
        </is>
      </c>
      <c r="E1774" t="inlineStr">
        <is>
          <t>telephony</t>
        </is>
      </c>
      <c r="F1774" t="n">
        <v>1</v>
      </c>
      <c r="G1774" t="n">
        <v>19.9</v>
      </c>
      <c r="H1774" t="n">
        <v>7.78</v>
      </c>
      <c r="I1774" t="inlineStr">
        <is>
          <t>credit_card</t>
        </is>
      </c>
      <c r="J1774" t="n">
        <v>6</v>
      </c>
      <c r="K1774" t="inlineStr">
        <is>
          <t>On Time</t>
        </is>
      </c>
      <c r="L1774" t="n">
        <v>5</v>
      </c>
      <c r="M1774">
        <f>VLOOKUP(D1774,State_Lookup!$A$2:$B$28,2,FALSE)</f>
        <v/>
      </c>
    </row>
    <row r="1775">
      <c r="A1775" t="inlineStr">
        <is>
          <t>82905f4b411a687464762216db4424b2</t>
        </is>
      </c>
      <c r="B1775" t="inlineStr">
        <is>
          <t>2017-11-21</t>
        </is>
      </c>
      <c r="C1775" t="inlineStr">
        <is>
          <t>2017-11</t>
        </is>
      </c>
      <c r="D1775" t="inlineStr">
        <is>
          <t>SC</t>
        </is>
      </c>
      <c r="E1775" t="inlineStr">
        <is>
          <t>unknown</t>
        </is>
      </c>
      <c r="F1775" t="n">
        <v>1</v>
      </c>
      <c r="G1775" t="n">
        <v>122.99</v>
      </c>
      <c r="H1775" t="n">
        <v>15.61</v>
      </c>
      <c r="I1775" t="inlineStr">
        <is>
          <t>credit_card</t>
        </is>
      </c>
      <c r="J1775" t="n">
        <v>27</v>
      </c>
      <c r="K1775" t="inlineStr">
        <is>
          <t>Late</t>
        </is>
      </c>
      <c r="L1775" t="n">
        <v>1</v>
      </c>
      <c r="M1775">
        <f>VLOOKUP(D1775,State_Lookup!$A$2:$B$28,2,FALSE)</f>
        <v/>
      </c>
    </row>
    <row r="1776">
      <c r="A1776" t="inlineStr">
        <is>
          <t>182b04723eb5306a7d96bdec43fbd51e</t>
        </is>
      </c>
      <c r="B1776" t="inlineStr">
        <is>
          <t>2017-11-21</t>
        </is>
      </c>
      <c r="C1776" t="inlineStr">
        <is>
          <t>2017-11</t>
        </is>
      </c>
      <c r="D1776" t="inlineStr">
        <is>
          <t>MG</t>
        </is>
      </c>
      <c r="E1776" t="inlineStr">
        <is>
          <t>pet_shop</t>
        </is>
      </c>
      <c r="F1776" t="n">
        <v>2</v>
      </c>
      <c r="G1776" t="n">
        <v>110</v>
      </c>
      <c r="H1776" t="n">
        <v>33.66</v>
      </c>
      <c r="I1776" t="inlineStr">
        <is>
          <t>credit_card</t>
        </is>
      </c>
      <c r="J1776" t="n">
        <v>14</v>
      </c>
      <c r="K1776" t="inlineStr">
        <is>
          <t>On Time</t>
        </is>
      </c>
      <c r="L1776" t="n">
        <v>4</v>
      </c>
      <c r="M1776">
        <f>VLOOKUP(D1776,State_Lookup!$A$2:$B$28,2,FALSE)</f>
        <v/>
      </c>
    </row>
    <row r="1777">
      <c r="A1777" t="inlineStr">
        <is>
          <t>13430fd38aeb09240481e4aade4a19fc</t>
        </is>
      </c>
      <c r="B1777" t="inlineStr">
        <is>
          <t>2017-11-21</t>
        </is>
      </c>
      <c r="C1777" t="inlineStr">
        <is>
          <t>2017-11</t>
        </is>
      </c>
      <c r="D1777" t="inlineStr">
        <is>
          <t>MG</t>
        </is>
      </c>
      <c r="E1777" t="inlineStr">
        <is>
          <t>fashion_bags_accessories</t>
        </is>
      </c>
      <c r="F1777" t="n">
        <v>1</v>
      </c>
      <c r="G1777" t="n">
        <v>28.9</v>
      </c>
      <c r="H1777" t="n">
        <v>15.1</v>
      </c>
      <c r="I1777" t="inlineStr">
        <is>
          <t>credit_card</t>
        </is>
      </c>
      <c r="J1777" t="n">
        <v>8</v>
      </c>
      <c r="K1777" t="inlineStr">
        <is>
          <t>On Time</t>
        </is>
      </c>
      <c r="L1777" t="n">
        <v>5</v>
      </c>
      <c r="M1777">
        <f>VLOOKUP(D1777,State_Lookup!$A$2:$B$28,2,FALSE)</f>
        <v/>
      </c>
    </row>
    <row r="1778">
      <c r="A1778" t="inlineStr">
        <is>
          <t>2ef02afb7f805f2864894d1477e29443</t>
        </is>
      </c>
      <c r="B1778" t="inlineStr">
        <is>
          <t>2017-11-21</t>
        </is>
      </c>
      <c r="C1778" t="inlineStr">
        <is>
          <t>2017-11</t>
        </is>
      </c>
      <c r="D1778" t="inlineStr">
        <is>
          <t>SP</t>
        </is>
      </c>
      <c r="E1778" t="inlineStr">
        <is>
          <t>sports_leisure</t>
        </is>
      </c>
      <c r="F1778" t="n">
        <v>1</v>
      </c>
      <c r="G1778" t="n">
        <v>51.99</v>
      </c>
      <c r="H1778" t="n">
        <v>13.51</v>
      </c>
      <c r="I1778" t="inlineStr">
        <is>
          <t>credit_card</t>
        </is>
      </c>
      <c r="J1778" t="n">
        <v>5</v>
      </c>
      <c r="K1778" t="inlineStr">
        <is>
          <t>On Time</t>
        </is>
      </c>
      <c r="L1778" t="n">
        <v>3</v>
      </c>
      <c r="M1778">
        <f>VLOOKUP(D1778,State_Lookup!$A$2:$B$28,2,FALSE)</f>
        <v/>
      </c>
    </row>
    <row r="1779">
      <c r="A1779" t="inlineStr">
        <is>
          <t>4fee0b89c704a8bb6a4431a63025b6da</t>
        </is>
      </c>
      <c r="B1779" t="inlineStr">
        <is>
          <t>2017-11-21</t>
        </is>
      </c>
      <c r="C1779" t="inlineStr">
        <is>
          <t>2017-11</t>
        </is>
      </c>
      <c r="D1779" t="inlineStr">
        <is>
          <t>SP</t>
        </is>
      </c>
      <c r="E1779" t="inlineStr">
        <is>
          <t>sports_leisure</t>
        </is>
      </c>
      <c r="F1779" t="n">
        <v>1</v>
      </c>
      <c r="G1779" t="n">
        <v>219.9</v>
      </c>
      <c r="H1779" t="n">
        <v>23.86</v>
      </c>
      <c r="I1779" t="inlineStr">
        <is>
          <t>credit_card</t>
        </is>
      </c>
      <c r="J1779" t="n">
        <v>15</v>
      </c>
      <c r="K1779" t="inlineStr">
        <is>
          <t>On Time</t>
        </is>
      </c>
      <c r="L1779" t="n">
        <v>5</v>
      </c>
      <c r="M1779">
        <f>VLOOKUP(D1779,State_Lookup!$A$2:$B$28,2,FALSE)</f>
        <v/>
      </c>
    </row>
    <row r="1780">
      <c r="A1780" t="inlineStr">
        <is>
          <t>f4e085544efde9d6743c281b3454a482</t>
        </is>
      </c>
      <c r="B1780" t="inlineStr">
        <is>
          <t>2017-11-21</t>
        </is>
      </c>
      <c r="C1780" t="inlineStr">
        <is>
          <t>2017-11</t>
        </is>
      </c>
      <c r="D1780" t="inlineStr">
        <is>
          <t>SP</t>
        </is>
      </c>
      <c r="E1780" t="inlineStr">
        <is>
          <t>telephony</t>
        </is>
      </c>
      <c r="F1780" t="n">
        <v>1</v>
      </c>
      <c r="G1780" t="n">
        <v>43.99</v>
      </c>
      <c r="H1780" t="n">
        <v>7.78</v>
      </c>
      <c r="I1780" t="inlineStr">
        <is>
          <t>credit_card</t>
        </is>
      </c>
      <c r="J1780" t="n">
        <v>2</v>
      </c>
      <c r="K1780" t="inlineStr">
        <is>
          <t>On Time</t>
        </is>
      </c>
      <c r="L1780" t="n">
        <v>5</v>
      </c>
      <c r="M1780">
        <f>VLOOKUP(D1780,State_Lookup!$A$2:$B$28,2,FALSE)</f>
        <v/>
      </c>
    </row>
    <row r="1781">
      <c r="A1781" t="inlineStr">
        <is>
          <t>3a70ea20517224ef5bcb72742f0cc439</t>
        </is>
      </c>
      <c r="B1781" t="inlineStr">
        <is>
          <t>2017-11-21</t>
        </is>
      </c>
      <c r="C1781" t="inlineStr">
        <is>
          <t>2017-11</t>
        </is>
      </c>
      <c r="D1781" t="inlineStr">
        <is>
          <t>RJ</t>
        </is>
      </c>
      <c r="E1781" t="inlineStr">
        <is>
          <t>bed_bath_table</t>
        </is>
      </c>
      <c r="F1781" t="n">
        <v>1</v>
      </c>
      <c r="G1781" t="n">
        <v>105.9</v>
      </c>
      <c r="H1781" t="n">
        <v>17.99</v>
      </c>
      <c r="I1781" t="inlineStr">
        <is>
          <t>boleto</t>
        </is>
      </c>
      <c r="J1781" t="n">
        <v>27</v>
      </c>
      <c r="K1781" t="inlineStr">
        <is>
          <t>Late</t>
        </is>
      </c>
      <c r="L1781" t="n">
        <v>1</v>
      </c>
      <c r="M1781">
        <f>VLOOKUP(D1781,State_Lookup!$A$2:$B$28,2,FALSE)</f>
        <v/>
      </c>
    </row>
    <row r="1782">
      <c r="A1782" t="inlineStr">
        <is>
          <t>47a53fe6f92821c8b0ecd40dedee5d6a</t>
        </is>
      </c>
      <c r="B1782" t="inlineStr">
        <is>
          <t>2017-11-22</t>
        </is>
      </c>
      <c r="C1782" t="inlineStr">
        <is>
          <t>2017-11</t>
        </is>
      </c>
      <c r="D1782" t="inlineStr">
        <is>
          <t>DF</t>
        </is>
      </c>
      <c r="E1782" t="inlineStr">
        <is>
          <t>computers_accessories</t>
        </is>
      </c>
      <c r="F1782" t="n">
        <v>1</v>
      </c>
      <c r="G1782" t="n">
        <v>759.9</v>
      </c>
      <c r="H1782" t="n">
        <v>30.6</v>
      </c>
      <c r="I1782" t="inlineStr">
        <is>
          <t>credit_card</t>
        </is>
      </c>
      <c r="J1782" t="n">
        <v>7</v>
      </c>
      <c r="K1782" t="inlineStr">
        <is>
          <t>On Time</t>
        </is>
      </c>
      <c r="L1782" t="n">
        <v>5</v>
      </c>
      <c r="M1782">
        <f>VLOOKUP(D1782,State_Lookup!$A$2:$B$28,2,FALSE)</f>
        <v/>
      </c>
    </row>
    <row r="1783">
      <c r="A1783" t="inlineStr">
        <is>
          <t>e8c9b0d66cadc26a3f329d777f0eff7f</t>
        </is>
      </c>
      <c r="B1783" t="inlineStr">
        <is>
          <t>2017-11-22</t>
        </is>
      </c>
      <c r="C1783" t="inlineStr">
        <is>
          <t>2017-11</t>
        </is>
      </c>
      <c r="D1783" t="inlineStr">
        <is>
          <t>BA</t>
        </is>
      </c>
      <c r="E1783" t="inlineStr">
        <is>
          <t>books_general_interest</t>
        </is>
      </c>
      <c r="F1783" t="n">
        <v>1</v>
      </c>
      <c r="G1783" t="n">
        <v>29.9</v>
      </c>
      <c r="H1783" t="n">
        <v>25.63</v>
      </c>
      <c r="I1783" t="inlineStr">
        <is>
          <t>credit_card</t>
        </is>
      </c>
      <c r="J1783" t="n">
        <v>19</v>
      </c>
      <c r="K1783" t="inlineStr">
        <is>
          <t>On Time</t>
        </is>
      </c>
      <c r="L1783" t="n">
        <v>5</v>
      </c>
      <c r="M1783">
        <f>VLOOKUP(D1783,State_Lookup!$A$2:$B$28,2,FALSE)</f>
        <v/>
      </c>
    </row>
    <row r="1784">
      <c r="A1784" t="inlineStr">
        <is>
          <t>bbd1b9ebbc5a09d51caaa2d10e0f93b5</t>
        </is>
      </c>
      <c r="B1784" t="inlineStr">
        <is>
          <t>2017-11-22</t>
        </is>
      </c>
      <c r="C1784" t="inlineStr">
        <is>
          <t>2017-11</t>
        </is>
      </c>
      <c r="D1784" t="inlineStr">
        <is>
          <t>PR</t>
        </is>
      </c>
      <c r="E1784" t="inlineStr">
        <is>
          <t>housewares</t>
        </is>
      </c>
      <c r="F1784" t="n">
        <v>1</v>
      </c>
      <c r="G1784" t="n">
        <v>72</v>
      </c>
      <c r="H1784" t="n">
        <v>14.25</v>
      </c>
      <c r="I1784" t="inlineStr">
        <is>
          <t>credit_card</t>
        </is>
      </c>
      <c r="J1784" t="n">
        <v>34</v>
      </c>
      <c r="K1784" t="inlineStr">
        <is>
          <t>Late</t>
        </is>
      </c>
      <c r="L1784" t="n">
        <v>2</v>
      </c>
      <c r="M1784">
        <f>VLOOKUP(D1784,State_Lookup!$A$2:$B$28,2,FALSE)</f>
        <v/>
      </c>
    </row>
    <row r="1785">
      <c r="A1785" t="inlineStr">
        <is>
          <t>e801a93b3904ca9e8350f176a037047b</t>
        </is>
      </c>
      <c r="B1785" t="inlineStr">
        <is>
          <t>2017-11-22</t>
        </is>
      </c>
      <c r="C1785" t="inlineStr">
        <is>
          <t>2017-11</t>
        </is>
      </c>
      <c r="D1785" t="inlineStr">
        <is>
          <t>MG</t>
        </is>
      </c>
      <c r="E1785" t="inlineStr">
        <is>
          <t>watches_gifts</t>
        </is>
      </c>
      <c r="F1785" t="n">
        <v>1</v>
      </c>
      <c r="G1785" t="n">
        <v>29</v>
      </c>
      <c r="H1785" t="n">
        <v>15.1</v>
      </c>
      <c r="I1785" t="inlineStr">
        <is>
          <t>credit_card</t>
        </is>
      </c>
      <c r="J1785" t="n">
        <v>9</v>
      </c>
      <c r="K1785" t="inlineStr">
        <is>
          <t>On Time</t>
        </is>
      </c>
      <c r="L1785" t="n">
        <v>5</v>
      </c>
      <c r="M1785">
        <f>VLOOKUP(D1785,State_Lookup!$A$2:$B$28,2,FALSE)</f>
        <v/>
      </c>
    </row>
    <row r="1786">
      <c r="A1786" t="inlineStr">
        <is>
          <t>a92733241b636a8ffddd05c56714d32d</t>
        </is>
      </c>
      <c r="B1786" t="inlineStr">
        <is>
          <t>2017-11-22</t>
        </is>
      </c>
      <c r="C1786" t="inlineStr">
        <is>
          <t>2017-11</t>
        </is>
      </c>
      <c r="D1786" t="inlineStr">
        <is>
          <t>MA</t>
        </is>
      </c>
      <c r="E1786" t="inlineStr">
        <is>
          <t>computers_accessories</t>
        </is>
      </c>
      <c r="F1786" t="n">
        <v>1</v>
      </c>
      <c r="G1786" t="n">
        <v>31.9</v>
      </c>
      <c r="H1786" t="n">
        <v>34.15</v>
      </c>
      <c r="I1786" t="inlineStr">
        <is>
          <t>credit_card</t>
        </is>
      </c>
      <c r="J1786" t="n">
        <v>14</v>
      </c>
      <c r="K1786" t="inlineStr">
        <is>
          <t>On Time</t>
        </is>
      </c>
      <c r="L1786" t="n">
        <v>5</v>
      </c>
      <c r="M1786">
        <f>VLOOKUP(D1786,State_Lookup!$A$2:$B$28,2,FALSE)</f>
        <v/>
      </c>
    </row>
    <row r="1787">
      <c r="A1787" t="inlineStr">
        <is>
          <t>994486484c66c852cd60fed6ff0da2f9</t>
        </is>
      </c>
      <c r="B1787" t="inlineStr">
        <is>
          <t>2017-11-22</t>
        </is>
      </c>
      <c r="C1787" t="inlineStr">
        <is>
          <t>2017-11</t>
        </is>
      </c>
      <c r="D1787" t="inlineStr">
        <is>
          <t>RJ</t>
        </is>
      </c>
      <c r="E1787" t="inlineStr">
        <is>
          <t>garden_tools</t>
        </is>
      </c>
      <c r="F1787" t="n">
        <v>1</v>
      </c>
      <c r="G1787" t="n">
        <v>59.9</v>
      </c>
      <c r="H1787" t="n">
        <v>17.67</v>
      </c>
      <c r="I1787" t="inlineStr">
        <is>
          <t>boleto</t>
        </is>
      </c>
      <c r="J1787" t="n">
        <v>25</v>
      </c>
      <c r="K1787" t="inlineStr">
        <is>
          <t>Late</t>
        </is>
      </c>
      <c r="L1787" t="n">
        <v>1</v>
      </c>
      <c r="M1787">
        <f>VLOOKUP(D1787,State_Lookup!$A$2:$B$28,2,FALSE)</f>
        <v/>
      </c>
    </row>
    <row r="1788">
      <c r="A1788" t="inlineStr">
        <is>
          <t>4c1fd23882ba19dd4163989a484ad75c</t>
        </is>
      </c>
      <c r="B1788" t="inlineStr">
        <is>
          <t>2017-11-22</t>
        </is>
      </c>
      <c r="C1788" t="inlineStr">
        <is>
          <t>2017-11</t>
        </is>
      </c>
      <c r="D1788" t="inlineStr">
        <is>
          <t>CE</t>
        </is>
      </c>
      <c r="E1788" t="inlineStr">
        <is>
          <t>auto</t>
        </is>
      </c>
      <c r="F1788" t="n">
        <v>2</v>
      </c>
      <c r="G1788" t="n">
        <v>103.8</v>
      </c>
      <c r="H1788" t="n">
        <v>51.28</v>
      </c>
      <c r="I1788" t="inlineStr">
        <is>
          <t>credit_card</t>
        </is>
      </c>
      <c r="J1788" t="n">
        <v>16</v>
      </c>
      <c r="K1788" t="inlineStr">
        <is>
          <t>On Time</t>
        </is>
      </c>
      <c r="L1788" t="n">
        <v>5</v>
      </c>
      <c r="M1788">
        <f>VLOOKUP(D1788,State_Lookup!$A$2:$B$28,2,FALSE)</f>
        <v/>
      </c>
    </row>
    <row r="1789">
      <c r="A1789" t="inlineStr">
        <is>
          <t>6a0a8bfbbe700284feb0845d95e0867f</t>
        </is>
      </c>
      <c r="B1789" t="inlineStr">
        <is>
          <t>2017-11-22</t>
        </is>
      </c>
      <c r="C1789" t="inlineStr">
        <is>
          <t>2017-11</t>
        </is>
      </c>
      <c r="D1789" t="inlineStr">
        <is>
          <t>RJ</t>
        </is>
      </c>
      <c r="E1789" t="inlineStr">
        <is>
          <t>furniture_decor</t>
        </is>
      </c>
      <c r="F1789" t="n">
        <v>1</v>
      </c>
      <c r="G1789" t="n">
        <v>83.90000000000001</v>
      </c>
      <c r="H1789" t="n">
        <v>17.84</v>
      </c>
      <c r="I1789" t="inlineStr">
        <is>
          <t>credit_card</t>
        </is>
      </c>
      <c r="J1789" t="n">
        <v>36</v>
      </c>
      <c r="K1789" t="inlineStr">
        <is>
          <t>Late</t>
        </is>
      </c>
      <c r="L1789" t="n">
        <v>1</v>
      </c>
      <c r="M1789">
        <f>VLOOKUP(D1789,State_Lookup!$A$2:$B$28,2,FALSE)</f>
        <v/>
      </c>
    </row>
    <row r="1790">
      <c r="A1790" t="inlineStr">
        <is>
          <t>e21f5c7662bfd911118d391867417f49</t>
        </is>
      </c>
      <c r="B1790" t="inlineStr">
        <is>
          <t>2017-11-22</t>
        </is>
      </c>
      <c r="C1790" t="inlineStr">
        <is>
          <t>2017-11</t>
        </is>
      </c>
      <c r="D1790" t="inlineStr">
        <is>
          <t>MG</t>
        </is>
      </c>
      <c r="E1790" t="inlineStr">
        <is>
          <t>sports_leisure</t>
        </is>
      </c>
      <c r="F1790" t="n">
        <v>1</v>
      </c>
      <c r="G1790" t="n">
        <v>139</v>
      </c>
      <c r="H1790" t="n">
        <v>18.54</v>
      </c>
      <c r="I1790" t="inlineStr">
        <is>
          <t>credit_card</t>
        </is>
      </c>
      <c r="J1790" t="n">
        <v>14</v>
      </c>
      <c r="K1790" t="inlineStr">
        <is>
          <t>On Time</t>
        </is>
      </c>
      <c r="L1790" t="n">
        <v>3</v>
      </c>
      <c r="M1790">
        <f>VLOOKUP(D1790,State_Lookup!$A$2:$B$28,2,FALSE)</f>
        <v/>
      </c>
    </row>
    <row r="1791">
      <c r="A1791" t="inlineStr">
        <is>
          <t>4382b2408a28f4f8ab2a7012590b6287</t>
        </is>
      </c>
      <c r="B1791" t="inlineStr">
        <is>
          <t>2017-11-22</t>
        </is>
      </c>
      <c r="C1791" t="inlineStr">
        <is>
          <t>2017-11</t>
        </is>
      </c>
      <c r="D1791" t="inlineStr">
        <is>
          <t>SP</t>
        </is>
      </c>
      <c r="E1791" t="inlineStr">
        <is>
          <t>perfumery</t>
        </is>
      </c>
      <c r="F1791" t="n">
        <v>1</v>
      </c>
      <c r="G1791" t="n">
        <v>53.99</v>
      </c>
      <c r="H1791" t="n">
        <v>7.78</v>
      </c>
      <c r="I1791" t="inlineStr">
        <is>
          <t>boleto</t>
        </is>
      </c>
      <c r="J1791" t="n">
        <v>5</v>
      </c>
      <c r="K1791" t="inlineStr">
        <is>
          <t>On Time</t>
        </is>
      </c>
      <c r="L1791" t="n">
        <v>5</v>
      </c>
      <c r="M1791">
        <f>VLOOKUP(D1791,State_Lookup!$A$2:$B$28,2,FALSE)</f>
        <v/>
      </c>
    </row>
    <row r="1792">
      <c r="A1792" t="inlineStr">
        <is>
          <t>96130f6fd199488da9de47d29027d10c</t>
        </is>
      </c>
      <c r="B1792" t="inlineStr">
        <is>
          <t>2017-11-22</t>
        </is>
      </c>
      <c r="C1792" t="inlineStr">
        <is>
          <t>2017-11</t>
        </is>
      </c>
      <c r="D1792" t="inlineStr">
        <is>
          <t>MG</t>
        </is>
      </c>
      <c r="E1792" t="inlineStr">
        <is>
          <t>housewares</t>
        </is>
      </c>
      <c r="F1792" t="n">
        <v>1</v>
      </c>
      <c r="G1792" t="n">
        <v>799</v>
      </c>
      <c r="H1792" t="n">
        <v>19.32</v>
      </c>
      <c r="I1792" t="inlineStr">
        <is>
          <t>credit_card</t>
        </is>
      </c>
      <c r="J1792" t="n">
        <v>7</v>
      </c>
      <c r="K1792" t="inlineStr">
        <is>
          <t>On Time</t>
        </is>
      </c>
      <c r="L1792" t="n">
        <v>5</v>
      </c>
      <c r="M1792">
        <f>VLOOKUP(D1792,State_Lookup!$A$2:$B$28,2,FALSE)</f>
        <v/>
      </c>
    </row>
    <row r="1793">
      <c r="A1793" t="inlineStr">
        <is>
          <t>788688f686c6ef04e7eb60e4ba103ffd</t>
        </is>
      </c>
      <c r="B1793" t="inlineStr">
        <is>
          <t>2017-11-22</t>
        </is>
      </c>
      <c r="C1793" t="inlineStr">
        <is>
          <t>2017-11</t>
        </is>
      </c>
      <c r="D1793" t="inlineStr">
        <is>
          <t>PB</t>
        </is>
      </c>
      <c r="E1793" t="inlineStr">
        <is>
          <t>fixed_telephony</t>
        </is>
      </c>
      <c r="F1793" t="n">
        <v>1</v>
      </c>
      <c r="G1793" t="n">
        <v>249</v>
      </c>
      <c r="H1793" t="n">
        <v>24.06</v>
      </c>
      <c r="I1793" t="inlineStr">
        <is>
          <t>boleto</t>
        </is>
      </c>
      <c r="J1793" t="n">
        <v>19</v>
      </c>
      <c r="K1793" t="inlineStr">
        <is>
          <t>On Time</t>
        </is>
      </c>
      <c r="L1793" t="n">
        <v>5</v>
      </c>
      <c r="M1793">
        <f>VLOOKUP(D1793,State_Lookup!$A$2:$B$28,2,FALSE)</f>
        <v/>
      </c>
    </row>
    <row r="1794">
      <c r="A1794" t="inlineStr">
        <is>
          <t>6ed3f553337457d7804e8c39b580ce89</t>
        </is>
      </c>
      <c r="B1794" t="inlineStr">
        <is>
          <t>2017-11-22</t>
        </is>
      </c>
      <c r="C1794" t="inlineStr">
        <is>
          <t>2017-11</t>
        </is>
      </c>
      <c r="D1794" t="inlineStr">
        <is>
          <t>SP</t>
        </is>
      </c>
      <c r="E1794" t="inlineStr">
        <is>
          <t>bed_bath_table</t>
        </is>
      </c>
      <c r="F1794" t="n">
        <v>1</v>
      </c>
      <c r="G1794" t="n">
        <v>99.90000000000001</v>
      </c>
      <c r="H1794" t="n">
        <v>13.72</v>
      </c>
      <c r="I1794" t="inlineStr">
        <is>
          <t>credit_card</t>
        </is>
      </c>
      <c r="J1794" t="n">
        <v>9</v>
      </c>
      <c r="K1794" t="inlineStr">
        <is>
          <t>On Time</t>
        </is>
      </c>
      <c r="L1794" t="n">
        <v>3</v>
      </c>
      <c r="M1794">
        <f>VLOOKUP(D1794,State_Lookup!$A$2:$B$28,2,FALSE)</f>
        <v/>
      </c>
    </row>
    <row r="1795">
      <c r="A1795" t="inlineStr">
        <is>
          <t>871785b214cc8a90e501c4a4200f25e4</t>
        </is>
      </c>
      <c r="B1795" t="inlineStr">
        <is>
          <t>2017-11-22</t>
        </is>
      </c>
      <c r="C1795" t="inlineStr">
        <is>
          <t>2017-11</t>
        </is>
      </c>
      <c r="D1795" t="inlineStr">
        <is>
          <t>SP</t>
        </is>
      </c>
      <c r="E1795" t="inlineStr">
        <is>
          <t>watches_gifts</t>
        </is>
      </c>
      <c r="F1795" t="n">
        <v>1</v>
      </c>
      <c r="G1795" t="n">
        <v>55</v>
      </c>
      <c r="H1795" t="n">
        <v>7.78</v>
      </c>
      <c r="I1795" t="inlineStr">
        <is>
          <t>credit_card</t>
        </is>
      </c>
      <c r="J1795" t="n">
        <v>6</v>
      </c>
      <c r="K1795" t="inlineStr">
        <is>
          <t>On Time</t>
        </is>
      </c>
      <c r="L1795" t="n">
        <v>1</v>
      </c>
      <c r="M1795">
        <f>VLOOKUP(D1795,State_Lookup!$A$2:$B$28,2,FALSE)</f>
        <v/>
      </c>
    </row>
    <row r="1796">
      <c r="A1796" t="inlineStr">
        <is>
          <t>53619dd8d4a6a651b7e864560eb84fa6</t>
        </is>
      </c>
      <c r="B1796" t="inlineStr">
        <is>
          <t>2017-11-23</t>
        </is>
      </c>
      <c r="C1796" t="inlineStr">
        <is>
          <t>2017-11</t>
        </is>
      </c>
      <c r="D1796" t="inlineStr">
        <is>
          <t>CE</t>
        </is>
      </c>
      <c r="E1796" t="inlineStr">
        <is>
          <t>toys</t>
        </is>
      </c>
      <c r="F1796" t="n">
        <v>1</v>
      </c>
      <c r="G1796" t="n">
        <v>99.98999999999999</v>
      </c>
      <c r="H1796" t="n">
        <v>21.5</v>
      </c>
      <c r="I1796" t="inlineStr">
        <is>
          <t>credit_card</t>
        </is>
      </c>
      <c r="J1796" t="n">
        <v>29</v>
      </c>
      <c r="K1796" t="inlineStr">
        <is>
          <t>Late</t>
        </is>
      </c>
      <c r="L1796" t="n">
        <v>1</v>
      </c>
      <c r="M1796">
        <f>VLOOKUP(D1796,State_Lookup!$A$2:$B$28,2,FALSE)</f>
        <v/>
      </c>
    </row>
    <row r="1797">
      <c r="A1797" t="inlineStr">
        <is>
          <t>0953ccb40a8fb30d5fd5ce0c06bbf4ad</t>
        </is>
      </c>
      <c r="B1797" t="inlineStr">
        <is>
          <t>2017-11-23</t>
        </is>
      </c>
      <c r="C1797" t="inlineStr">
        <is>
          <t>2017-11</t>
        </is>
      </c>
      <c r="D1797" t="inlineStr">
        <is>
          <t>RJ</t>
        </is>
      </c>
      <c r="E1797" t="inlineStr">
        <is>
          <t>perfumery</t>
        </is>
      </c>
      <c r="F1797" t="n">
        <v>1</v>
      </c>
      <c r="G1797" t="n">
        <v>84.98999999999999</v>
      </c>
      <c r="H1797" t="n">
        <v>15.35</v>
      </c>
      <c r="I1797" t="inlineStr">
        <is>
          <t>credit_card</t>
        </is>
      </c>
      <c r="J1797" t="n">
        <v>6</v>
      </c>
      <c r="K1797" t="inlineStr">
        <is>
          <t>On Time</t>
        </is>
      </c>
      <c r="L1797" t="n">
        <v>5</v>
      </c>
      <c r="M1797">
        <f>VLOOKUP(D1797,State_Lookup!$A$2:$B$28,2,FALSE)</f>
        <v/>
      </c>
    </row>
    <row r="1798">
      <c r="A1798" t="inlineStr">
        <is>
          <t>3a50c763032329859ffb4b2812960c7d</t>
        </is>
      </c>
      <c r="B1798" t="inlineStr">
        <is>
          <t>2017-11-23</t>
        </is>
      </c>
      <c r="C1798" t="inlineStr">
        <is>
          <t>2017-11</t>
        </is>
      </c>
      <c r="D1798" t="inlineStr">
        <is>
          <t>MG</t>
        </is>
      </c>
      <c r="E1798" t="inlineStr">
        <is>
          <t>bed_bath_table</t>
        </is>
      </c>
      <c r="F1798" t="n">
        <v>1</v>
      </c>
      <c r="G1798" t="n">
        <v>39.99</v>
      </c>
      <c r="H1798" t="n">
        <v>15.1</v>
      </c>
      <c r="I1798" t="inlineStr">
        <is>
          <t>boleto</t>
        </is>
      </c>
      <c r="J1798" t="n">
        <v>20</v>
      </c>
      <c r="K1798" t="inlineStr">
        <is>
          <t>On Time</t>
        </is>
      </c>
      <c r="L1798" t="n">
        <v>5</v>
      </c>
      <c r="M1798">
        <f>VLOOKUP(D1798,State_Lookup!$A$2:$B$28,2,FALSE)</f>
        <v/>
      </c>
    </row>
    <row r="1799">
      <c r="A1799" t="inlineStr">
        <is>
          <t>dbdd3beb8869ae263445924f3f08a695</t>
        </is>
      </c>
      <c r="B1799" t="inlineStr">
        <is>
          <t>2017-11-23</t>
        </is>
      </c>
      <c r="C1799" t="inlineStr">
        <is>
          <t>2017-11</t>
        </is>
      </c>
      <c r="D1799" t="inlineStr">
        <is>
          <t>RS</t>
        </is>
      </c>
      <c r="E1799" t="inlineStr">
        <is>
          <t>bed_bath_table</t>
        </is>
      </c>
      <c r="F1799" t="n">
        <v>1</v>
      </c>
      <c r="G1799" t="n">
        <v>132.76</v>
      </c>
      <c r="H1799" t="n">
        <v>21.42</v>
      </c>
      <c r="I1799" t="inlineStr">
        <is>
          <t>credit_card</t>
        </is>
      </c>
      <c r="J1799" t="n">
        <v>28</v>
      </c>
      <c r="K1799" t="inlineStr">
        <is>
          <t>On Time</t>
        </is>
      </c>
      <c r="L1799" t="n">
        <v>2</v>
      </c>
      <c r="M1799">
        <f>VLOOKUP(D1799,State_Lookup!$A$2:$B$28,2,FALSE)</f>
        <v/>
      </c>
    </row>
    <row r="1800">
      <c r="A1800" t="inlineStr">
        <is>
          <t>cf8e0bf248046a2be2b5ed74b01f98b2</t>
        </is>
      </c>
      <c r="B1800" t="inlineStr">
        <is>
          <t>2017-11-23</t>
        </is>
      </c>
      <c r="C1800" t="inlineStr">
        <is>
          <t>2017-11</t>
        </is>
      </c>
      <c r="D1800" t="inlineStr">
        <is>
          <t>MG</t>
        </is>
      </c>
      <c r="E1800" t="inlineStr">
        <is>
          <t>cool_stuff</t>
        </is>
      </c>
      <c r="F1800" t="n">
        <v>1</v>
      </c>
      <c r="G1800" t="n">
        <v>164.9</v>
      </c>
      <c r="H1800" t="n">
        <v>16.91</v>
      </c>
      <c r="I1800" t="inlineStr">
        <is>
          <t>boleto</t>
        </is>
      </c>
      <c r="J1800" t="n">
        <v>26</v>
      </c>
      <c r="K1800" t="inlineStr">
        <is>
          <t>On Time</t>
        </is>
      </c>
      <c r="L1800" t="n">
        <v>5</v>
      </c>
      <c r="M1800">
        <f>VLOOKUP(D1800,State_Lookup!$A$2:$B$28,2,FALSE)</f>
        <v/>
      </c>
    </row>
    <row r="1801">
      <c r="A1801" t="inlineStr">
        <is>
          <t>c8e35783a2527cdf286c54e2ae9727db</t>
        </is>
      </c>
      <c r="B1801" t="inlineStr">
        <is>
          <t>2017-11-23</t>
        </is>
      </c>
      <c r="C1801" t="inlineStr">
        <is>
          <t>2017-11</t>
        </is>
      </c>
      <c r="D1801" t="inlineStr">
        <is>
          <t>ES</t>
        </is>
      </c>
      <c r="E1801" t="inlineStr">
        <is>
          <t>bed_bath_table</t>
        </is>
      </c>
      <c r="F1801" t="n">
        <v>1</v>
      </c>
      <c r="G1801" t="n">
        <v>109.9</v>
      </c>
      <c r="H1801" t="n">
        <v>18.02</v>
      </c>
      <c r="I1801" t="inlineStr">
        <is>
          <t>credit_card</t>
        </is>
      </c>
      <c r="J1801" t="n">
        <v>41</v>
      </c>
      <c r="K1801" t="inlineStr">
        <is>
          <t>Late</t>
        </is>
      </c>
      <c r="L1801" t="n">
        <v>2</v>
      </c>
      <c r="M1801">
        <f>VLOOKUP(D1801,State_Lookup!$A$2:$B$28,2,FALSE)</f>
        <v/>
      </c>
    </row>
    <row r="1802">
      <c r="A1802" t="inlineStr">
        <is>
          <t>5afac0b7cff137da6d13251afc7329c9</t>
        </is>
      </c>
      <c r="B1802" t="inlineStr">
        <is>
          <t>2017-11-23</t>
        </is>
      </c>
      <c r="C1802" t="inlineStr">
        <is>
          <t>2017-11</t>
        </is>
      </c>
      <c r="D1802" t="inlineStr">
        <is>
          <t>CE</t>
        </is>
      </c>
      <c r="E1802" t="inlineStr">
        <is>
          <t>bed_bath_table</t>
        </is>
      </c>
      <c r="F1802" t="n">
        <v>1</v>
      </c>
      <c r="G1802" t="n">
        <v>44.99</v>
      </c>
      <c r="H1802" t="n">
        <v>28.75</v>
      </c>
      <c r="I1802" t="inlineStr">
        <is>
          <t>credit_card</t>
        </is>
      </c>
      <c r="J1802" t="n">
        <v>22</v>
      </c>
      <c r="K1802" t="inlineStr">
        <is>
          <t>On Time</t>
        </is>
      </c>
      <c r="L1802" t="n">
        <v>5</v>
      </c>
      <c r="M1802">
        <f>VLOOKUP(D1802,State_Lookup!$A$2:$B$28,2,FALSE)</f>
        <v/>
      </c>
    </row>
    <row r="1803">
      <c r="A1803" t="inlineStr">
        <is>
          <t>7f2810de522b451a990407ada69ff9d0</t>
        </is>
      </c>
      <c r="B1803" t="inlineStr">
        <is>
          <t>2017-11-23</t>
        </is>
      </c>
      <c r="C1803" t="inlineStr">
        <is>
          <t>2017-11</t>
        </is>
      </c>
      <c r="D1803" t="inlineStr">
        <is>
          <t>PR</t>
        </is>
      </c>
      <c r="E1803" t="inlineStr">
        <is>
          <t>toys</t>
        </is>
      </c>
      <c r="F1803" t="n">
        <v>1</v>
      </c>
      <c r="G1803" t="n">
        <v>129.8</v>
      </c>
      <c r="H1803" t="n">
        <v>39.84</v>
      </c>
      <c r="I1803" t="inlineStr">
        <is>
          <t>credit_card</t>
        </is>
      </c>
      <c r="J1803" t="n">
        <v>7</v>
      </c>
      <c r="K1803" t="inlineStr">
        <is>
          <t>On Time</t>
        </is>
      </c>
      <c r="L1803" t="n">
        <v>5</v>
      </c>
      <c r="M1803">
        <f>VLOOKUP(D1803,State_Lookup!$A$2:$B$28,2,FALSE)</f>
        <v/>
      </c>
    </row>
    <row r="1804">
      <c r="A1804" t="inlineStr">
        <is>
          <t>f5e8dd6f3cfc89bc152991875437aaa2</t>
        </is>
      </c>
      <c r="B1804" t="inlineStr">
        <is>
          <t>2017-11-23</t>
        </is>
      </c>
      <c r="C1804" t="inlineStr">
        <is>
          <t>2017-11</t>
        </is>
      </c>
      <c r="D1804" t="inlineStr">
        <is>
          <t>SC</t>
        </is>
      </c>
      <c r="E1804" t="inlineStr">
        <is>
          <t>furniture_decor</t>
        </is>
      </c>
      <c r="F1804" t="n">
        <v>2</v>
      </c>
      <c r="G1804" t="n">
        <v>25.98</v>
      </c>
      <c r="H1804" t="n">
        <v>35.2</v>
      </c>
      <c r="I1804" t="inlineStr">
        <is>
          <t>credit_card</t>
        </is>
      </c>
      <c r="J1804" t="n">
        <v>7</v>
      </c>
      <c r="K1804" t="inlineStr">
        <is>
          <t>On Time</t>
        </is>
      </c>
      <c r="L1804" t="n">
        <v>1</v>
      </c>
      <c r="M1804">
        <f>VLOOKUP(D1804,State_Lookup!$A$2:$B$28,2,FALSE)</f>
        <v/>
      </c>
    </row>
    <row r="1805">
      <c r="A1805" t="inlineStr">
        <is>
          <t>568360f5a6800365ddcbe2fcf69fdbbe</t>
        </is>
      </c>
      <c r="B1805" t="inlineStr">
        <is>
          <t>2017-11-23</t>
        </is>
      </c>
      <c r="C1805" t="inlineStr">
        <is>
          <t>2017-11</t>
        </is>
      </c>
      <c r="D1805" t="inlineStr">
        <is>
          <t>RJ</t>
        </is>
      </c>
      <c r="E1805" t="inlineStr">
        <is>
          <t>furniture_decor</t>
        </is>
      </c>
      <c r="F1805" t="n">
        <v>1</v>
      </c>
      <c r="G1805" t="n">
        <v>118.5</v>
      </c>
      <c r="H1805" t="n">
        <v>27.15</v>
      </c>
      <c r="I1805" t="inlineStr">
        <is>
          <t>credit_card</t>
        </is>
      </c>
      <c r="J1805" t="n">
        <v>19</v>
      </c>
      <c r="K1805" t="inlineStr">
        <is>
          <t>On Time</t>
        </is>
      </c>
      <c r="L1805" t="n">
        <v>5</v>
      </c>
      <c r="M1805">
        <f>VLOOKUP(D1805,State_Lookup!$A$2:$B$28,2,FALSE)</f>
        <v/>
      </c>
    </row>
    <row r="1806">
      <c r="A1806" t="inlineStr">
        <is>
          <t>1d8f8ed077e12bbaeb0ee6675167d40f</t>
        </is>
      </c>
      <c r="B1806" t="inlineStr">
        <is>
          <t>2017-11-23</t>
        </is>
      </c>
      <c r="C1806" t="inlineStr">
        <is>
          <t>2017-11</t>
        </is>
      </c>
      <c r="D1806" t="inlineStr">
        <is>
          <t>SC</t>
        </is>
      </c>
      <c r="E1806" t="inlineStr">
        <is>
          <t>pet_shop</t>
        </is>
      </c>
      <c r="F1806" t="n">
        <v>1</v>
      </c>
      <c r="G1806" t="n">
        <v>34.9</v>
      </c>
      <c r="H1806" t="n">
        <v>17.6</v>
      </c>
      <c r="I1806" t="inlineStr">
        <is>
          <t>credit_card</t>
        </is>
      </c>
      <c r="J1806" t="n">
        <v>14</v>
      </c>
      <c r="K1806" t="inlineStr">
        <is>
          <t>On Time</t>
        </is>
      </c>
      <c r="L1806" t="n">
        <v>5</v>
      </c>
      <c r="M1806">
        <f>VLOOKUP(D1806,State_Lookup!$A$2:$B$28,2,FALSE)</f>
        <v/>
      </c>
    </row>
    <row r="1807">
      <c r="A1807" t="inlineStr">
        <is>
          <t>45dcb58c5c287e7fdf32ba72e75bc177</t>
        </is>
      </c>
      <c r="B1807" t="inlineStr">
        <is>
          <t>2017-11-23</t>
        </is>
      </c>
      <c r="C1807" t="inlineStr">
        <is>
          <t>2017-11</t>
        </is>
      </c>
      <c r="D1807" t="inlineStr">
        <is>
          <t>SC</t>
        </is>
      </c>
      <c r="E1807" t="inlineStr">
        <is>
          <t>garden_tools</t>
        </is>
      </c>
      <c r="F1807" t="n">
        <v>1</v>
      </c>
      <c r="G1807" t="n">
        <v>49</v>
      </c>
      <c r="H1807" t="n">
        <v>17.64</v>
      </c>
      <c r="I1807" t="inlineStr">
        <is>
          <t>boleto</t>
        </is>
      </c>
      <c r="J1807" t="n">
        <v>20</v>
      </c>
      <c r="K1807" t="inlineStr">
        <is>
          <t>On Time</t>
        </is>
      </c>
      <c r="L1807" t="n">
        <v>5</v>
      </c>
      <c r="M1807">
        <f>VLOOKUP(D1807,State_Lookup!$A$2:$B$28,2,FALSE)</f>
        <v/>
      </c>
    </row>
    <row r="1808">
      <c r="A1808" t="inlineStr">
        <is>
          <t>86d0ef425e0811afd544b52543fb4152</t>
        </is>
      </c>
      <c r="B1808" t="inlineStr">
        <is>
          <t>2017-11-23</t>
        </is>
      </c>
      <c r="C1808" t="inlineStr">
        <is>
          <t>2017-11</t>
        </is>
      </c>
      <c r="D1808" t="inlineStr">
        <is>
          <t>RJ</t>
        </is>
      </c>
      <c r="E1808" t="inlineStr">
        <is>
          <t>computers_accessories</t>
        </is>
      </c>
      <c r="F1808" t="n">
        <v>1</v>
      </c>
      <c r="G1808" t="n">
        <v>175.9</v>
      </c>
      <c r="H1808" t="n">
        <v>17.67</v>
      </c>
      <c r="I1808" t="inlineStr">
        <is>
          <t>credit_card</t>
        </is>
      </c>
      <c r="J1808" t="n">
        <v>25</v>
      </c>
      <c r="K1808" t="inlineStr">
        <is>
          <t>Late</t>
        </is>
      </c>
      <c r="L1808" t="n">
        <v>3</v>
      </c>
      <c r="M1808">
        <f>VLOOKUP(D1808,State_Lookup!$A$2:$B$28,2,FALSE)</f>
        <v/>
      </c>
    </row>
    <row r="1809">
      <c r="A1809" t="inlineStr">
        <is>
          <t>0c7ccdb239bd524a31dc66094fa59626</t>
        </is>
      </c>
      <c r="B1809" t="inlineStr">
        <is>
          <t>2017-11-23</t>
        </is>
      </c>
      <c r="C1809" t="inlineStr">
        <is>
          <t>2017-11</t>
        </is>
      </c>
      <c r="D1809" t="inlineStr">
        <is>
          <t>SP</t>
        </is>
      </c>
      <c r="E1809" t="inlineStr">
        <is>
          <t>consoles_games</t>
        </is>
      </c>
      <c r="F1809" t="n">
        <v>1</v>
      </c>
      <c r="G1809" t="n">
        <v>40</v>
      </c>
      <c r="H1809" t="n">
        <v>15.1</v>
      </c>
      <c r="I1809" t="inlineStr">
        <is>
          <t>boleto</t>
        </is>
      </c>
      <c r="J1809" t="n">
        <v>11</v>
      </c>
      <c r="K1809" t="inlineStr">
        <is>
          <t>On Time</t>
        </is>
      </c>
      <c r="L1809" t="n">
        <v>5</v>
      </c>
      <c r="M1809">
        <f>VLOOKUP(D1809,State_Lookup!$A$2:$B$28,2,FALSE)</f>
        <v/>
      </c>
    </row>
    <row r="1810">
      <c r="A1810" t="inlineStr">
        <is>
          <t>52cafd5349b83c44cef90c267012a0d2</t>
        </is>
      </c>
      <c r="B1810" t="inlineStr">
        <is>
          <t>2017-11-23</t>
        </is>
      </c>
      <c r="C1810" t="inlineStr">
        <is>
          <t>2017-11</t>
        </is>
      </c>
      <c r="D1810" t="inlineStr">
        <is>
          <t>SP</t>
        </is>
      </c>
      <c r="E1810" t="inlineStr">
        <is>
          <t>unknown</t>
        </is>
      </c>
      <c r="F1810" t="n">
        <v>2</v>
      </c>
      <c r="G1810" t="n">
        <v>199.98</v>
      </c>
      <c r="H1810" t="n">
        <v>30.92</v>
      </c>
      <c r="I1810" t="inlineStr">
        <is>
          <t>credit_card</t>
        </is>
      </c>
      <c r="J1810" t="n">
        <v>12</v>
      </c>
      <c r="K1810" t="inlineStr">
        <is>
          <t>On Time</t>
        </is>
      </c>
      <c r="L1810" t="n">
        <v>1</v>
      </c>
      <c r="M1810">
        <f>VLOOKUP(D1810,State_Lookup!$A$2:$B$28,2,FALSE)</f>
        <v/>
      </c>
    </row>
    <row r="1811">
      <c r="A1811" t="inlineStr">
        <is>
          <t>b8b6924f004e191923963e8ab1655ed9</t>
        </is>
      </c>
      <c r="B1811" t="inlineStr">
        <is>
          <t>2017-11-23</t>
        </is>
      </c>
      <c r="C1811" t="inlineStr">
        <is>
          <t>2017-11</t>
        </is>
      </c>
      <c r="D1811" t="inlineStr">
        <is>
          <t>RJ</t>
        </is>
      </c>
      <c r="E1811" t="inlineStr">
        <is>
          <t>watches_gifts</t>
        </is>
      </c>
      <c r="F1811" t="n">
        <v>1</v>
      </c>
      <c r="G1811" t="n">
        <v>170</v>
      </c>
      <c r="H1811" t="n">
        <v>21.68</v>
      </c>
      <c r="I1811" t="inlineStr">
        <is>
          <t>credit_card</t>
        </is>
      </c>
      <c r="J1811" t="n">
        <v>27</v>
      </c>
      <c r="K1811" t="inlineStr">
        <is>
          <t>Late</t>
        </is>
      </c>
      <c r="L1811" t="n">
        <v>2</v>
      </c>
      <c r="M1811">
        <f>VLOOKUP(D1811,State_Lookup!$A$2:$B$28,2,FALSE)</f>
        <v/>
      </c>
    </row>
    <row r="1812">
      <c r="A1812" t="inlineStr">
        <is>
          <t>5c748cfa838e65b06c230b1f917ec95e</t>
        </is>
      </c>
      <c r="B1812" t="inlineStr">
        <is>
          <t>2017-11-23</t>
        </is>
      </c>
      <c r="C1812" t="inlineStr">
        <is>
          <t>2017-11</t>
        </is>
      </c>
      <c r="D1812" t="inlineStr">
        <is>
          <t>BA</t>
        </is>
      </c>
      <c r="E1812" t="inlineStr">
        <is>
          <t>telephony</t>
        </is>
      </c>
      <c r="F1812" t="n">
        <v>1</v>
      </c>
      <c r="G1812" t="n">
        <v>24.99</v>
      </c>
      <c r="H1812" t="n">
        <v>15.79</v>
      </c>
      <c r="I1812" t="inlineStr">
        <is>
          <t>credit_card</t>
        </is>
      </c>
      <c r="J1812" t="n">
        <v>16</v>
      </c>
      <c r="K1812" t="inlineStr">
        <is>
          <t>On Time</t>
        </is>
      </c>
      <c r="L1812" t="n">
        <v>5</v>
      </c>
      <c r="M1812">
        <f>VLOOKUP(D1812,State_Lookup!$A$2:$B$28,2,FALSE)</f>
        <v/>
      </c>
    </row>
    <row r="1813">
      <c r="A1813" t="inlineStr">
        <is>
          <t>37e87d7b071633ba92f5ef06491b781a</t>
        </is>
      </c>
      <c r="B1813" t="inlineStr">
        <is>
          <t>2017-11-23</t>
        </is>
      </c>
      <c r="C1813" t="inlineStr">
        <is>
          <t>2017-11</t>
        </is>
      </c>
      <c r="D1813" t="inlineStr">
        <is>
          <t>RJ</t>
        </is>
      </c>
      <c r="E1813" t="inlineStr">
        <is>
          <t>perfumery</t>
        </is>
      </c>
      <c r="F1813" t="n">
        <v>1</v>
      </c>
      <c r="G1813" t="n">
        <v>339.9</v>
      </c>
      <c r="H1813" t="n">
        <v>11.79</v>
      </c>
      <c r="I1813" t="inlineStr">
        <is>
          <t>credit_card</t>
        </is>
      </c>
      <c r="J1813" t="n">
        <v>6</v>
      </c>
      <c r="K1813" t="inlineStr">
        <is>
          <t>On Time</t>
        </is>
      </c>
      <c r="L1813" t="n">
        <v>5</v>
      </c>
      <c r="M1813">
        <f>VLOOKUP(D1813,State_Lookup!$A$2:$B$28,2,FALSE)</f>
        <v/>
      </c>
    </row>
    <row r="1814">
      <c r="A1814" t="inlineStr">
        <is>
          <t>6a7509b21939697564bb0b5aac2c8187</t>
        </is>
      </c>
      <c r="B1814" t="inlineStr">
        <is>
          <t>2017-11-24</t>
        </is>
      </c>
      <c r="C1814" t="inlineStr">
        <is>
          <t>2017-11</t>
        </is>
      </c>
      <c r="D1814" t="inlineStr">
        <is>
          <t>RJ</t>
        </is>
      </c>
      <c r="E1814" t="inlineStr">
        <is>
          <t>bed_bath_table</t>
        </is>
      </c>
      <c r="F1814" t="n">
        <v>1</v>
      </c>
      <c r="G1814" t="n">
        <v>89.90000000000001</v>
      </c>
      <c r="H1814" t="n">
        <v>21.12</v>
      </c>
      <c r="I1814" t="inlineStr">
        <is>
          <t>credit_card</t>
        </is>
      </c>
      <c r="J1814" t="n">
        <v>12</v>
      </c>
      <c r="K1814" t="inlineStr">
        <is>
          <t>On Time</t>
        </is>
      </c>
      <c r="L1814" t="n">
        <v>5</v>
      </c>
      <c r="M1814">
        <f>VLOOKUP(D1814,State_Lookup!$A$2:$B$28,2,FALSE)</f>
        <v/>
      </c>
    </row>
    <row r="1815">
      <c r="A1815" t="inlineStr">
        <is>
          <t>5ff620977c1907f6694bbbbc716cf0d3</t>
        </is>
      </c>
      <c r="B1815" t="inlineStr">
        <is>
          <t>2017-11-24</t>
        </is>
      </c>
      <c r="C1815" t="inlineStr">
        <is>
          <t>2017-11</t>
        </is>
      </c>
      <c r="D1815" t="inlineStr">
        <is>
          <t>SP</t>
        </is>
      </c>
      <c r="E1815" t="inlineStr">
        <is>
          <t>perfumery</t>
        </is>
      </c>
      <c r="F1815" t="n">
        <v>1</v>
      </c>
      <c r="G1815" t="n">
        <v>56.99</v>
      </c>
      <c r="H1815" t="n">
        <v>8.720000000000001</v>
      </c>
      <c r="I1815" t="inlineStr">
        <is>
          <t>credit_card</t>
        </is>
      </c>
      <c r="J1815" t="n">
        <v>4</v>
      </c>
      <c r="K1815" t="inlineStr">
        <is>
          <t>On Time</t>
        </is>
      </c>
      <c r="L1815" t="n">
        <v>5</v>
      </c>
      <c r="M1815">
        <f>VLOOKUP(D1815,State_Lookup!$A$2:$B$28,2,FALSE)</f>
        <v/>
      </c>
    </row>
    <row r="1816">
      <c r="A1816" t="inlineStr">
        <is>
          <t>b2976bc0899d6eb3fbaa0255ee3a000b</t>
        </is>
      </c>
      <c r="B1816" t="inlineStr">
        <is>
          <t>2017-11-24</t>
        </is>
      </c>
      <c r="C1816" t="inlineStr">
        <is>
          <t>2017-11</t>
        </is>
      </c>
      <c r="D1816" t="inlineStr">
        <is>
          <t>RS</t>
        </is>
      </c>
      <c r="E1816" t="inlineStr">
        <is>
          <t>perfumery</t>
        </is>
      </c>
      <c r="F1816" t="n">
        <v>1</v>
      </c>
      <c r="G1816" t="n">
        <v>13.99</v>
      </c>
      <c r="H1816" t="n">
        <v>14.1</v>
      </c>
      <c r="I1816" t="inlineStr">
        <is>
          <t>credit_card</t>
        </is>
      </c>
      <c r="J1816" t="n">
        <v>13</v>
      </c>
      <c r="K1816" t="inlineStr">
        <is>
          <t>On Time</t>
        </is>
      </c>
      <c r="L1816" t="n">
        <v>5</v>
      </c>
      <c r="M1816">
        <f>VLOOKUP(D1816,State_Lookup!$A$2:$B$28,2,FALSE)</f>
        <v/>
      </c>
    </row>
    <row r="1817">
      <c r="A1817" t="inlineStr">
        <is>
          <t>2aabb4d8714e26a76aef91c6f0d5c329</t>
        </is>
      </c>
      <c r="B1817" t="inlineStr">
        <is>
          <t>2017-11-24</t>
        </is>
      </c>
      <c r="C1817" t="inlineStr">
        <is>
          <t>2017-11</t>
        </is>
      </c>
      <c r="D1817" t="inlineStr">
        <is>
          <t>DF</t>
        </is>
      </c>
      <c r="E1817" t="inlineStr">
        <is>
          <t>consoles_games</t>
        </is>
      </c>
      <c r="F1817" t="n">
        <v>1</v>
      </c>
      <c r="G1817" t="n">
        <v>79.98999999999999</v>
      </c>
      <c r="H1817" t="n">
        <v>45.02</v>
      </c>
      <c r="I1817" t="inlineStr">
        <is>
          <t>credit_card</t>
        </is>
      </c>
      <c r="J1817" t="n">
        <v>10</v>
      </c>
      <c r="K1817" t="inlineStr">
        <is>
          <t>On Time</t>
        </is>
      </c>
      <c r="L1817" t="n">
        <v>5</v>
      </c>
      <c r="M1817">
        <f>VLOOKUP(D1817,State_Lookup!$A$2:$B$28,2,FALSE)</f>
        <v/>
      </c>
    </row>
    <row r="1818">
      <c r="A1818" t="inlineStr">
        <is>
          <t>f19fb77bae3d3b3d2394eee444ad0e54</t>
        </is>
      </c>
      <c r="B1818" t="inlineStr">
        <is>
          <t>2017-11-24</t>
        </is>
      </c>
      <c r="C1818" t="inlineStr">
        <is>
          <t>2017-11</t>
        </is>
      </c>
      <c r="D1818" t="inlineStr">
        <is>
          <t>RS</t>
        </is>
      </c>
      <c r="E1818" t="inlineStr">
        <is>
          <t>telephony</t>
        </is>
      </c>
      <c r="F1818" t="n">
        <v>1</v>
      </c>
      <c r="G1818" t="n">
        <v>24.99</v>
      </c>
      <c r="H1818" t="n">
        <v>15.1</v>
      </c>
      <c r="I1818" t="inlineStr">
        <is>
          <t>debit_card</t>
        </is>
      </c>
      <c r="J1818" t="n">
        <v>7</v>
      </c>
      <c r="K1818" t="inlineStr">
        <is>
          <t>On Time</t>
        </is>
      </c>
      <c r="L1818" t="n">
        <v>5</v>
      </c>
      <c r="M1818">
        <f>VLOOKUP(D1818,State_Lookup!$A$2:$B$28,2,FALSE)</f>
        <v/>
      </c>
    </row>
    <row r="1819">
      <c r="A1819" t="inlineStr">
        <is>
          <t>0f769c3e8665e800faa37fd711fee252</t>
        </is>
      </c>
      <c r="B1819" t="inlineStr">
        <is>
          <t>2017-11-24</t>
        </is>
      </c>
      <c r="C1819" t="inlineStr">
        <is>
          <t>2017-11</t>
        </is>
      </c>
      <c r="D1819" t="inlineStr">
        <is>
          <t>SP</t>
        </is>
      </c>
      <c r="E1819" t="inlineStr">
        <is>
          <t>telephony</t>
        </is>
      </c>
      <c r="F1819" t="n">
        <v>1</v>
      </c>
      <c r="G1819" t="n">
        <v>85</v>
      </c>
      <c r="H1819" t="n">
        <v>12.09</v>
      </c>
      <c r="I1819" t="inlineStr">
        <is>
          <t>credit_card</t>
        </is>
      </c>
      <c r="J1819" t="n">
        <v>6</v>
      </c>
      <c r="K1819" t="inlineStr">
        <is>
          <t>On Time</t>
        </is>
      </c>
      <c r="L1819" t="n">
        <v>5</v>
      </c>
      <c r="M1819">
        <f>VLOOKUP(D1819,State_Lookup!$A$2:$B$28,2,FALSE)</f>
        <v/>
      </c>
    </row>
    <row r="1820">
      <c r="A1820" t="inlineStr">
        <is>
          <t>cf9b4a50fa5f421075dbe48dc3a1e30f</t>
        </is>
      </c>
      <c r="B1820" t="inlineStr">
        <is>
          <t>2017-11-24</t>
        </is>
      </c>
      <c r="C1820" t="inlineStr">
        <is>
          <t>2017-11</t>
        </is>
      </c>
      <c r="D1820" t="inlineStr">
        <is>
          <t>MT</t>
        </is>
      </c>
      <c r="E1820" t="inlineStr">
        <is>
          <t>auto</t>
        </is>
      </c>
      <c r="F1820" t="n">
        <v>1</v>
      </c>
      <c r="G1820" t="n">
        <v>117.3</v>
      </c>
      <c r="H1820" t="n">
        <v>28.2</v>
      </c>
      <c r="I1820" t="inlineStr">
        <is>
          <t>credit_card</t>
        </is>
      </c>
      <c r="J1820" t="n">
        <v>13</v>
      </c>
      <c r="K1820" t="inlineStr">
        <is>
          <t>On Time</t>
        </is>
      </c>
      <c r="L1820" t="n">
        <v>5</v>
      </c>
      <c r="M1820">
        <f>VLOOKUP(D1820,State_Lookup!$A$2:$B$28,2,FALSE)</f>
        <v/>
      </c>
    </row>
    <row r="1821">
      <c r="A1821" t="inlineStr">
        <is>
          <t>1a0da2935bfb1baa0def0327be1a7563</t>
        </is>
      </c>
      <c r="B1821" t="inlineStr">
        <is>
          <t>2017-11-24</t>
        </is>
      </c>
      <c r="C1821" t="inlineStr">
        <is>
          <t>2017-11</t>
        </is>
      </c>
      <c r="D1821" t="inlineStr">
        <is>
          <t>MT</t>
        </is>
      </c>
      <c r="E1821" t="inlineStr">
        <is>
          <t>computers_accessories</t>
        </is>
      </c>
      <c r="F1821" t="n">
        <v>1</v>
      </c>
      <c r="G1821" t="n">
        <v>149.99</v>
      </c>
      <c r="H1821" t="n">
        <v>57.28</v>
      </c>
      <c r="I1821" t="inlineStr">
        <is>
          <t>boleto</t>
        </is>
      </c>
      <c r="J1821" t="n">
        <v>25</v>
      </c>
      <c r="K1821" t="inlineStr">
        <is>
          <t>On Time</t>
        </is>
      </c>
      <c r="L1821" t="n">
        <v>5</v>
      </c>
      <c r="M1821">
        <f>VLOOKUP(D1821,State_Lookup!$A$2:$B$28,2,FALSE)</f>
        <v/>
      </c>
    </row>
    <row r="1822">
      <c r="A1822" t="inlineStr">
        <is>
          <t>6cd91ba388e06035714e1776db85ec11</t>
        </is>
      </c>
      <c r="B1822" t="inlineStr">
        <is>
          <t>2017-11-24</t>
        </is>
      </c>
      <c r="C1822" t="inlineStr">
        <is>
          <t>2017-11</t>
        </is>
      </c>
      <c r="D1822" t="inlineStr">
        <is>
          <t>MG</t>
        </is>
      </c>
      <c r="E1822" t="inlineStr">
        <is>
          <t>furniture_living_room</t>
        </is>
      </c>
      <c r="F1822" t="n">
        <v>1</v>
      </c>
      <c r="G1822" t="n">
        <v>125.9</v>
      </c>
      <c r="H1822" t="n">
        <v>20.79</v>
      </c>
      <c r="I1822" t="inlineStr">
        <is>
          <t>boleto</t>
        </is>
      </c>
      <c r="J1822" t="n">
        <v>18</v>
      </c>
      <c r="K1822" t="inlineStr">
        <is>
          <t>On Time</t>
        </is>
      </c>
      <c r="L1822" t="n">
        <v>5</v>
      </c>
      <c r="M1822">
        <f>VLOOKUP(D1822,State_Lookup!$A$2:$B$28,2,FALSE)</f>
        <v/>
      </c>
    </row>
    <row r="1823">
      <c r="A1823" t="inlineStr">
        <is>
          <t>fb9b2930f4a30f96c7cc98eaaa85e5f0</t>
        </is>
      </c>
      <c r="B1823" t="inlineStr">
        <is>
          <t>2017-11-24</t>
        </is>
      </c>
      <c r="C1823" t="inlineStr">
        <is>
          <t>2017-11</t>
        </is>
      </c>
      <c r="D1823" t="inlineStr">
        <is>
          <t>SP</t>
        </is>
      </c>
      <c r="E1823" t="inlineStr">
        <is>
          <t>furniture_decor</t>
        </is>
      </c>
      <c r="F1823" t="n">
        <v>1</v>
      </c>
      <c r="G1823" t="n">
        <v>70.91</v>
      </c>
      <c r="H1823" t="n">
        <v>13.52</v>
      </c>
      <c r="I1823" t="inlineStr">
        <is>
          <t>credit_card</t>
        </is>
      </c>
      <c r="J1823" t="n">
        <v>22</v>
      </c>
      <c r="K1823" t="inlineStr">
        <is>
          <t>Late</t>
        </is>
      </c>
      <c r="L1823" t="n">
        <v>1</v>
      </c>
      <c r="M1823">
        <f>VLOOKUP(D1823,State_Lookup!$A$2:$B$28,2,FALSE)</f>
        <v/>
      </c>
    </row>
    <row r="1824">
      <c r="A1824" t="inlineStr">
        <is>
          <t>17c1ae37e6e096d8059b53c96a21ea9d</t>
        </is>
      </c>
      <c r="B1824" t="inlineStr">
        <is>
          <t>2017-11-24</t>
        </is>
      </c>
      <c r="C1824" t="inlineStr">
        <is>
          <t>2017-11</t>
        </is>
      </c>
      <c r="D1824" t="inlineStr">
        <is>
          <t>ES</t>
        </is>
      </c>
      <c r="E1824" t="inlineStr">
        <is>
          <t>toys</t>
        </is>
      </c>
      <c r="F1824" t="n">
        <v>1</v>
      </c>
      <c r="G1824" t="n">
        <v>99.98999999999999</v>
      </c>
      <c r="H1824" t="n">
        <v>17.95</v>
      </c>
      <c r="I1824" t="inlineStr">
        <is>
          <t>credit_card</t>
        </is>
      </c>
      <c r="J1824" t="n">
        <v>7</v>
      </c>
      <c r="K1824" t="inlineStr">
        <is>
          <t>On Time</t>
        </is>
      </c>
      <c r="L1824" t="n">
        <v>5</v>
      </c>
      <c r="M1824">
        <f>VLOOKUP(D1824,State_Lookup!$A$2:$B$28,2,FALSE)</f>
        <v/>
      </c>
    </row>
    <row r="1825">
      <c r="A1825" t="inlineStr">
        <is>
          <t>dd1848be19cde4db26876697683f8373</t>
        </is>
      </c>
      <c r="B1825" t="inlineStr">
        <is>
          <t>2017-11-24</t>
        </is>
      </c>
      <c r="C1825" t="inlineStr">
        <is>
          <t>2017-11</t>
        </is>
      </c>
      <c r="D1825" t="inlineStr">
        <is>
          <t>PR</t>
        </is>
      </c>
      <c r="E1825" t="inlineStr">
        <is>
          <t>garden_tools</t>
        </is>
      </c>
      <c r="F1825" t="n">
        <v>2</v>
      </c>
      <c r="G1825" t="n">
        <v>98</v>
      </c>
      <c r="H1825" t="n">
        <v>35.28</v>
      </c>
      <c r="I1825" t="inlineStr">
        <is>
          <t>credit_card</t>
        </is>
      </c>
      <c r="J1825" t="n">
        <v>12</v>
      </c>
      <c r="K1825" t="inlineStr">
        <is>
          <t>On Time</t>
        </is>
      </c>
      <c r="L1825" t="n">
        <v>5</v>
      </c>
      <c r="M1825">
        <f>VLOOKUP(D1825,State_Lookup!$A$2:$B$28,2,FALSE)</f>
        <v/>
      </c>
    </row>
    <row r="1826">
      <c r="A1826" t="inlineStr">
        <is>
          <t>7e8a488126f108bf5841a1bc1dd2c762</t>
        </is>
      </c>
      <c r="B1826" t="inlineStr">
        <is>
          <t>2017-11-24</t>
        </is>
      </c>
      <c r="C1826" t="inlineStr">
        <is>
          <t>2017-11</t>
        </is>
      </c>
      <c r="D1826" t="inlineStr">
        <is>
          <t>MG</t>
        </is>
      </c>
      <c r="E1826" t="inlineStr">
        <is>
          <t>consoles_games</t>
        </is>
      </c>
      <c r="F1826" t="n">
        <v>1</v>
      </c>
      <c r="G1826" t="n">
        <v>69</v>
      </c>
      <c r="H1826" t="n">
        <v>15.23</v>
      </c>
      <c r="I1826" t="inlineStr">
        <is>
          <t>credit_card</t>
        </is>
      </c>
      <c r="J1826" t="n">
        <v>20</v>
      </c>
      <c r="K1826" t="inlineStr">
        <is>
          <t>On Time</t>
        </is>
      </c>
      <c r="L1826" t="n">
        <v>4</v>
      </c>
      <c r="M1826">
        <f>VLOOKUP(D1826,State_Lookup!$A$2:$B$28,2,FALSE)</f>
        <v/>
      </c>
    </row>
    <row r="1827">
      <c r="A1827" t="inlineStr">
        <is>
          <t>4de5beb49e4389e91971200bacf4e024</t>
        </is>
      </c>
      <c r="B1827" t="inlineStr">
        <is>
          <t>2017-11-24</t>
        </is>
      </c>
      <c r="C1827" t="inlineStr">
        <is>
          <t>2017-11</t>
        </is>
      </c>
      <c r="D1827" t="inlineStr">
        <is>
          <t>SP</t>
        </is>
      </c>
      <c r="E1827" t="inlineStr">
        <is>
          <t>bed_bath_table</t>
        </is>
      </c>
      <c r="F1827" t="n">
        <v>1</v>
      </c>
      <c r="G1827" t="n">
        <v>89.90000000000001</v>
      </c>
      <c r="H1827" t="n">
        <v>16.26</v>
      </c>
      <c r="I1827" t="inlineStr">
        <is>
          <t>boleto</t>
        </is>
      </c>
      <c r="J1827" t="n">
        <v>25</v>
      </c>
      <c r="K1827" t="inlineStr">
        <is>
          <t>Late</t>
        </is>
      </c>
      <c r="L1827" t="n">
        <v>1</v>
      </c>
      <c r="M1827">
        <f>VLOOKUP(D1827,State_Lookup!$A$2:$B$28,2,FALSE)</f>
        <v/>
      </c>
    </row>
    <row r="1828">
      <c r="A1828" t="inlineStr">
        <is>
          <t>cb4e5fca9b25bcc00d9d7d7ba9f4eac3</t>
        </is>
      </c>
      <c r="B1828" t="inlineStr">
        <is>
          <t>2017-11-24</t>
        </is>
      </c>
      <c r="C1828" t="inlineStr">
        <is>
          <t>2017-11</t>
        </is>
      </c>
      <c r="D1828" t="inlineStr">
        <is>
          <t>SC</t>
        </is>
      </c>
      <c r="E1828" t="inlineStr">
        <is>
          <t>electronics</t>
        </is>
      </c>
      <c r="F1828" t="n">
        <v>1</v>
      </c>
      <c r="G1828" t="n">
        <v>18.9</v>
      </c>
      <c r="H1828" t="n">
        <v>15.1</v>
      </c>
      <c r="I1828" t="inlineStr">
        <is>
          <t>credit_card</t>
        </is>
      </c>
      <c r="J1828" t="n">
        <v>10</v>
      </c>
      <c r="K1828" t="inlineStr">
        <is>
          <t>On Time</t>
        </is>
      </c>
      <c r="L1828" t="n">
        <v>4</v>
      </c>
      <c r="M1828">
        <f>VLOOKUP(D1828,State_Lookup!$A$2:$B$28,2,FALSE)</f>
        <v/>
      </c>
    </row>
    <row r="1829">
      <c r="A1829" t="inlineStr">
        <is>
          <t>6d4dd79bee1e2a93f09c9501c2ff87e7</t>
        </is>
      </c>
      <c r="B1829" t="inlineStr">
        <is>
          <t>2017-11-24</t>
        </is>
      </c>
      <c r="C1829" t="inlineStr">
        <is>
          <t>2017-11</t>
        </is>
      </c>
      <c r="D1829" t="inlineStr">
        <is>
          <t>SP</t>
        </is>
      </c>
      <c r="E1829" t="inlineStr">
        <is>
          <t>bed_bath_table</t>
        </is>
      </c>
      <c r="F1829" t="n">
        <v>1</v>
      </c>
      <c r="G1829" t="n">
        <v>294</v>
      </c>
      <c r="H1829" t="n">
        <v>13.56</v>
      </c>
      <c r="I1829" t="inlineStr">
        <is>
          <t>credit_card</t>
        </is>
      </c>
      <c r="J1829" t="n">
        <v>35</v>
      </c>
      <c r="K1829" t="inlineStr">
        <is>
          <t>Late</t>
        </is>
      </c>
      <c r="L1829" t="inlineStr"/>
      <c r="M1829">
        <f>VLOOKUP(D1829,State_Lookup!$A$2:$B$28,2,FALSE)</f>
        <v/>
      </c>
    </row>
    <row r="1830">
      <c r="A1830" t="inlineStr">
        <is>
          <t>de8a2818f7fe963e53d394e7848bc9b2</t>
        </is>
      </c>
      <c r="B1830" t="inlineStr">
        <is>
          <t>2017-11-24</t>
        </is>
      </c>
      <c r="C1830" t="inlineStr">
        <is>
          <t>2017-11</t>
        </is>
      </c>
      <c r="D1830" t="inlineStr">
        <is>
          <t>RS</t>
        </is>
      </c>
      <c r="E1830" t="inlineStr">
        <is>
          <t>books_general_interest</t>
        </is>
      </c>
      <c r="F1830" t="n">
        <v>1</v>
      </c>
      <c r="G1830" t="n">
        <v>66.90000000000001</v>
      </c>
      <c r="H1830" t="n">
        <v>17.72</v>
      </c>
      <c r="I1830" t="inlineStr">
        <is>
          <t>credit_card</t>
        </is>
      </c>
      <c r="J1830" t="n">
        <v>40</v>
      </c>
      <c r="K1830" t="inlineStr">
        <is>
          <t>Late</t>
        </is>
      </c>
      <c r="L1830" t="n">
        <v>1</v>
      </c>
      <c r="M1830">
        <f>VLOOKUP(D1830,State_Lookup!$A$2:$B$28,2,FALSE)</f>
        <v/>
      </c>
    </row>
    <row r="1831">
      <c r="A1831" t="inlineStr">
        <is>
          <t>074241ce500ccb810dc2a36222167798</t>
        </is>
      </c>
      <c r="B1831" t="inlineStr">
        <is>
          <t>2017-11-24</t>
        </is>
      </c>
      <c r="C1831" t="inlineStr">
        <is>
          <t>2017-11</t>
        </is>
      </c>
      <c r="D1831" t="inlineStr">
        <is>
          <t>RJ</t>
        </is>
      </c>
      <c r="E1831" t="inlineStr">
        <is>
          <t>garden_tools</t>
        </is>
      </c>
      <c r="F1831" t="n">
        <v>1</v>
      </c>
      <c r="G1831" t="n">
        <v>49</v>
      </c>
      <c r="H1831" t="n">
        <v>17.67</v>
      </c>
      <c r="I1831" t="inlineStr">
        <is>
          <t>credit_card</t>
        </is>
      </c>
      <c r="J1831" t="n">
        <v>12</v>
      </c>
      <c r="K1831" t="inlineStr">
        <is>
          <t>On Time</t>
        </is>
      </c>
      <c r="L1831" t="n">
        <v>4</v>
      </c>
      <c r="M1831">
        <f>VLOOKUP(D1831,State_Lookup!$A$2:$B$28,2,FALSE)</f>
        <v/>
      </c>
    </row>
    <row r="1832">
      <c r="A1832" t="inlineStr">
        <is>
          <t>e29802498c81638fb4377d7c7137031e</t>
        </is>
      </c>
      <c r="B1832" t="inlineStr">
        <is>
          <t>2017-11-24</t>
        </is>
      </c>
      <c r="C1832" t="inlineStr">
        <is>
          <t>2017-11</t>
        </is>
      </c>
      <c r="D1832" t="inlineStr">
        <is>
          <t>RJ</t>
        </is>
      </c>
      <c r="E1832" t="inlineStr">
        <is>
          <t>sports_leisure</t>
        </is>
      </c>
      <c r="F1832" t="n">
        <v>2</v>
      </c>
      <c r="G1832" t="n">
        <v>584</v>
      </c>
      <c r="H1832" t="n">
        <v>43.06</v>
      </c>
      <c r="I1832" t="inlineStr">
        <is>
          <t>credit_card</t>
        </is>
      </c>
      <c r="J1832" t="n">
        <v>7</v>
      </c>
      <c r="K1832" t="inlineStr">
        <is>
          <t>On Time</t>
        </is>
      </c>
      <c r="L1832" t="n">
        <v>1</v>
      </c>
      <c r="M1832">
        <f>VLOOKUP(D1832,State_Lookup!$A$2:$B$28,2,FALSE)</f>
        <v/>
      </c>
    </row>
    <row r="1833">
      <c r="A1833" t="inlineStr">
        <is>
          <t>277de059a7365a4f74aa03167d68bcfd</t>
        </is>
      </c>
      <c r="B1833" t="inlineStr">
        <is>
          <t>2017-11-24</t>
        </is>
      </c>
      <c r="C1833" t="inlineStr">
        <is>
          <t>2017-11</t>
        </is>
      </c>
      <c r="D1833" t="inlineStr">
        <is>
          <t>DF</t>
        </is>
      </c>
      <c r="E1833" t="inlineStr">
        <is>
          <t>housewares</t>
        </is>
      </c>
      <c r="F1833" t="n">
        <v>1</v>
      </c>
      <c r="G1833" t="n">
        <v>71</v>
      </c>
      <c r="H1833" t="n">
        <v>16.75</v>
      </c>
      <c r="I1833" t="inlineStr">
        <is>
          <t>credit_card</t>
        </is>
      </c>
      <c r="J1833" t="n">
        <v>8</v>
      </c>
      <c r="K1833" t="inlineStr">
        <is>
          <t>On Time</t>
        </is>
      </c>
      <c r="L1833" t="n">
        <v>5</v>
      </c>
      <c r="M1833">
        <f>VLOOKUP(D1833,State_Lookup!$A$2:$B$28,2,FALSE)</f>
        <v/>
      </c>
    </row>
    <row r="1834">
      <c r="A1834" t="inlineStr">
        <is>
          <t>47607b002b56d0c23e24d91a519b0856</t>
        </is>
      </c>
      <c r="B1834" t="inlineStr">
        <is>
          <t>2017-11-24</t>
        </is>
      </c>
      <c r="C1834" t="inlineStr">
        <is>
          <t>2017-11</t>
        </is>
      </c>
      <c r="D1834" t="inlineStr">
        <is>
          <t>SP</t>
        </is>
      </c>
      <c r="E1834" t="inlineStr">
        <is>
          <t>drinks</t>
        </is>
      </c>
      <c r="F1834" t="n">
        <v>1</v>
      </c>
      <c r="G1834" t="n">
        <v>74.48999999999999</v>
      </c>
      <c r="H1834" t="n">
        <v>9.94</v>
      </c>
      <c r="I1834" t="inlineStr">
        <is>
          <t>credit_card</t>
        </is>
      </c>
      <c r="J1834" t="n">
        <v>5</v>
      </c>
      <c r="K1834" t="inlineStr">
        <is>
          <t>On Time</t>
        </is>
      </c>
      <c r="L1834" t="n">
        <v>5</v>
      </c>
      <c r="M1834">
        <f>VLOOKUP(D1834,State_Lookup!$A$2:$B$28,2,FALSE)</f>
        <v/>
      </c>
    </row>
    <row r="1835">
      <c r="A1835" t="inlineStr">
        <is>
          <t>db92c37a984bfe99f6cc7cda7839c86b</t>
        </is>
      </c>
      <c r="B1835" t="inlineStr">
        <is>
          <t>2017-11-24</t>
        </is>
      </c>
      <c r="C1835" t="inlineStr">
        <is>
          <t>2017-11</t>
        </is>
      </c>
      <c r="D1835" t="inlineStr">
        <is>
          <t>ES</t>
        </is>
      </c>
      <c r="E1835" t="inlineStr">
        <is>
          <t>toys</t>
        </is>
      </c>
      <c r="F1835" t="n">
        <v>1</v>
      </c>
      <c r="G1835" t="n">
        <v>39.9</v>
      </c>
      <c r="H1835" t="n">
        <v>15.11</v>
      </c>
      <c r="I1835" t="inlineStr">
        <is>
          <t>credit_card</t>
        </is>
      </c>
      <c r="J1835" t="n">
        <v>19</v>
      </c>
      <c r="K1835" t="inlineStr">
        <is>
          <t>On Time</t>
        </is>
      </c>
      <c r="L1835" t="n">
        <v>4</v>
      </c>
      <c r="M1835">
        <f>VLOOKUP(D1835,State_Lookup!$A$2:$B$28,2,FALSE)</f>
        <v/>
      </c>
    </row>
    <row r="1836">
      <c r="A1836" t="inlineStr">
        <is>
          <t>48a043c45028f3caaabe84abb2316c51</t>
        </is>
      </c>
      <c r="B1836" t="inlineStr">
        <is>
          <t>2017-11-24</t>
        </is>
      </c>
      <c r="C1836" t="inlineStr">
        <is>
          <t>2017-11</t>
        </is>
      </c>
      <c r="D1836" t="inlineStr">
        <is>
          <t>SP</t>
        </is>
      </c>
      <c r="E1836" t="inlineStr">
        <is>
          <t>perfumery</t>
        </is>
      </c>
      <c r="F1836" t="n">
        <v>1</v>
      </c>
      <c r="G1836" t="n">
        <v>419</v>
      </c>
      <c r="H1836" t="n">
        <v>12.15</v>
      </c>
      <c r="I1836" t="inlineStr">
        <is>
          <t>credit_card</t>
        </is>
      </c>
      <c r="J1836" t="n">
        <v>6</v>
      </c>
      <c r="K1836" t="inlineStr">
        <is>
          <t>On Time</t>
        </is>
      </c>
      <c r="L1836" t="n">
        <v>5</v>
      </c>
      <c r="M1836">
        <f>VLOOKUP(D1836,State_Lookup!$A$2:$B$28,2,FALSE)</f>
        <v/>
      </c>
    </row>
    <row r="1837">
      <c r="A1837" t="inlineStr">
        <is>
          <t>189ce876121fdc47b810933fb0b4f4bd</t>
        </is>
      </c>
      <c r="B1837" t="inlineStr">
        <is>
          <t>2017-11-24</t>
        </is>
      </c>
      <c r="C1837" t="inlineStr">
        <is>
          <t>2017-11</t>
        </is>
      </c>
      <c r="D1837" t="inlineStr">
        <is>
          <t>RJ</t>
        </is>
      </c>
      <c r="E1837" t="inlineStr">
        <is>
          <t>garden_tools</t>
        </is>
      </c>
      <c r="F1837" t="n">
        <v>1</v>
      </c>
      <c r="G1837" t="n">
        <v>49</v>
      </c>
      <c r="H1837" t="n">
        <v>17.64</v>
      </c>
      <c r="I1837" t="inlineStr">
        <is>
          <t>voucher</t>
        </is>
      </c>
      <c r="J1837" t="n">
        <v>10</v>
      </c>
      <c r="K1837" t="inlineStr">
        <is>
          <t>On Time</t>
        </is>
      </c>
      <c r="L1837" t="n">
        <v>5</v>
      </c>
      <c r="M1837">
        <f>VLOOKUP(D1837,State_Lookup!$A$2:$B$28,2,FALSE)</f>
        <v/>
      </c>
    </row>
    <row r="1838">
      <c r="A1838" t="inlineStr">
        <is>
          <t>3d2d939521e7bcf1be4b407ff2690e5f</t>
        </is>
      </c>
      <c r="B1838" t="inlineStr">
        <is>
          <t>2017-11-24</t>
        </is>
      </c>
      <c r="C1838" t="inlineStr">
        <is>
          <t>2017-11</t>
        </is>
      </c>
      <c r="D1838" t="inlineStr">
        <is>
          <t>BA</t>
        </is>
      </c>
      <c r="E1838" t="inlineStr">
        <is>
          <t>food</t>
        </is>
      </c>
      <c r="F1838" t="n">
        <v>3</v>
      </c>
      <c r="G1838" t="n">
        <v>58.86</v>
      </c>
      <c r="H1838" t="n">
        <v>50.37</v>
      </c>
      <c r="I1838" t="inlineStr">
        <is>
          <t>credit_card</t>
        </is>
      </c>
      <c r="J1838" t="inlineStr"/>
      <c r="K1838" t="inlineStr">
        <is>
          <t>Not Delivered</t>
        </is>
      </c>
      <c r="L1838" t="inlineStr"/>
      <c r="M1838">
        <f>VLOOKUP(D1838,State_Lookup!$A$2:$B$28,2,FALSE)</f>
        <v/>
      </c>
    </row>
    <row r="1839">
      <c r="A1839" t="inlineStr">
        <is>
          <t>854135793f7e0c5c07d4f72b32125b92</t>
        </is>
      </c>
      <c r="B1839" t="inlineStr">
        <is>
          <t>2017-11-24</t>
        </is>
      </c>
      <c r="C1839" t="inlineStr">
        <is>
          <t>2017-11</t>
        </is>
      </c>
      <c r="D1839" t="inlineStr">
        <is>
          <t>PR</t>
        </is>
      </c>
      <c r="E1839" t="inlineStr">
        <is>
          <t>stationery</t>
        </is>
      </c>
      <c r="F1839" t="n">
        <v>1</v>
      </c>
      <c r="G1839" t="n">
        <v>179</v>
      </c>
      <c r="H1839" t="n">
        <v>57.92</v>
      </c>
      <c r="I1839" t="inlineStr">
        <is>
          <t>credit_card</t>
        </is>
      </c>
      <c r="J1839" t="n">
        <v>23</v>
      </c>
      <c r="K1839" t="inlineStr">
        <is>
          <t>On Time</t>
        </is>
      </c>
      <c r="L1839" t="n">
        <v>4</v>
      </c>
      <c r="M1839">
        <f>VLOOKUP(D1839,State_Lookup!$A$2:$B$28,2,FALSE)</f>
        <v/>
      </c>
    </row>
    <row r="1840">
      <c r="A1840" t="inlineStr">
        <is>
          <t>a557a0d8ff0129cd241d2bca612b3d6f</t>
        </is>
      </c>
      <c r="B1840" t="inlineStr">
        <is>
          <t>2017-11-24</t>
        </is>
      </c>
      <c r="C1840" t="inlineStr">
        <is>
          <t>2017-11</t>
        </is>
      </c>
      <c r="D1840" t="inlineStr">
        <is>
          <t>SP</t>
        </is>
      </c>
      <c r="E1840" t="inlineStr">
        <is>
          <t>furniture_decor</t>
        </is>
      </c>
      <c r="F1840" t="n">
        <v>2</v>
      </c>
      <c r="G1840" t="n">
        <v>59.8</v>
      </c>
      <c r="H1840" t="n">
        <v>23.7</v>
      </c>
      <c r="I1840" t="inlineStr">
        <is>
          <t>credit_card</t>
        </is>
      </c>
      <c r="J1840" t="n">
        <v>6</v>
      </c>
      <c r="K1840" t="inlineStr">
        <is>
          <t>On Time</t>
        </is>
      </c>
      <c r="L1840" t="n">
        <v>5</v>
      </c>
      <c r="M1840">
        <f>VLOOKUP(D1840,State_Lookup!$A$2:$B$28,2,FALSE)</f>
        <v/>
      </c>
    </row>
    <row r="1841">
      <c r="A1841" t="inlineStr">
        <is>
          <t>26d6ab35f3c0f7b157fc147026e1ebbc</t>
        </is>
      </c>
      <c r="B1841" t="inlineStr">
        <is>
          <t>2017-11-24</t>
        </is>
      </c>
      <c r="C1841" t="inlineStr">
        <is>
          <t>2017-11</t>
        </is>
      </c>
      <c r="D1841" t="inlineStr">
        <is>
          <t>SP</t>
        </is>
      </c>
      <c r="E1841" t="inlineStr">
        <is>
          <t>toys</t>
        </is>
      </c>
      <c r="F1841" t="n">
        <v>1</v>
      </c>
      <c r="G1841" t="n">
        <v>102.5</v>
      </c>
      <c r="H1841" t="n">
        <v>13.74</v>
      </c>
      <c r="I1841" t="inlineStr">
        <is>
          <t>credit_card</t>
        </is>
      </c>
      <c r="J1841" t="n">
        <v>12</v>
      </c>
      <c r="K1841" t="inlineStr">
        <is>
          <t>On Time</t>
        </is>
      </c>
      <c r="L1841" t="n">
        <v>3</v>
      </c>
      <c r="M1841">
        <f>VLOOKUP(D1841,State_Lookup!$A$2:$B$28,2,FALSE)</f>
        <v/>
      </c>
    </row>
    <row r="1842">
      <c r="A1842" t="inlineStr">
        <is>
          <t>c0e184ce4df1d9df3ef40938ab7ee173</t>
        </is>
      </c>
      <c r="B1842" t="inlineStr">
        <is>
          <t>2017-11-24</t>
        </is>
      </c>
      <c r="C1842" t="inlineStr">
        <is>
          <t>2017-11</t>
        </is>
      </c>
      <c r="D1842" t="inlineStr">
        <is>
          <t>PR</t>
        </is>
      </c>
      <c r="E1842" t="inlineStr">
        <is>
          <t>food_drink</t>
        </is>
      </c>
      <c r="F1842" t="n">
        <v>1</v>
      </c>
      <c r="G1842" t="n">
        <v>119.9</v>
      </c>
      <c r="H1842" t="n">
        <v>36.16</v>
      </c>
      <c r="I1842" t="inlineStr">
        <is>
          <t>credit_card</t>
        </is>
      </c>
      <c r="J1842" t="n">
        <v>27</v>
      </c>
      <c r="K1842" t="inlineStr">
        <is>
          <t>Late</t>
        </is>
      </c>
      <c r="L1842" t="n">
        <v>1</v>
      </c>
      <c r="M1842">
        <f>VLOOKUP(D1842,State_Lookup!$A$2:$B$28,2,FALSE)</f>
        <v/>
      </c>
    </row>
    <row r="1843">
      <c r="A1843" t="inlineStr">
        <is>
          <t>e95de39b06926e7e123cb18e3a99dbf7</t>
        </is>
      </c>
      <c r="B1843" t="inlineStr">
        <is>
          <t>2017-11-24</t>
        </is>
      </c>
      <c r="C1843" t="inlineStr">
        <is>
          <t>2017-11</t>
        </is>
      </c>
      <c r="D1843" t="inlineStr">
        <is>
          <t>SP</t>
        </is>
      </c>
      <c r="E1843" t="inlineStr">
        <is>
          <t>bed_bath_table</t>
        </is>
      </c>
      <c r="F1843" t="n">
        <v>1</v>
      </c>
      <c r="G1843" t="n">
        <v>109.9</v>
      </c>
      <c r="H1843" t="n">
        <v>13.79</v>
      </c>
      <c r="I1843" t="inlineStr">
        <is>
          <t>credit_card</t>
        </is>
      </c>
      <c r="J1843" t="n">
        <v>17</v>
      </c>
      <c r="K1843" t="inlineStr">
        <is>
          <t>On Time</t>
        </is>
      </c>
      <c r="L1843" t="n">
        <v>3</v>
      </c>
      <c r="M1843">
        <f>VLOOKUP(D1843,State_Lookup!$A$2:$B$28,2,FALSE)</f>
        <v/>
      </c>
    </row>
    <row r="1844">
      <c r="A1844" t="inlineStr">
        <is>
          <t>b048658d074ad2c4863ea7021ddfe990</t>
        </is>
      </c>
      <c r="B1844" t="inlineStr">
        <is>
          <t>2017-11-24</t>
        </is>
      </c>
      <c r="C1844" t="inlineStr">
        <is>
          <t>2017-11</t>
        </is>
      </c>
      <c r="D1844" t="inlineStr">
        <is>
          <t>SP</t>
        </is>
      </c>
      <c r="E1844" t="inlineStr">
        <is>
          <t>electronics</t>
        </is>
      </c>
      <c r="F1844" t="n">
        <v>1</v>
      </c>
      <c r="G1844" t="n">
        <v>189.9</v>
      </c>
      <c r="H1844" t="n">
        <v>17.03</v>
      </c>
      <c r="I1844" t="inlineStr">
        <is>
          <t>credit_card</t>
        </is>
      </c>
      <c r="J1844" t="n">
        <v>7</v>
      </c>
      <c r="K1844" t="inlineStr">
        <is>
          <t>On Time</t>
        </is>
      </c>
      <c r="L1844" t="n">
        <v>1</v>
      </c>
      <c r="M1844">
        <f>VLOOKUP(D1844,State_Lookup!$A$2:$B$28,2,FALSE)</f>
        <v/>
      </c>
    </row>
    <row r="1845">
      <c r="A1845" t="inlineStr">
        <is>
          <t>c8ebc5287c1e130db3ef5c6d50dc24eb</t>
        </is>
      </c>
      <c r="B1845" t="inlineStr">
        <is>
          <t>2017-11-24</t>
        </is>
      </c>
      <c r="C1845" t="inlineStr">
        <is>
          <t>2017-11</t>
        </is>
      </c>
      <c r="D1845" t="inlineStr">
        <is>
          <t>MG</t>
        </is>
      </c>
      <c r="E1845" t="inlineStr">
        <is>
          <t>small_appliances</t>
        </is>
      </c>
      <c r="F1845" t="n">
        <v>1</v>
      </c>
      <c r="G1845" t="n">
        <v>129.9</v>
      </c>
      <c r="H1845" t="n">
        <v>18.16</v>
      </c>
      <c r="I1845" t="inlineStr">
        <is>
          <t>credit_card</t>
        </is>
      </c>
      <c r="J1845" t="n">
        <v>27</v>
      </c>
      <c r="K1845" t="inlineStr">
        <is>
          <t>Late</t>
        </is>
      </c>
      <c r="L1845" t="n">
        <v>3</v>
      </c>
      <c r="M1845">
        <f>VLOOKUP(D1845,State_Lookup!$A$2:$B$28,2,FALSE)</f>
        <v/>
      </c>
    </row>
    <row r="1846">
      <c r="A1846" t="inlineStr">
        <is>
          <t>13ff6c4c055b81a28af3b21f157f4255</t>
        </is>
      </c>
      <c r="B1846" t="inlineStr">
        <is>
          <t>2017-11-24</t>
        </is>
      </c>
      <c r="C1846" t="inlineStr">
        <is>
          <t>2017-11</t>
        </is>
      </c>
      <c r="D1846" t="inlineStr">
        <is>
          <t>SP</t>
        </is>
      </c>
      <c r="E1846" t="inlineStr">
        <is>
          <t>perfumery</t>
        </is>
      </c>
      <c r="F1846" t="n">
        <v>1</v>
      </c>
      <c r="G1846" t="n">
        <v>56.99</v>
      </c>
      <c r="H1846" t="n">
        <v>8.720000000000001</v>
      </c>
      <c r="I1846" t="inlineStr">
        <is>
          <t>credit_card</t>
        </is>
      </c>
      <c r="J1846" t="n">
        <v>10</v>
      </c>
      <c r="K1846" t="inlineStr">
        <is>
          <t>On Time</t>
        </is>
      </c>
      <c r="L1846" t="n">
        <v>5</v>
      </c>
      <c r="M1846">
        <f>VLOOKUP(D1846,State_Lookup!$A$2:$B$28,2,FALSE)</f>
        <v/>
      </c>
    </row>
    <row r="1847">
      <c r="A1847" t="inlineStr">
        <is>
          <t>341fd75c5d23b024ba2c98c53b491adb</t>
        </is>
      </c>
      <c r="B1847" t="inlineStr">
        <is>
          <t>2017-11-24</t>
        </is>
      </c>
      <c r="C1847" t="inlineStr">
        <is>
          <t>2017-11</t>
        </is>
      </c>
      <c r="D1847" t="inlineStr">
        <is>
          <t>RS</t>
        </is>
      </c>
      <c r="E1847" t="inlineStr">
        <is>
          <t>telephony</t>
        </is>
      </c>
      <c r="F1847" t="n">
        <v>1</v>
      </c>
      <c r="G1847" t="n">
        <v>29.5</v>
      </c>
      <c r="H1847" t="n">
        <v>14.1</v>
      </c>
      <c r="I1847" t="inlineStr">
        <is>
          <t>credit_card</t>
        </is>
      </c>
      <c r="J1847" t="n">
        <v>10</v>
      </c>
      <c r="K1847" t="inlineStr">
        <is>
          <t>On Time</t>
        </is>
      </c>
      <c r="L1847" t="n">
        <v>5</v>
      </c>
      <c r="M1847">
        <f>VLOOKUP(D1847,State_Lookup!$A$2:$B$28,2,FALSE)</f>
        <v/>
      </c>
    </row>
    <row r="1848">
      <c r="A1848" t="inlineStr">
        <is>
          <t>4a9535cd904e916ca0286823298d30ed</t>
        </is>
      </c>
      <c r="B1848" t="inlineStr">
        <is>
          <t>2017-11-24</t>
        </is>
      </c>
      <c r="C1848" t="inlineStr">
        <is>
          <t>2017-11</t>
        </is>
      </c>
      <c r="D1848" t="inlineStr">
        <is>
          <t>SP</t>
        </is>
      </c>
      <c r="E1848" t="inlineStr">
        <is>
          <t>perfumery</t>
        </is>
      </c>
      <c r="F1848" t="n">
        <v>1</v>
      </c>
      <c r="G1848" t="n">
        <v>339.9</v>
      </c>
      <c r="H1848" t="n">
        <v>18.14</v>
      </c>
      <c r="I1848" t="inlineStr">
        <is>
          <t>credit_card</t>
        </is>
      </c>
      <c r="J1848" t="n">
        <v>11</v>
      </c>
      <c r="K1848" t="inlineStr">
        <is>
          <t>On Time</t>
        </is>
      </c>
      <c r="L1848" t="n">
        <v>5</v>
      </c>
      <c r="M1848">
        <f>VLOOKUP(D1848,State_Lookup!$A$2:$B$28,2,FALSE)</f>
        <v/>
      </c>
    </row>
    <row r="1849">
      <c r="A1849" t="inlineStr">
        <is>
          <t>56ce64b53ec3bb5b0525f21506619f8e</t>
        </is>
      </c>
      <c r="B1849" t="inlineStr">
        <is>
          <t>2017-11-24</t>
        </is>
      </c>
      <c r="C1849" t="inlineStr">
        <is>
          <t>2017-11</t>
        </is>
      </c>
      <c r="D1849" t="inlineStr">
        <is>
          <t>RJ</t>
        </is>
      </c>
      <c r="E1849" t="inlineStr">
        <is>
          <t>garden_tools</t>
        </is>
      </c>
      <c r="F1849" t="n">
        <v>1</v>
      </c>
      <c r="G1849" t="n">
        <v>49</v>
      </c>
      <c r="H1849" t="n">
        <v>17.64</v>
      </c>
      <c r="I1849" t="inlineStr">
        <is>
          <t>credit_card</t>
        </is>
      </c>
      <c r="J1849" t="n">
        <v>11</v>
      </c>
      <c r="K1849" t="inlineStr">
        <is>
          <t>On Time</t>
        </is>
      </c>
      <c r="L1849" t="n">
        <v>5</v>
      </c>
      <c r="M1849">
        <f>VLOOKUP(D1849,State_Lookup!$A$2:$B$28,2,FALSE)</f>
        <v/>
      </c>
    </row>
    <row r="1850">
      <c r="A1850" t="inlineStr">
        <is>
          <t>0659ee4a8b8b8da8337c94d35e423c74</t>
        </is>
      </c>
      <c r="B1850" t="inlineStr">
        <is>
          <t>2017-11-24</t>
        </is>
      </c>
      <c r="C1850" t="inlineStr">
        <is>
          <t>2017-11</t>
        </is>
      </c>
      <c r="D1850" t="inlineStr">
        <is>
          <t>RS</t>
        </is>
      </c>
      <c r="E1850" t="inlineStr">
        <is>
          <t>sports_leisure</t>
        </is>
      </c>
      <c r="F1850" t="n">
        <v>3</v>
      </c>
      <c r="G1850" t="n">
        <v>315</v>
      </c>
      <c r="H1850" t="n">
        <v>53.94</v>
      </c>
      <c r="I1850" t="inlineStr">
        <is>
          <t>boleto</t>
        </is>
      </c>
      <c r="J1850" t="n">
        <v>7</v>
      </c>
      <c r="K1850" t="inlineStr">
        <is>
          <t>On Time</t>
        </is>
      </c>
      <c r="L1850" t="n">
        <v>5</v>
      </c>
      <c r="M1850">
        <f>VLOOKUP(D1850,State_Lookup!$A$2:$B$28,2,FALSE)</f>
        <v/>
      </c>
    </row>
    <row r="1851">
      <c r="A1851" t="inlineStr">
        <is>
          <t>2c84b2577e246ed9aa8ad68b0dee5be6</t>
        </is>
      </c>
      <c r="B1851" t="inlineStr">
        <is>
          <t>2017-11-24</t>
        </is>
      </c>
      <c r="C1851" t="inlineStr">
        <is>
          <t>2017-11</t>
        </is>
      </c>
      <c r="D1851" t="inlineStr">
        <is>
          <t>MG</t>
        </is>
      </c>
      <c r="E1851" t="inlineStr">
        <is>
          <t>computers_accessories</t>
        </is>
      </c>
      <c r="F1851" t="n">
        <v>1</v>
      </c>
      <c r="G1851" t="n">
        <v>27.9</v>
      </c>
      <c r="H1851" t="n">
        <v>12.48</v>
      </c>
      <c r="I1851" t="inlineStr">
        <is>
          <t>credit_card</t>
        </is>
      </c>
      <c r="J1851" t="n">
        <v>20</v>
      </c>
      <c r="K1851" t="inlineStr">
        <is>
          <t>On Time</t>
        </is>
      </c>
      <c r="L1851" t="n">
        <v>5</v>
      </c>
      <c r="M1851">
        <f>VLOOKUP(D1851,State_Lookup!$A$2:$B$28,2,FALSE)</f>
        <v/>
      </c>
    </row>
    <row r="1852">
      <c r="A1852" t="inlineStr">
        <is>
          <t>3cabe471faa982a15a1e8a9e4b71559e</t>
        </is>
      </c>
      <c r="B1852" t="inlineStr">
        <is>
          <t>2017-11-24</t>
        </is>
      </c>
      <c r="C1852" t="inlineStr">
        <is>
          <t>2017-11</t>
        </is>
      </c>
      <c r="D1852" t="inlineStr">
        <is>
          <t>RJ</t>
        </is>
      </c>
      <c r="E1852" t="inlineStr">
        <is>
          <t>health_beauty</t>
        </is>
      </c>
      <c r="F1852" t="n">
        <v>1</v>
      </c>
      <c r="G1852" t="n">
        <v>119.9</v>
      </c>
      <c r="H1852" t="n">
        <v>15.59</v>
      </c>
      <c r="I1852" t="inlineStr">
        <is>
          <t>credit_card</t>
        </is>
      </c>
      <c r="J1852" t="n">
        <v>21</v>
      </c>
      <c r="K1852" t="inlineStr">
        <is>
          <t>Late</t>
        </is>
      </c>
      <c r="L1852" t="n">
        <v>5</v>
      </c>
      <c r="M1852">
        <f>VLOOKUP(D1852,State_Lookup!$A$2:$B$28,2,FALSE)</f>
        <v/>
      </c>
    </row>
    <row r="1853">
      <c r="A1853" t="inlineStr">
        <is>
          <t>343214a6de71b79c0166799ba08e148f</t>
        </is>
      </c>
      <c r="B1853" t="inlineStr">
        <is>
          <t>2017-11-24</t>
        </is>
      </c>
      <c r="C1853" t="inlineStr">
        <is>
          <t>2017-11</t>
        </is>
      </c>
      <c r="D1853" t="inlineStr">
        <is>
          <t>SP</t>
        </is>
      </c>
      <c r="E1853" t="inlineStr">
        <is>
          <t>computers_accessories</t>
        </is>
      </c>
      <c r="F1853" t="n">
        <v>1</v>
      </c>
      <c r="G1853" t="n">
        <v>49.9</v>
      </c>
      <c r="H1853" t="n">
        <v>9.27</v>
      </c>
      <c r="I1853" t="inlineStr">
        <is>
          <t>credit_card</t>
        </is>
      </c>
      <c r="J1853" t="n">
        <v>6</v>
      </c>
      <c r="K1853" t="inlineStr">
        <is>
          <t>On Time</t>
        </is>
      </c>
      <c r="L1853" t="n">
        <v>5</v>
      </c>
      <c r="M1853">
        <f>VLOOKUP(D1853,State_Lookup!$A$2:$B$28,2,FALSE)</f>
        <v/>
      </c>
    </row>
    <row r="1854">
      <c r="A1854" t="inlineStr">
        <is>
          <t>f07ac180675b94d4fe8f697eb2f87d12</t>
        </is>
      </c>
      <c r="B1854" t="inlineStr">
        <is>
          <t>2017-11-24</t>
        </is>
      </c>
      <c r="C1854" t="inlineStr">
        <is>
          <t>2017-11</t>
        </is>
      </c>
      <c r="D1854" t="inlineStr">
        <is>
          <t>PR</t>
        </is>
      </c>
      <c r="E1854" t="inlineStr">
        <is>
          <t>pet_shop</t>
        </is>
      </c>
      <c r="F1854" t="n">
        <v>1</v>
      </c>
      <c r="G1854" t="n">
        <v>109.9</v>
      </c>
      <c r="H1854" t="n">
        <v>16.53</v>
      </c>
      <c r="I1854" t="inlineStr">
        <is>
          <t>credit_card</t>
        </is>
      </c>
      <c r="J1854" t="n">
        <v>19</v>
      </c>
      <c r="K1854" t="inlineStr">
        <is>
          <t>On Time</t>
        </is>
      </c>
      <c r="L1854" t="n">
        <v>3</v>
      </c>
      <c r="M1854">
        <f>VLOOKUP(D1854,State_Lookup!$A$2:$B$28,2,FALSE)</f>
        <v/>
      </c>
    </row>
    <row r="1855">
      <c r="A1855" t="inlineStr">
        <is>
          <t>5f3855c579e82a703b52d837e9b0688b</t>
        </is>
      </c>
      <c r="B1855" t="inlineStr">
        <is>
          <t>2017-11-24</t>
        </is>
      </c>
      <c r="C1855" t="inlineStr">
        <is>
          <t>2017-11</t>
        </is>
      </c>
      <c r="D1855" t="inlineStr">
        <is>
          <t>SP</t>
        </is>
      </c>
      <c r="E1855" t="inlineStr">
        <is>
          <t>housewares</t>
        </is>
      </c>
      <c r="F1855" t="n">
        <v>1</v>
      </c>
      <c r="G1855" t="n">
        <v>99</v>
      </c>
      <c r="H1855" t="n">
        <v>16.94</v>
      </c>
      <c r="I1855" t="inlineStr">
        <is>
          <t>boleto</t>
        </is>
      </c>
      <c r="J1855" t="n">
        <v>11</v>
      </c>
      <c r="K1855" t="inlineStr">
        <is>
          <t>On Time</t>
        </is>
      </c>
      <c r="L1855" t="n">
        <v>5</v>
      </c>
      <c r="M1855">
        <f>VLOOKUP(D1855,State_Lookup!$A$2:$B$28,2,FALSE)</f>
        <v/>
      </c>
    </row>
    <row r="1856">
      <c r="A1856" t="inlineStr">
        <is>
          <t>266d1afe42f1f376499cdd8e6df164d9</t>
        </is>
      </c>
      <c r="B1856" t="inlineStr">
        <is>
          <t>2017-11-24</t>
        </is>
      </c>
      <c r="C1856" t="inlineStr">
        <is>
          <t>2017-11</t>
        </is>
      </c>
      <c r="D1856" t="inlineStr">
        <is>
          <t>SP</t>
        </is>
      </c>
      <c r="E1856" t="inlineStr">
        <is>
          <t>auto</t>
        </is>
      </c>
      <c r="F1856" t="n">
        <v>1</v>
      </c>
      <c r="G1856" t="n">
        <v>27.99</v>
      </c>
      <c r="H1856" t="n">
        <v>13.08</v>
      </c>
      <c r="I1856" t="inlineStr">
        <is>
          <t>boleto</t>
        </is>
      </c>
      <c r="J1856" t="n">
        <v>5</v>
      </c>
      <c r="K1856" t="inlineStr">
        <is>
          <t>On Time</t>
        </is>
      </c>
      <c r="L1856" t="n">
        <v>5</v>
      </c>
      <c r="M1856">
        <f>VLOOKUP(D1856,State_Lookup!$A$2:$B$28,2,FALSE)</f>
        <v/>
      </c>
    </row>
    <row r="1857">
      <c r="A1857" t="inlineStr">
        <is>
          <t>c48c006cc34f94c1fb2aa8afd2c1cc9f</t>
        </is>
      </c>
      <c r="B1857" t="inlineStr">
        <is>
          <t>2017-11-24</t>
        </is>
      </c>
      <c r="C1857" t="inlineStr">
        <is>
          <t>2017-11</t>
        </is>
      </c>
      <c r="D1857" t="inlineStr">
        <is>
          <t>RN</t>
        </is>
      </c>
      <c r="E1857" t="inlineStr">
        <is>
          <t>garden_tools</t>
        </is>
      </c>
      <c r="F1857" t="n">
        <v>2</v>
      </c>
      <c r="G1857" t="n">
        <v>98</v>
      </c>
      <c r="H1857" t="n">
        <v>75.94</v>
      </c>
      <c r="I1857" t="inlineStr">
        <is>
          <t>boleto</t>
        </is>
      </c>
      <c r="J1857" t="n">
        <v>46</v>
      </c>
      <c r="K1857" t="inlineStr">
        <is>
          <t>Late</t>
        </is>
      </c>
      <c r="L1857" t="n">
        <v>2</v>
      </c>
      <c r="M1857">
        <f>VLOOKUP(D1857,State_Lookup!$A$2:$B$28,2,FALSE)</f>
        <v/>
      </c>
    </row>
    <row r="1858">
      <c r="A1858" t="inlineStr">
        <is>
          <t>5ca576efef06ad46cc98cb34e358ba42</t>
        </is>
      </c>
      <c r="B1858" t="inlineStr">
        <is>
          <t>2017-11-24</t>
        </is>
      </c>
      <c r="C1858" t="inlineStr">
        <is>
          <t>2017-11</t>
        </is>
      </c>
      <c r="D1858" t="inlineStr">
        <is>
          <t>SP</t>
        </is>
      </c>
      <c r="E1858" t="inlineStr">
        <is>
          <t>bed_bath_table</t>
        </is>
      </c>
      <c r="F1858" t="n">
        <v>1</v>
      </c>
      <c r="G1858" t="n">
        <v>89.90000000000001</v>
      </c>
      <c r="H1858" t="n">
        <v>12.33</v>
      </c>
      <c r="I1858" t="inlineStr">
        <is>
          <t>credit_card</t>
        </is>
      </c>
      <c r="J1858" t="n">
        <v>5</v>
      </c>
      <c r="K1858" t="inlineStr">
        <is>
          <t>On Time</t>
        </is>
      </c>
      <c r="L1858" t="n">
        <v>5</v>
      </c>
      <c r="M1858">
        <f>VLOOKUP(D1858,State_Lookup!$A$2:$B$28,2,FALSE)</f>
        <v/>
      </c>
    </row>
    <row r="1859">
      <c r="A1859" t="inlineStr">
        <is>
          <t>90acf5654782a289ffd89f1759287595</t>
        </is>
      </c>
      <c r="B1859" t="inlineStr">
        <is>
          <t>2017-11-24</t>
        </is>
      </c>
      <c r="C1859" t="inlineStr">
        <is>
          <t>2017-11</t>
        </is>
      </c>
      <c r="D1859" t="inlineStr">
        <is>
          <t>MG</t>
        </is>
      </c>
      <c r="E1859" t="inlineStr">
        <is>
          <t>baby</t>
        </is>
      </c>
      <c r="F1859" t="n">
        <v>1</v>
      </c>
      <c r="G1859" t="n">
        <v>29.9</v>
      </c>
      <c r="H1859" t="n">
        <v>15.79</v>
      </c>
      <c r="I1859" t="inlineStr">
        <is>
          <t>credit_card</t>
        </is>
      </c>
      <c r="J1859" t="n">
        <v>17</v>
      </c>
      <c r="K1859" t="inlineStr">
        <is>
          <t>On Time</t>
        </is>
      </c>
      <c r="L1859" t="n">
        <v>5</v>
      </c>
      <c r="M1859">
        <f>VLOOKUP(D1859,State_Lookup!$A$2:$B$28,2,FALSE)</f>
        <v/>
      </c>
    </row>
    <row r="1860">
      <c r="A1860" t="inlineStr">
        <is>
          <t>0d597bde3929912cb11ba2fe571a4267</t>
        </is>
      </c>
      <c r="B1860" t="inlineStr">
        <is>
          <t>2017-11-24</t>
        </is>
      </c>
      <c r="C1860" t="inlineStr">
        <is>
          <t>2017-11</t>
        </is>
      </c>
      <c r="D1860" t="inlineStr">
        <is>
          <t>RJ</t>
        </is>
      </c>
      <c r="E1860" t="inlineStr">
        <is>
          <t>garden_tools</t>
        </is>
      </c>
      <c r="F1860" t="n">
        <v>1</v>
      </c>
      <c r="G1860" t="n">
        <v>49</v>
      </c>
      <c r="H1860" t="n">
        <v>17.67</v>
      </c>
      <c r="I1860" t="inlineStr">
        <is>
          <t>credit_card</t>
        </is>
      </c>
      <c r="J1860" t="n">
        <v>22</v>
      </c>
      <c r="K1860" t="inlineStr">
        <is>
          <t>On Time</t>
        </is>
      </c>
      <c r="L1860" t="n">
        <v>5</v>
      </c>
      <c r="M1860">
        <f>VLOOKUP(D1860,State_Lookup!$A$2:$B$28,2,FALSE)</f>
        <v/>
      </c>
    </row>
    <row r="1861">
      <c r="A1861" t="inlineStr">
        <is>
          <t>484216e35682c86df2d5548a94d08cbb</t>
        </is>
      </c>
      <c r="B1861" t="inlineStr">
        <is>
          <t>2017-11-24</t>
        </is>
      </c>
      <c r="C1861" t="inlineStr">
        <is>
          <t>2017-11</t>
        </is>
      </c>
      <c r="D1861" t="inlineStr">
        <is>
          <t>SP</t>
        </is>
      </c>
      <c r="E1861" t="inlineStr">
        <is>
          <t>watches_gifts</t>
        </is>
      </c>
      <c r="F1861" t="n">
        <v>1</v>
      </c>
      <c r="G1861" t="n">
        <v>99.34999999999999</v>
      </c>
      <c r="H1861" t="n">
        <v>14.45</v>
      </c>
      <c r="I1861" t="inlineStr">
        <is>
          <t>credit_card</t>
        </is>
      </c>
      <c r="J1861" t="n">
        <v>13</v>
      </c>
      <c r="K1861" t="inlineStr">
        <is>
          <t>On Time</t>
        </is>
      </c>
      <c r="L1861" t="n">
        <v>1</v>
      </c>
      <c r="M1861">
        <f>VLOOKUP(D1861,State_Lookup!$A$2:$B$28,2,FALSE)</f>
        <v/>
      </c>
    </row>
    <row r="1862">
      <c r="A1862" t="inlineStr">
        <is>
          <t>d688d29e40c2038d1ed9dff624fc9490</t>
        </is>
      </c>
      <c r="B1862" t="inlineStr">
        <is>
          <t>2017-11-24</t>
        </is>
      </c>
      <c r="C1862" t="inlineStr">
        <is>
          <t>2017-11</t>
        </is>
      </c>
      <c r="D1862" t="inlineStr">
        <is>
          <t>SC</t>
        </is>
      </c>
      <c r="E1862" t="inlineStr">
        <is>
          <t>fashion_bags_accessories</t>
        </is>
      </c>
      <c r="F1862" t="n">
        <v>1</v>
      </c>
      <c r="G1862" t="n">
        <v>119.99</v>
      </c>
      <c r="H1862" t="n">
        <v>16.6</v>
      </c>
      <c r="I1862" t="inlineStr">
        <is>
          <t>boleto</t>
        </is>
      </c>
      <c r="J1862" t="n">
        <v>14</v>
      </c>
      <c r="K1862" t="inlineStr">
        <is>
          <t>On Time</t>
        </is>
      </c>
      <c r="L1862" t="n">
        <v>5</v>
      </c>
      <c r="M1862">
        <f>VLOOKUP(D1862,State_Lookup!$A$2:$B$28,2,FALSE)</f>
        <v/>
      </c>
    </row>
    <row r="1863">
      <c r="A1863" t="inlineStr">
        <is>
          <t>dc8ffb2856b34d44541032dff3d0eb5c</t>
        </is>
      </c>
      <c r="B1863" t="inlineStr">
        <is>
          <t>2017-11-24</t>
        </is>
      </c>
      <c r="C1863" t="inlineStr">
        <is>
          <t>2017-11</t>
        </is>
      </c>
      <c r="D1863" t="inlineStr">
        <is>
          <t>MG</t>
        </is>
      </c>
      <c r="E1863" t="inlineStr">
        <is>
          <t>consoles_games</t>
        </is>
      </c>
      <c r="F1863" t="n">
        <v>1</v>
      </c>
      <c r="G1863" t="n">
        <v>24.5</v>
      </c>
      <c r="H1863" t="n">
        <v>15.1</v>
      </c>
      <c r="I1863" t="inlineStr">
        <is>
          <t>debit_card</t>
        </is>
      </c>
      <c r="J1863" t="n">
        <v>10</v>
      </c>
      <c r="K1863" t="inlineStr">
        <is>
          <t>On Time</t>
        </is>
      </c>
      <c r="L1863" t="n">
        <v>5</v>
      </c>
      <c r="M1863">
        <f>VLOOKUP(D1863,State_Lookup!$A$2:$B$28,2,FALSE)</f>
        <v/>
      </c>
    </row>
    <row r="1864">
      <c r="A1864" t="inlineStr">
        <is>
          <t>7937987ff13bd22aa39304d525e1eafe</t>
        </is>
      </c>
      <c r="B1864" t="inlineStr">
        <is>
          <t>2017-11-24</t>
        </is>
      </c>
      <c r="C1864" t="inlineStr">
        <is>
          <t>2017-11</t>
        </is>
      </c>
      <c r="D1864" t="inlineStr">
        <is>
          <t>RJ</t>
        </is>
      </c>
      <c r="E1864" t="inlineStr">
        <is>
          <t>watches_gifts</t>
        </is>
      </c>
      <c r="F1864" t="n">
        <v>1</v>
      </c>
      <c r="G1864" t="n">
        <v>899</v>
      </c>
      <c r="H1864" t="n">
        <v>22.05</v>
      </c>
      <c r="I1864" t="inlineStr">
        <is>
          <t>credit_card</t>
        </is>
      </c>
      <c r="J1864" t="n">
        <v>18</v>
      </c>
      <c r="K1864" t="inlineStr">
        <is>
          <t>On Time</t>
        </is>
      </c>
      <c r="L1864" t="n">
        <v>3</v>
      </c>
      <c r="M1864">
        <f>VLOOKUP(D1864,State_Lookup!$A$2:$B$28,2,FALSE)</f>
        <v/>
      </c>
    </row>
    <row r="1865">
      <c r="A1865" t="inlineStr">
        <is>
          <t>ca759ab8f22c84329b8dbcb5192ef923</t>
        </is>
      </c>
      <c r="B1865" t="inlineStr">
        <is>
          <t>2017-11-24</t>
        </is>
      </c>
      <c r="C1865" t="inlineStr">
        <is>
          <t>2017-11</t>
        </is>
      </c>
      <c r="D1865" t="inlineStr">
        <is>
          <t>SP</t>
        </is>
      </c>
      <c r="E1865" t="inlineStr">
        <is>
          <t>bed_bath_table</t>
        </is>
      </c>
      <c r="F1865" t="n">
        <v>1</v>
      </c>
      <c r="G1865" t="n">
        <v>159.9</v>
      </c>
      <c r="H1865" t="n">
        <v>25.96</v>
      </c>
      <c r="I1865" t="inlineStr">
        <is>
          <t>credit_card</t>
        </is>
      </c>
      <c r="J1865" t="n">
        <v>84</v>
      </c>
      <c r="K1865" t="inlineStr">
        <is>
          <t>Late</t>
        </is>
      </c>
      <c r="L1865" t="n">
        <v>1</v>
      </c>
      <c r="M1865">
        <f>VLOOKUP(D1865,State_Lookup!$A$2:$B$28,2,FALSE)</f>
        <v/>
      </c>
    </row>
    <row r="1866">
      <c r="A1866" t="inlineStr">
        <is>
          <t>6b4fe75bdf8d4a467678bc8f2132c06a</t>
        </is>
      </c>
      <c r="B1866" t="inlineStr">
        <is>
          <t>2017-11-24</t>
        </is>
      </c>
      <c r="C1866" t="inlineStr">
        <is>
          <t>2017-11</t>
        </is>
      </c>
      <c r="D1866" t="inlineStr">
        <is>
          <t>SP</t>
        </is>
      </c>
      <c r="E1866" t="inlineStr">
        <is>
          <t>health_beauty</t>
        </is>
      </c>
      <c r="F1866" t="n">
        <v>1</v>
      </c>
      <c r="G1866" t="n">
        <v>168.8</v>
      </c>
      <c r="H1866" t="n">
        <v>14.93</v>
      </c>
      <c r="I1866" t="inlineStr">
        <is>
          <t>credit_card</t>
        </is>
      </c>
      <c r="J1866" t="n">
        <v>18</v>
      </c>
      <c r="K1866" t="inlineStr">
        <is>
          <t>On Time</t>
        </is>
      </c>
      <c r="L1866" t="n">
        <v>5</v>
      </c>
      <c r="M1866">
        <f>VLOOKUP(D1866,State_Lookup!$A$2:$B$28,2,FALSE)</f>
        <v/>
      </c>
    </row>
    <row r="1867">
      <c r="A1867" t="inlineStr">
        <is>
          <t>18fbfa7be165a2404fcf5ab2d071d80e</t>
        </is>
      </c>
      <c r="B1867" t="inlineStr">
        <is>
          <t>2017-11-24</t>
        </is>
      </c>
      <c r="C1867" t="inlineStr">
        <is>
          <t>2017-11</t>
        </is>
      </c>
      <c r="D1867" t="inlineStr">
        <is>
          <t>SP</t>
        </is>
      </c>
      <c r="E1867" t="inlineStr">
        <is>
          <t>sports_leisure</t>
        </is>
      </c>
      <c r="F1867" t="n">
        <v>1</v>
      </c>
      <c r="G1867" t="n">
        <v>49.99</v>
      </c>
      <c r="H1867" t="n">
        <v>14.1</v>
      </c>
      <c r="I1867" t="inlineStr">
        <is>
          <t>credit_card</t>
        </is>
      </c>
      <c r="J1867" t="n">
        <v>11</v>
      </c>
      <c r="K1867" t="inlineStr">
        <is>
          <t>On Time</t>
        </is>
      </c>
      <c r="L1867" t="n">
        <v>3</v>
      </c>
      <c r="M1867">
        <f>VLOOKUP(D1867,State_Lookup!$A$2:$B$28,2,FALSE)</f>
        <v/>
      </c>
    </row>
    <row r="1868">
      <c r="A1868" t="inlineStr">
        <is>
          <t>82a7cba8d70a10e7e0e44e41a30772f7</t>
        </is>
      </c>
      <c r="B1868" t="inlineStr">
        <is>
          <t>2017-11-24</t>
        </is>
      </c>
      <c r="C1868" t="inlineStr">
        <is>
          <t>2017-11</t>
        </is>
      </c>
      <c r="D1868" t="inlineStr">
        <is>
          <t>SP</t>
        </is>
      </c>
      <c r="E1868" t="inlineStr">
        <is>
          <t>perfumery</t>
        </is>
      </c>
      <c r="F1868" t="n">
        <v>1</v>
      </c>
      <c r="G1868" t="n">
        <v>13.99</v>
      </c>
      <c r="H1868" t="n">
        <v>7.78</v>
      </c>
      <c r="I1868" t="inlineStr">
        <is>
          <t>credit_card</t>
        </is>
      </c>
      <c r="J1868" t="n">
        <v>10</v>
      </c>
      <c r="K1868" t="inlineStr">
        <is>
          <t>On Time</t>
        </is>
      </c>
      <c r="L1868" t="n">
        <v>2</v>
      </c>
      <c r="M1868">
        <f>VLOOKUP(D1868,State_Lookup!$A$2:$B$28,2,FALSE)</f>
        <v/>
      </c>
    </row>
    <row r="1869">
      <c r="A1869" t="inlineStr">
        <is>
          <t>87992a0761a3c7c023b54a5e2ce752cf</t>
        </is>
      </c>
      <c r="B1869" t="inlineStr">
        <is>
          <t>2017-11-24</t>
        </is>
      </c>
      <c r="C1869" t="inlineStr">
        <is>
          <t>2017-11</t>
        </is>
      </c>
      <c r="D1869" t="inlineStr">
        <is>
          <t>SP</t>
        </is>
      </c>
      <c r="E1869" t="inlineStr">
        <is>
          <t>furniture_decor</t>
        </is>
      </c>
      <c r="F1869" t="n">
        <v>1</v>
      </c>
      <c r="G1869" t="n">
        <v>79</v>
      </c>
      <c r="H1869" t="n">
        <v>16.18</v>
      </c>
      <c r="I1869" t="inlineStr">
        <is>
          <t>credit_card</t>
        </is>
      </c>
      <c r="J1869" t="n">
        <v>6</v>
      </c>
      <c r="K1869" t="inlineStr">
        <is>
          <t>On Time</t>
        </is>
      </c>
      <c r="L1869" t="n">
        <v>4</v>
      </c>
      <c r="M1869">
        <f>VLOOKUP(D1869,State_Lookup!$A$2:$B$28,2,FALSE)</f>
        <v/>
      </c>
    </row>
    <row r="1870">
      <c r="A1870" t="inlineStr">
        <is>
          <t>f6bacd0dbc1aa8e5256c4bd6e4b08b03</t>
        </is>
      </c>
      <c r="B1870" t="inlineStr">
        <is>
          <t>2017-11-24</t>
        </is>
      </c>
      <c r="C1870" t="inlineStr">
        <is>
          <t>2017-11</t>
        </is>
      </c>
      <c r="D1870" t="inlineStr">
        <is>
          <t>RS</t>
        </is>
      </c>
      <c r="E1870" t="inlineStr">
        <is>
          <t>bed_bath_table</t>
        </is>
      </c>
      <c r="F1870" t="n">
        <v>1</v>
      </c>
      <c r="G1870" t="n">
        <v>39.9</v>
      </c>
      <c r="H1870" t="n">
        <v>16.6</v>
      </c>
      <c r="I1870" t="inlineStr">
        <is>
          <t>credit_card</t>
        </is>
      </c>
      <c r="J1870" t="n">
        <v>17</v>
      </c>
      <c r="K1870" t="inlineStr">
        <is>
          <t>On Time</t>
        </is>
      </c>
      <c r="L1870" t="n">
        <v>5</v>
      </c>
      <c r="M1870">
        <f>VLOOKUP(D1870,State_Lookup!$A$2:$B$28,2,FALSE)</f>
        <v/>
      </c>
    </row>
    <row r="1871">
      <c r="A1871" t="inlineStr">
        <is>
          <t>8f1d6980e5537dd52cdd222e0794fdf4</t>
        </is>
      </c>
      <c r="B1871" t="inlineStr">
        <is>
          <t>2017-11-24</t>
        </is>
      </c>
      <c r="C1871" t="inlineStr">
        <is>
          <t>2017-11</t>
        </is>
      </c>
      <c r="D1871" t="inlineStr">
        <is>
          <t>SP</t>
        </is>
      </c>
      <c r="E1871" t="inlineStr">
        <is>
          <t>sports_leisure</t>
        </is>
      </c>
      <c r="F1871" t="n">
        <v>4</v>
      </c>
      <c r="G1871" t="n">
        <v>91.59999999999999</v>
      </c>
      <c r="H1871" t="n">
        <v>37.36</v>
      </c>
      <c r="I1871" t="inlineStr">
        <is>
          <t>credit_card</t>
        </is>
      </c>
      <c r="J1871" t="n">
        <v>9</v>
      </c>
      <c r="K1871" t="inlineStr">
        <is>
          <t>On Time</t>
        </is>
      </c>
      <c r="L1871" t="n">
        <v>4</v>
      </c>
      <c r="M1871">
        <f>VLOOKUP(D1871,State_Lookup!$A$2:$B$28,2,FALSE)</f>
        <v/>
      </c>
    </row>
    <row r="1872">
      <c r="A1872" t="inlineStr">
        <is>
          <t>7b8ae8132da20b7b6f709b2d5fcd78c5</t>
        </is>
      </c>
      <c r="B1872" t="inlineStr">
        <is>
          <t>2017-11-24</t>
        </is>
      </c>
      <c r="C1872" t="inlineStr">
        <is>
          <t>2017-11</t>
        </is>
      </c>
      <c r="D1872" t="inlineStr">
        <is>
          <t>SP</t>
        </is>
      </c>
      <c r="E1872" t="inlineStr">
        <is>
          <t>garden_tools</t>
        </is>
      </c>
      <c r="F1872" t="n">
        <v>1</v>
      </c>
      <c r="G1872" t="n">
        <v>49</v>
      </c>
      <c r="H1872" t="n">
        <v>13.41</v>
      </c>
      <c r="I1872" t="inlineStr">
        <is>
          <t>credit_card</t>
        </is>
      </c>
      <c r="J1872" t="n">
        <v>9</v>
      </c>
      <c r="K1872" t="inlineStr">
        <is>
          <t>On Time</t>
        </is>
      </c>
      <c r="L1872" t="n">
        <v>5</v>
      </c>
      <c r="M1872">
        <f>VLOOKUP(D1872,State_Lookup!$A$2:$B$28,2,FALSE)</f>
        <v/>
      </c>
    </row>
    <row r="1873">
      <c r="A1873" t="inlineStr">
        <is>
          <t>80012b4a007a0b502a4dd3c0d6224abd</t>
        </is>
      </c>
      <c r="B1873" t="inlineStr">
        <is>
          <t>2017-11-24</t>
        </is>
      </c>
      <c r="C1873" t="inlineStr">
        <is>
          <t>2017-11</t>
        </is>
      </c>
      <c r="D1873" t="inlineStr">
        <is>
          <t>RJ</t>
        </is>
      </c>
      <c r="E1873" t="inlineStr">
        <is>
          <t>auto</t>
        </is>
      </c>
      <c r="F1873" t="n">
        <v>1</v>
      </c>
      <c r="G1873" t="n">
        <v>49.99</v>
      </c>
      <c r="H1873" t="n">
        <v>23.22</v>
      </c>
      <c r="I1873" t="inlineStr">
        <is>
          <t>credit_card</t>
        </is>
      </c>
      <c r="J1873" t="n">
        <v>11</v>
      </c>
      <c r="K1873" t="inlineStr">
        <is>
          <t>On Time</t>
        </is>
      </c>
      <c r="L1873" t="n">
        <v>4</v>
      </c>
      <c r="M1873">
        <f>VLOOKUP(D1873,State_Lookup!$A$2:$B$28,2,FALSE)</f>
        <v/>
      </c>
    </row>
    <row r="1874">
      <c r="A1874" t="inlineStr">
        <is>
          <t>a6fa6ddceedb5ea6477c3660ccc379d8</t>
        </is>
      </c>
      <c r="B1874" t="inlineStr">
        <is>
          <t>2017-11-24</t>
        </is>
      </c>
      <c r="C1874" t="inlineStr">
        <is>
          <t>2017-11</t>
        </is>
      </c>
      <c r="D1874" t="inlineStr">
        <is>
          <t>ES</t>
        </is>
      </c>
      <c r="E1874" t="inlineStr">
        <is>
          <t>watches_gifts</t>
        </is>
      </c>
      <c r="F1874" t="n">
        <v>1</v>
      </c>
      <c r="G1874" t="n">
        <v>118.91</v>
      </c>
      <c r="H1874" t="n">
        <v>15.58</v>
      </c>
      <c r="I1874" t="inlineStr">
        <is>
          <t>credit_card</t>
        </is>
      </c>
      <c r="J1874" t="n">
        <v>31</v>
      </c>
      <c r="K1874" t="inlineStr">
        <is>
          <t>Late</t>
        </is>
      </c>
      <c r="L1874" t="n">
        <v>1</v>
      </c>
      <c r="M1874">
        <f>VLOOKUP(D1874,State_Lookup!$A$2:$B$28,2,FALSE)</f>
        <v/>
      </c>
    </row>
    <row r="1875">
      <c r="A1875" t="inlineStr">
        <is>
          <t>4e08e93c7e89957e02292b0bffbf8065</t>
        </is>
      </c>
      <c r="B1875" t="inlineStr">
        <is>
          <t>2017-11-24</t>
        </is>
      </c>
      <c r="C1875" t="inlineStr">
        <is>
          <t>2017-11</t>
        </is>
      </c>
      <c r="D1875" t="inlineStr">
        <is>
          <t>PR</t>
        </is>
      </c>
      <c r="E1875" t="inlineStr">
        <is>
          <t>watches_gifts</t>
        </is>
      </c>
      <c r="F1875" t="n">
        <v>1</v>
      </c>
      <c r="G1875" t="n">
        <v>108</v>
      </c>
      <c r="H1875" t="n">
        <v>16.52</v>
      </c>
      <c r="I1875" t="inlineStr">
        <is>
          <t>boleto</t>
        </is>
      </c>
      <c r="J1875" t="n">
        <v>19</v>
      </c>
      <c r="K1875" t="inlineStr">
        <is>
          <t>On Time</t>
        </is>
      </c>
      <c r="L1875" t="n">
        <v>5</v>
      </c>
      <c r="M1875">
        <f>VLOOKUP(D1875,State_Lookup!$A$2:$B$28,2,FALSE)</f>
        <v/>
      </c>
    </row>
    <row r="1876">
      <c r="A1876" t="inlineStr">
        <is>
          <t>443927ed7bbf7df399ca64efdb0b684c</t>
        </is>
      </c>
      <c r="B1876" t="inlineStr">
        <is>
          <t>2017-11-25</t>
        </is>
      </c>
      <c r="C1876" t="inlineStr">
        <is>
          <t>2017-11</t>
        </is>
      </c>
      <c r="D1876" t="inlineStr">
        <is>
          <t>PR</t>
        </is>
      </c>
      <c r="E1876" t="inlineStr">
        <is>
          <t>furniture_decor</t>
        </is>
      </c>
      <c r="F1876" t="n">
        <v>2</v>
      </c>
      <c r="G1876" t="n">
        <v>108</v>
      </c>
      <c r="H1876" t="n">
        <v>30.26</v>
      </c>
      <c r="I1876" t="inlineStr">
        <is>
          <t>credit_card</t>
        </is>
      </c>
      <c r="J1876" t="n">
        <v>13</v>
      </c>
      <c r="K1876" t="inlineStr">
        <is>
          <t>On Time</t>
        </is>
      </c>
      <c r="L1876" t="n">
        <v>1</v>
      </c>
      <c r="M1876">
        <f>VLOOKUP(D1876,State_Lookup!$A$2:$B$28,2,FALSE)</f>
        <v/>
      </c>
    </row>
    <row r="1877">
      <c r="A1877" t="inlineStr">
        <is>
          <t>08904f6557108c451821501ca9e6aa4a</t>
        </is>
      </c>
      <c r="B1877" t="inlineStr">
        <is>
          <t>2017-11-25</t>
        </is>
      </c>
      <c r="C1877" t="inlineStr">
        <is>
          <t>2017-11</t>
        </is>
      </c>
      <c r="D1877" t="inlineStr">
        <is>
          <t>MG</t>
        </is>
      </c>
      <c r="E1877" t="inlineStr">
        <is>
          <t>bed_bath_table</t>
        </is>
      </c>
      <c r="F1877" t="n">
        <v>1</v>
      </c>
      <c r="G1877" t="n">
        <v>79.90000000000001</v>
      </c>
      <c r="H1877" t="n">
        <v>19.8</v>
      </c>
      <c r="I1877" t="inlineStr">
        <is>
          <t>credit_card</t>
        </is>
      </c>
      <c r="J1877" t="n">
        <v>59</v>
      </c>
      <c r="K1877" t="inlineStr">
        <is>
          <t>Late</t>
        </is>
      </c>
      <c r="L1877" t="n">
        <v>1</v>
      </c>
      <c r="M1877">
        <f>VLOOKUP(D1877,State_Lookup!$A$2:$B$28,2,FALSE)</f>
        <v/>
      </c>
    </row>
    <row r="1878">
      <c r="A1878" t="inlineStr">
        <is>
          <t>38f95affd04d115a3cf2c655d000581f</t>
        </is>
      </c>
      <c r="B1878" t="inlineStr">
        <is>
          <t>2017-11-25</t>
        </is>
      </c>
      <c r="C1878" t="inlineStr">
        <is>
          <t>2017-11</t>
        </is>
      </c>
      <c r="D1878" t="inlineStr">
        <is>
          <t>RJ</t>
        </is>
      </c>
      <c r="E1878" t="inlineStr">
        <is>
          <t>health_beauty</t>
        </is>
      </c>
      <c r="F1878" t="n">
        <v>1</v>
      </c>
      <c r="G1878" t="n">
        <v>84.98999999999999</v>
      </c>
      <c r="H1878" t="n">
        <v>21.08</v>
      </c>
      <c r="I1878" t="inlineStr">
        <is>
          <t>credit_card</t>
        </is>
      </c>
      <c r="J1878" t="n">
        <v>25</v>
      </c>
      <c r="K1878" t="inlineStr">
        <is>
          <t>On Time</t>
        </is>
      </c>
      <c r="L1878" t="n">
        <v>3</v>
      </c>
      <c r="M1878">
        <f>VLOOKUP(D1878,State_Lookup!$A$2:$B$28,2,FALSE)</f>
        <v/>
      </c>
    </row>
    <row r="1879">
      <c r="A1879" t="inlineStr">
        <is>
          <t>2d4795e6f5375a02fac5626d3b94d407</t>
        </is>
      </c>
      <c r="B1879" t="inlineStr">
        <is>
          <t>2017-11-25</t>
        </is>
      </c>
      <c r="C1879" t="inlineStr">
        <is>
          <t>2017-11</t>
        </is>
      </c>
      <c r="D1879" t="inlineStr">
        <is>
          <t>SP</t>
        </is>
      </c>
      <c r="E1879" t="inlineStr">
        <is>
          <t>toys</t>
        </is>
      </c>
      <c r="F1879" t="n">
        <v>1</v>
      </c>
      <c r="G1879" t="n">
        <v>129.8</v>
      </c>
      <c r="H1879" t="n">
        <v>49.44</v>
      </c>
      <c r="I1879" t="inlineStr">
        <is>
          <t>credit_card</t>
        </is>
      </c>
      <c r="J1879" t="n">
        <v>7</v>
      </c>
      <c r="K1879" t="inlineStr">
        <is>
          <t>On Time</t>
        </is>
      </c>
      <c r="L1879" t="n">
        <v>5</v>
      </c>
      <c r="M1879">
        <f>VLOOKUP(D1879,State_Lookup!$A$2:$B$28,2,FALSE)</f>
        <v/>
      </c>
    </row>
    <row r="1880">
      <c r="A1880" t="inlineStr">
        <is>
          <t>4d0fce2314e3a88cb7371a111cf69f41</t>
        </is>
      </c>
      <c r="B1880" t="inlineStr">
        <is>
          <t>2017-11-25</t>
        </is>
      </c>
      <c r="C1880" t="inlineStr">
        <is>
          <t>2017-11</t>
        </is>
      </c>
      <c r="D1880" t="inlineStr">
        <is>
          <t>MG</t>
        </is>
      </c>
      <c r="E1880" t="inlineStr">
        <is>
          <t>perfumery</t>
        </is>
      </c>
      <c r="F1880" t="n">
        <v>1</v>
      </c>
      <c r="G1880" t="n">
        <v>120</v>
      </c>
      <c r="H1880" t="n">
        <v>15.59</v>
      </c>
      <c r="I1880" t="inlineStr">
        <is>
          <t>boleto</t>
        </is>
      </c>
      <c r="J1880" t="n">
        <v>9</v>
      </c>
      <c r="K1880" t="inlineStr">
        <is>
          <t>On Time</t>
        </is>
      </c>
      <c r="L1880" t="n">
        <v>5</v>
      </c>
      <c r="M1880">
        <f>VLOOKUP(D1880,State_Lookup!$A$2:$B$28,2,FALSE)</f>
        <v/>
      </c>
    </row>
    <row r="1881">
      <c r="A1881" t="inlineStr">
        <is>
          <t>467f3d18f63e2f01ade50df74d40457b</t>
        </is>
      </c>
      <c r="B1881" t="inlineStr">
        <is>
          <t>2017-11-25</t>
        </is>
      </c>
      <c r="C1881" t="inlineStr">
        <is>
          <t>2017-11</t>
        </is>
      </c>
      <c r="D1881" t="inlineStr">
        <is>
          <t>SP</t>
        </is>
      </c>
      <c r="E1881" t="inlineStr">
        <is>
          <t>furniture_decor</t>
        </is>
      </c>
      <c r="F1881" t="n">
        <v>1</v>
      </c>
      <c r="G1881" t="n">
        <v>49.9</v>
      </c>
      <c r="H1881" t="n">
        <v>9.09</v>
      </c>
      <c r="I1881" t="inlineStr">
        <is>
          <t>credit_card</t>
        </is>
      </c>
      <c r="J1881" t="n">
        <v>3</v>
      </c>
      <c r="K1881" t="inlineStr">
        <is>
          <t>On Time</t>
        </is>
      </c>
      <c r="L1881" t="n">
        <v>5</v>
      </c>
      <c r="M1881">
        <f>VLOOKUP(D1881,State_Lookup!$A$2:$B$28,2,FALSE)</f>
        <v/>
      </c>
    </row>
    <row r="1882">
      <c r="A1882" t="inlineStr">
        <is>
          <t>59ad806bb1a82c19e0feadc488939a89</t>
        </is>
      </c>
      <c r="B1882" t="inlineStr">
        <is>
          <t>2017-11-25</t>
        </is>
      </c>
      <c r="C1882" t="inlineStr">
        <is>
          <t>2017-11</t>
        </is>
      </c>
      <c r="D1882" t="inlineStr">
        <is>
          <t>SP</t>
        </is>
      </c>
      <c r="E1882" t="inlineStr">
        <is>
          <t>furniture_living_room</t>
        </is>
      </c>
      <c r="F1882" t="n">
        <v>2</v>
      </c>
      <c r="G1882" t="n">
        <v>93.98</v>
      </c>
      <c r="H1882" t="n">
        <v>35.94</v>
      </c>
      <c r="I1882" t="inlineStr">
        <is>
          <t>credit_card</t>
        </is>
      </c>
      <c r="J1882" t="n">
        <v>16</v>
      </c>
      <c r="K1882" t="inlineStr">
        <is>
          <t>On Time</t>
        </is>
      </c>
      <c r="L1882" t="n">
        <v>4</v>
      </c>
      <c r="M1882">
        <f>VLOOKUP(D1882,State_Lookup!$A$2:$B$28,2,FALSE)</f>
        <v/>
      </c>
    </row>
    <row r="1883">
      <c r="A1883" t="inlineStr">
        <is>
          <t>e86d50789574a28a92e27efcdc90bd8e</t>
        </is>
      </c>
      <c r="B1883" t="inlineStr">
        <is>
          <t>2017-11-25</t>
        </is>
      </c>
      <c r="C1883" t="inlineStr">
        <is>
          <t>2017-11</t>
        </is>
      </c>
      <c r="D1883" t="inlineStr">
        <is>
          <t>PR</t>
        </is>
      </c>
      <c r="E1883" t="inlineStr">
        <is>
          <t>furniture_decor</t>
        </is>
      </c>
      <c r="F1883" t="n">
        <v>1</v>
      </c>
      <c r="G1883" t="n">
        <v>169.9</v>
      </c>
      <c r="H1883" t="n">
        <v>26.03</v>
      </c>
      <c r="I1883" t="inlineStr">
        <is>
          <t>credit_card</t>
        </is>
      </c>
      <c r="J1883" t="n">
        <v>19</v>
      </c>
      <c r="K1883" t="inlineStr">
        <is>
          <t>On Time</t>
        </is>
      </c>
      <c r="L1883" t="n">
        <v>2</v>
      </c>
      <c r="M1883">
        <f>VLOOKUP(D1883,State_Lookup!$A$2:$B$28,2,FALSE)</f>
        <v/>
      </c>
    </row>
    <row r="1884">
      <c r="A1884" t="inlineStr">
        <is>
          <t>0c01eb5638db2110eb5a7d1c0581aa09</t>
        </is>
      </c>
      <c r="B1884" t="inlineStr">
        <is>
          <t>2017-11-25</t>
        </is>
      </c>
      <c r="C1884" t="inlineStr">
        <is>
          <t>2017-11</t>
        </is>
      </c>
      <c r="D1884" t="inlineStr">
        <is>
          <t>RJ</t>
        </is>
      </c>
      <c r="E1884" t="inlineStr">
        <is>
          <t>health_beauty</t>
        </is>
      </c>
      <c r="F1884" t="n">
        <v>1</v>
      </c>
      <c r="G1884" t="n">
        <v>69.90000000000001</v>
      </c>
      <c r="H1884" t="n">
        <v>12.48</v>
      </c>
      <c r="I1884" t="inlineStr">
        <is>
          <t>credit_card</t>
        </is>
      </c>
      <c r="J1884" t="n">
        <v>4</v>
      </c>
      <c r="K1884" t="inlineStr">
        <is>
          <t>On Time</t>
        </is>
      </c>
      <c r="L1884" t="n">
        <v>4</v>
      </c>
      <c r="M1884">
        <f>VLOOKUP(D1884,State_Lookup!$A$2:$B$28,2,FALSE)</f>
        <v/>
      </c>
    </row>
    <row r="1885">
      <c r="A1885" t="inlineStr">
        <is>
          <t>e0258e674c59ea50961e9ec45f97b08e</t>
        </is>
      </c>
      <c r="B1885" t="inlineStr">
        <is>
          <t>2017-11-25</t>
        </is>
      </c>
      <c r="C1885" t="inlineStr">
        <is>
          <t>2017-11</t>
        </is>
      </c>
      <c r="D1885" t="inlineStr">
        <is>
          <t>RS</t>
        </is>
      </c>
      <c r="E1885" t="inlineStr">
        <is>
          <t>musical_instruments</t>
        </is>
      </c>
      <c r="F1885" t="n">
        <v>1</v>
      </c>
      <c r="G1885" t="n">
        <v>119.9</v>
      </c>
      <c r="H1885" t="n">
        <v>17.09</v>
      </c>
      <c r="I1885" t="inlineStr">
        <is>
          <t>credit_card</t>
        </is>
      </c>
      <c r="J1885" t="n">
        <v>13</v>
      </c>
      <c r="K1885" t="inlineStr">
        <is>
          <t>On Time</t>
        </is>
      </c>
      <c r="L1885" t="n">
        <v>5</v>
      </c>
      <c r="M1885">
        <f>VLOOKUP(D1885,State_Lookup!$A$2:$B$28,2,FALSE)</f>
        <v/>
      </c>
    </row>
    <row r="1886">
      <c r="A1886" t="inlineStr">
        <is>
          <t>42e5f73161b3e88fdadd792613be1da9</t>
        </is>
      </c>
      <c r="B1886" t="inlineStr">
        <is>
          <t>2017-11-25</t>
        </is>
      </c>
      <c r="C1886" t="inlineStr">
        <is>
          <t>2017-11</t>
        </is>
      </c>
      <c r="D1886" t="inlineStr">
        <is>
          <t>SP</t>
        </is>
      </c>
      <c r="E1886" t="inlineStr">
        <is>
          <t>garden_tools</t>
        </is>
      </c>
      <c r="F1886" t="n">
        <v>1</v>
      </c>
      <c r="G1886" t="n">
        <v>98</v>
      </c>
      <c r="H1886" t="n">
        <v>13.24</v>
      </c>
      <c r="I1886" t="inlineStr">
        <is>
          <t>credit_card</t>
        </is>
      </c>
      <c r="J1886" t="n">
        <v>4</v>
      </c>
      <c r="K1886" t="inlineStr">
        <is>
          <t>On Time</t>
        </is>
      </c>
      <c r="L1886" t="n">
        <v>3</v>
      </c>
      <c r="M1886">
        <f>VLOOKUP(D1886,State_Lookup!$A$2:$B$28,2,FALSE)</f>
        <v/>
      </c>
    </row>
    <row r="1887">
      <c r="A1887" t="inlineStr">
        <is>
          <t>e84aab6af2a71fdd57e937740dc5a3dc</t>
        </is>
      </c>
      <c r="B1887" t="inlineStr">
        <is>
          <t>2017-11-25</t>
        </is>
      </c>
      <c r="C1887" t="inlineStr">
        <is>
          <t>2017-11</t>
        </is>
      </c>
      <c r="D1887" t="inlineStr">
        <is>
          <t>MA</t>
        </is>
      </c>
      <c r="E1887" t="inlineStr">
        <is>
          <t>baby</t>
        </is>
      </c>
      <c r="F1887" t="n">
        <v>1</v>
      </c>
      <c r="G1887" t="n">
        <v>379.9</v>
      </c>
      <c r="H1887" t="n">
        <v>45.07</v>
      </c>
      <c r="I1887" t="inlineStr">
        <is>
          <t>credit_card</t>
        </is>
      </c>
      <c r="J1887" t="n">
        <v>43</v>
      </c>
      <c r="K1887" t="inlineStr">
        <is>
          <t>Late</t>
        </is>
      </c>
      <c r="L1887" t="n">
        <v>1</v>
      </c>
      <c r="M1887">
        <f>VLOOKUP(D1887,State_Lookup!$A$2:$B$28,2,FALSE)</f>
        <v/>
      </c>
    </row>
    <row r="1888">
      <c r="A1888" t="inlineStr">
        <is>
          <t>05580ea6005bac590a3f143473c9b296</t>
        </is>
      </c>
      <c r="B1888" t="inlineStr">
        <is>
          <t>2017-11-25</t>
        </is>
      </c>
      <c r="C1888" t="inlineStr">
        <is>
          <t>2017-11</t>
        </is>
      </c>
      <c r="D1888" t="inlineStr">
        <is>
          <t>SC</t>
        </is>
      </c>
      <c r="E1888" t="inlineStr">
        <is>
          <t>sports_leisure</t>
        </is>
      </c>
      <c r="F1888" t="n">
        <v>1</v>
      </c>
      <c r="G1888" t="n">
        <v>189.9</v>
      </c>
      <c r="H1888" t="n">
        <v>21.82</v>
      </c>
      <c r="I1888" t="inlineStr">
        <is>
          <t>credit_card</t>
        </is>
      </c>
      <c r="J1888" t="n">
        <v>24</v>
      </c>
      <c r="K1888" t="inlineStr">
        <is>
          <t>On Time</t>
        </is>
      </c>
      <c r="L1888" t="n">
        <v>4</v>
      </c>
      <c r="M1888">
        <f>VLOOKUP(D1888,State_Lookup!$A$2:$B$28,2,FALSE)</f>
        <v/>
      </c>
    </row>
    <row r="1889">
      <c r="A1889" t="inlineStr">
        <is>
          <t>c54856ceaaaf3a273f3921da4faf1e8f</t>
        </is>
      </c>
      <c r="B1889" t="inlineStr">
        <is>
          <t>2017-11-25</t>
        </is>
      </c>
      <c r="C1889" t="inlineStr">
        <is>
          <t>2017-11</t>
        </is>
      </c>
      <c r="D1889" t="inlineStr">
        <is>
          <t>PR</t>
        </is>
      </c>
      <c r="E1889" t="inlineStr">
        <is>
          <t>bed_bath_table</t>
        </is>
      </c>
      <c r="F1889" t="n">
        <v>1</v>
      </c>
      <c r="G1889" t="n">
        <v>73.5</v>
      </c>
      <c r="H1889" t="n">
        <v>15.26</v>
      </c>
      <c r="I1889" t="inlineStr">
        <is>
          <t>credit_card</t>
        </is>
      </c>
      <c r="J1889" t="n">
        <v>32</v>
      </c>
      <c r="K1889" t="inlineStr">
        <is>
          <t>Late</t>
        </is>
      </c>
      <c r="L1889" t="n">
        <v>1</v>
      </c>
      <c r="M1889">
        <f>VLOOKUP(D1889,State_Lookup!$A$2:$B$28,2,FALSE)</f>
        <v/>
      </c>
    </row>
    <row r="1890">
      <c r="A1890" t="inlineStr">
        <is>
          <t>223a155e5dad113ba43fff75ecbb3d06</t>
        </is>
      </c>
      <c r="B1890" t="inlineStr">
        <is>
          <t>2017-11-25</t>
        </is>
      </c>
      <c r="C1890" t="inlineStr">
        <is>
          <t>2017-11</t>
        </is>
      </c>
      <c r="D1890" t="inlineStr">
        <is>
          <t>BA</t>
        </is>
      </c>
      <c r="E1890" t="inlineStr">
        <is>
          <t>garden_tools</t>
        </is>
      </c>
      <c r="F1890" t="n">
        <v>1</v>
      </c>
      <c r="G1890" t="n">
        <v>49</v>
      </c>
      <c r="H1890" t="n">
        <v>19.66</v>
      </c>
      <c r="I1890" t="inlineStr">
        <is>
          <t>credit_card</t>
        </is>
      </c>
      <c r="J1890" t="n">
        <v>24</v>
      </c>
      <c r="K1890" t="inlineStr">
        <is>
          <t>On Time</t>
        </is>
      </c>
      <c r="L1890" t="n">
        <v>4</v>
      </c>
      <c r="M1890">
        <f>VLOOKUP(D1890,State_Lookup!$A$2:$B$28,2,FALSE)</f>
        <v/>
      </c>
    </row>
    <row r="1891">
      <c r="A1891" t="inlineStr">
        <is>
          <t>1d496c62bf852e069018c2b038064949</t>
        </is>
      </c>
      <c r="B1891" t="inlineStr">
        <is>
          <t>2017-11-25</t>
        </is>
      </c>
      <c r="C1891" t="inlineStr">
        <is>
          <t>2017-11</t>
        </is>
      </c>
      <c r="D1891" t="inlineStr">
        <is>
          <t>SP</t>
        </is>
      </c>
      <c r="E1891" t="inlineStr">
        <is>
          <t>bed_bath_table</t>
        </is>
      </c>
      <c r="F1891" t="n">
        <v>1</v>
      </c>
      <c r="G1891" t="n">
        <v>240</v>
      </c>
      <c r="H1891" t="n">
        <v>28</v>
      </c>
      <c r="I1891" t="inlineStr">
        <is>
          <t>credit_card</t>
        </is>
      </c>
      <c r="J1891" t="n">
        <v>48</v>
      </c>
      <c r="K1891" t="inlineStr">
        <is>
          <t>Late</t>
        </is>
      </c>
      <c r="L1891" t="n">
        <v>1</v>
      </c>
      <c r="M1891">
        <f>VLOOKUP(D1891,State_Lookup!$A$2:$B$28,2,FALSE)</f>
        <v/>
      </c>
    </row>
    <row r="1892">
      <c r="A1892" t="inlineStr">
        <is>
          <t>c9397dbfd867734646abb1df12a5f625</t>
        </is>
      </c>
      <c r="B1892" t="inlineStr">
        <is>
          <t>2017-11-25</t>
        </is>
      </c>
      <c r="C1892" t="inlineStr">
        <is>
          <t>2017-11</t>
        </is>
      </c>
      <c r="D1892" t="inlineStr">
        <is>
          <t>RS</t>
        </is>
      </c>
      <c r="E1892" t="inlineStr">
        <is>
          <t>furniture_decor</t>
        </is>
      </c>
      <c r="F1892" t="n">
        <v>2</v>
      </c>
      <c r="G1892" t="n">
        <v>79.8</v>
      </c>
      <c r="H1892" t="n">
        <v>78.56</v>
      </c>
      <c r="I1892" t="inlineStr">
        <is>
          <t>credit_card</t>
        </is>
      </c>
      <c r="J1892" t="n">
        <v>18</v>
      </c>
      <c r="K1892" t="inlineStr">
        <is>
          <t>On Time</t>
        </is>
      </c>
      <c r="L1892" t="n">
        <v>1</v>
      </c>
      <c r="M1892">
        <f>VLOOKUP(D1892,State_Lookup!$A$2:$B$28,2,FALSE)</f>
        <v/>
      </c>
    </row>
    <row r="1893">
      <c r="A1893" t="inlineStr">
        <is>
          <t>5e0de5e6b42042ea6e00e3d07d4aef84</t>
        </is>
      </c>
      <c r="B1893" t="inlineStr">
        <is>
          <t>2017-11-25</t>
        </is>
      </c>
      <c r="C1893" t="inlineStr">
        <is>
          <t>2017-11</t>
        </is>
      </c>
      <c r="D1893" t="inlineStr">
        <is>
          <t>MA</t>
        </is>
      </c>
      <c r="E1893" t="inlineStr">
        <is>
          <t>garden_tools</t>
        </is>
      </c>
      <c r="F1893" t="n">
        <v>1</v>
      </c>
      <c r="G1893" t="n">
        <v>49</v>
      </c>
      <c r="H1893" t="n">
        <v>37.97</v>
      </c>
      <c r="I1893" t="inlineStr">
        <is>
          <t>credit_card</t>
        </is>
      </c>
      <c r="J1893" t="n">
        <v>46</v>
      </c>
      <c r="K1893" t="inlineStr">
        <is>
          <t>Late</t>
        </is>
      </c>
      <c r="L1893" t="n">
        <v>1</v>
      </c>
      <c r="M1893">
        <f>VLOOKUP(D1893,State_Lookup!$A$2:$B$28,2,FALSE)</f>
        <v/>
      </c>
    </row>
    <row r="1894">
      <c r="A1894" t="inlineStr">
        <is>
          <t>4ae0a4ebc7224b287836fc665b499b69</t>
        </is>
      </c>
      <c r="B1894" t="inlineStr">
        <is>
          <t>2017-11-25</t>
        </is>
      </c>
      <c r="C1894" t="inlineStr">
        <is>
          <t>2017-11</t>
        </is>
      </c>
      <c r="D1894" t="inlineStr">
        <is>
          <t>MG</t>
        </is>
      </c>
      <c r="E1894" t="inlineStr">
        <is>
          <t>bed_bath_table</t>
        </is>
      </c>
      <c r="F1894" t="n">
        <v>1</v>
      </c>
      <c r="G1894" t="n">
        <v>119.99</v>
      </c>
      <c r="H1894" t="n">
        <v>21.33</v>
      </c>
      <c r="I1894" t="inlineStr">
        <is>
          <t>credit_card</t>
        </is>
      </c>
      <c r="J1894" t="n">
        <v>40</v>
      </c>
      <c r="K1894" t="inlineStr">
        <is>
          <t>Late</t>
        </is>
      </c>
      <c r="L1894" t="inlineStr"/>
      <c r="M1894">
        <f>VLOOKUP(D1894,State_Lookup!$A$2:$B$28,2,FALSE)</f>
        <v/>
      </c>
    </row>
    <row r="1895">
      <c r="A1895" t="inlineStr">
        <is>
          <t>9841304c5432e46d9cfd508835b743b1</t>
        </is>
      </c>
      <c r="B1895" t="inlineStr">
        <is>
          <t>2017-11-25</t>
        </is>
      </c>
      <c r="C1895" t="inlineStr">
        <is>
          <t>2017-11</t>
        </is>
      </c>
      <c r="D1895" t="inlineStr">
        <is>
          <t>GO</t>
        </is>
      </c>
      <c r="E1895" t="inlineStr">
        <is>
          <t>baby</t>
        </is>
      </c>
      <c r="F1895" t="n">
        <v>1</v>
      </c>
      <c r="G1895" t="n">
        <v>129.99</v>
      </c>
      <c r="H1895" t="n">
        <v>17.48</v>
      </c>
      <c r="I1895" t="inlineStr">
        <is>
          <t>credit_card</t>
        </is>
      </c>
      <c r="J1895" t="n">
        <v>10</v>
      </c>
      <c r="K1895" t="inlineStr">
        <is>
          <t>On Time</t>
        </is>
      </c>
      <c r="L1895" t="n">
        <v>5</v>
      </c>
      <c r="M1895">
        <f>VLOOKUP(D1895,State_Lookup!$A$2:$B$28,2,FALSE)</f>
        <v/>
      </c>
    </row>
    <row r="1896">
      <c r="A1896" t="inlineStr">
        <is>
          <t>89e84cfb3387746e060d4a9146511c9e</t>
        </is>
      </c>
      <c r="B1896" t="inlineStr">
        <is>
          <t>2017-11-25</t>
        </is>
      </c>
      <c r="C1896" t="inlineStr">
        <is>
          <t>2017-11</t>
        </is>
      </c>
      <c r="D1896" t="inlineStr">
        <is>
          <t>SP</t>
        </is>
      </c>
      <c r="E1896" t="inlineStr">
        <is>
          <t>baby</t>
        </is>
      </c>
      <c r="F1896" t="n">
        <v>1</v>
      </c>
      <c r="G1896" t="n">
        <v>79.90000000000001</v>
      </c>
      <c r="H1896" t="n">
        <v>16.81</v>
      </c>
      <c r="I1896" t="inlineStr">
        <is>
          <t>credit_card</t>
        </is>
      </c>
      <c r="J1896" t="n">
        <v>7</v>
      </c>
      <c r="K1896" t="inlineStr">
        <is>
          <t>On Time</t>
        </is>
      </c>
      <c r="L1896" t="n">
        <v>5</v>
      </c>
      <c r="M1896">
        <f>VLOOKUP(D1896,State_Lookup!$A$2:$B$28,2,FALSE)</f>
        <v/>
      </c>
    </row>
    <row r="1897">
      <c r="A1897" t="inlineStr">
        <is>
          <t>29fbef181a9fb4263222cb6a7cc9938d</t>
        </is>
      </c>
      <c r="B1897" t="inlineStr">
        <is>
          <t>2017-11-25</t>
        </is>
      </c>
      <c r="C1897" t="inlineStr">
        <is>
          <t>2017-11</t>
        </is>
      </c>
      <c r="D1897" t="inlineStr">
        <is>
          <t>SP</t>
        </is>
      </c>
      <c r="E1897" t="inlineStr">
        <is>
          <t>electronics</t>
        </is>
      </c>
      <c r="F1897" t="n">
        <v>1</v>
      </c>
      <c r="G1897" t="n">
        <v>23.7</v>
      </c>
      <c r="H1897" t="n">
        <v>8.720000000000001</v>
      </c>
      <c r="I1897" t="inlineStr">
        <is>
          <t>credit_card</t>
        </is>
      </c>
      <c r="J1897" t="n">
        <v>6</v>
      </c>
      <c r="K1897" t="inlineStr">
        <is>
          <t>On Time</t>
        </is>
      </c>
      <c r="L1897" t="n">
        <v>5</v>
      </c>
      <c r="M1897">
        <f>VLOOKUP(D1897,State_Lookup!$A$2:$B$28,2,FALSE)</f>
        <v/>
      </c>
    </row>
    <row r="1898">
      <c r="A1898" t="inlineStr">
        <is>
          <t>c5fb461f4d5a4b5457fd3029e1d1543a</t>
        </is>
      </c>
      <c r="B1898" t="inlineStr">
        <is>
          <t>2017-11-25</t>
        </is>
      </c>
      <c r="C1898" t="inlineStr">
        <is>
          <t>2017-11</t>
        </is>
      </c>
      <c r="D1898" t="inlineStr">
        <is>
          <t>RS</t>
        </is>
      </c>
      <c r="E1898" t="inlineStr">
        <is>
          <t>computers_accessories</t>
        </is>
      </c>
      <c r="F1898" t="n">
        <v>1</v>
      </c>
      <c r="G1898" t="n">
        <v>49.9</v>
      </c>
      <c r="H1898" t="n">
        <v>17.6</v>
      </c>
      <c r="I1898" t="inlineStr">
        <is>
          <t>credit_card</t>
        </is>
      </c>
      <c r="J1898" t="n">
        <v>46</v>
      </c>
      <c r="K1898" t="inlineStr">
        <is>
          <t>Late</t>
        </is>
      </c>
      <c r="L1898" t="n">
        <v>1</v>
      </c>
      <c r="M1898">
        <f>VLOOKUP(D1898,State_Lookup!$A$2:$B$28,2,FALSE)</f>
        <v/>
      </c>
    </row>
    <row r="1899">
      <c r="A1899" t="inlineStr">
        <is>
          <t>42faea0e8fde3945ae5c85e245ea9726</t>
        </is>
      </c>
      <c r="B1899" t="inlineStr">
        <is>
          <t>2017-11-25</t>
        </is>
      </c>
      <c r="C1899" t="inlineStr">
        <is>
          <t>2017-11</t>
        </is>
      </c>
      <c r="D1899" t="inlineStr">
        <is>
          <t>RJ</t>
        </is>
      </c>
      <c r="E1899" t="inlineStr">
        <is>
          <t>sports_leisure</t>
        </is>
      </c>
      <c r="F1899" t="n">
        <v>1</v>
      </c>
      <c r="G1899" t="n">
        <v>54.9</v>
      </c>
      <c r="H1899" t="n">
        <v>16.82</v>
      </c>
      <c r="I1899" t="inlineStr">
        <is>
          <t>credit_card</t>
        </is>
      </c>
      <c r="J1899" t="n">
        <v>12</v>
      </c>
      <c r="K1899" t="inlineStr">
        <is>
          <t>On Time</t>
        </is>
      </c>
      <c r="L1899" t="n">
        <v>5</v>
      </c>
      <c r="M1899">
        <f>VLOOKUP(D1899,State_Lookup!$A$2:$B$28,2,FALSE)</f>
        <v/>
      </c>
    </row>
    <row r="1900">
      <c r="A1900" t="inlineStr">
        <is>
          <t>dd4ca62b4abb4a5fe11f24d45b63eb79</t>
        </is>
      </c>
      <c r="B1900" t="inlineStr">
        <is>
          <t>2017-11-25</t>
        </is>
      </c>
      <c r="C1900" t="inlineStr">
        <is>
          <t>2017-11</t>
        </is>
      </c>
      <c r="D1900" t="inlineStr">
        <is>
          <t>CE</t>
        </is>
      </c>
      <c r="E1900" t="inlineStr">
        <is>
          <t>luggage_accessories</t>
        </is>
      </c>
      <c r="F1900" t="n">
        <v>1</v>
      </c>
      <c r="G1900" t="n">
        <v>118.9</v>
      </c>
      <c r="H1900" t="n">
        <v>36.15</v>
      </c>
      <c r="I1900" t="inlineStr">
        <is>
          <t>credit_card</t>
        </is>
      </c>
      <c r="J1900" t="n">
        <v>19</v>
      </c>
      <c r="K1900" t="inlineStr">
        <is>
          <t>On Time</t>
        </is>
      </c>
      <c r="L1900" t="n">
        <v>4</v>
      </c>
      <c r="M1900">
        <f>VLOOKUP(D1900,State_Lookup!$A$2:$B$28,2,FALSE)</f>
        <v/>
      </c>
    </row>
    <row r="1901">
      <c r="A1901" t="inlineStr">
        <is>
          <t>00ea690fe8c5eba029a3884243a02352</t>
        </is>
      </c>
      <c r="B1901" t="inlineStr">
        <is>
          <t>2017-11-25</t>
        </is>
      </c>
      <c r="C1901" t="inlineStr">
        <is>
          <t>2017-11</t>
        </is>
      </c>
      <c r="D1901" t="inlineStr">
        <is>
          <t>GO</t>
        </is>
      </c>
      <c r="E1901" t="inlineStr">
        <is>
          <t>furniture_decor</t>
        </is>
      </c>
      <c r="F1901" t="n">
        <v>1</v>
      </c>
      <c r="G1901" t="n">
        <v>32.99</v>
      </c>
      <c r="H1901" t="n">
        <v>16.11</v>
      </c>
      <c r="I1901" t="inlineStr">
        <is>
          <t>credit_card</t>
        </is>
      </c>
      <c r="J1901" t="n">
        <v>23</v>
      </c>
      <c r="K1901" t="inlineStr">
        <is>
          <t>On Time</t>
        </is>
      </c>
      <c r="L1901" t="n">
        <v>5</v>
      </c>
      <c r="M1901">
        <f>VLOOKUP(D1901,State_Lookup!$A$2:$B$28,2,FALSE)</f>
        <v/>
      </c>
    </row>
    <row r="1902">
      <c r="A1902" t="inlineStr">
        <is>
          <t>67c8fda9d347535e923f93614f2b44e0</t>
        </is>
      </c>
      <c r="B1902" t="inlineStr">
        <is>
          <t>2017-11-25</t>
        </is>
      </c>
      <c r="C1902" t="inlineStr">
        <is>
          <t>2017-11</t>
        </is>
      </c>
      <c r="D1902" t="inlineStr">
        <is>
          <t>SP</t>
        </is>
      </c>
      <c r="E1902" t="inlineStr">
        <is>
          <t>auto</t>
        </is>
      </c>
      <c r="F1902" t="n">
        <v>1</v>
      </c>
      <c r="G1902" t="n">
        <v>16</v>
      </c>
      <c r="H1902" t="n">
        <v>12.69</v>
      </c>
      <c r="I1902" t="inlineStr">
        <is>
          <t>boleto</t>
        </is>
      </c>
      <c r="J1902" t="n">
        <v>18</v>
      </c>
      <c r="K1902" t="inlineStr">
        <is>
          <t>On Time</t>
        </is>
      </c>
      <c r="L1902" t="n">
        <v>5</v>
      </c>
      <c r="M1902">
        <f>VLOOKUP(D1902,State_Lookup!$A$2:$B$28,2,FALSE)</f>
        <v/>
      </c>
    </row>
    <row r="1903">
      <c r="A1903" t="inlineStr">
        <is>
          <t>696e3f4fca4491245f7b9425055cda4d</t>
        </is>
      </c>
      <c r="B1903" t="inlineStr">
        <is>
          <t>2017-11-25</t>
        </is>
      </c>
      <c r="C1903" t="inlineStr">
        <is>
          <t>2017-11</t>
        </is>
      </c>
      <c r="D1903" t="inlineStr">
        <is>
          <t>SP</t>
        </is>
      </c>
      <c r="E1903" t="inlineStr">
        <is>
          <t>computers_accessories</t>
        </is>
      </c>
      <c r="F1903" t="n">
        <v>1</v>
      </c>
      <c r="G1903" t="n">
        <v>27.9</v>
      </c>
      <c r="H1903" t="n">
        <v>14.1</v>
      </c>
      <c r="I1903" t="inlineStr">
        <is>
          <t>voucher</t>
        </is>
      </c>
      <c r="J1903" t="n">
        <v>23</v>
      </c>
      <c r="K1903" t="inlineStr">
        <is>
          <t>On Time</t>
        </is>
      </c>
      <c r="L1903" t="n">
        <v>3</v>
      </c>
      <c r="M1903">
        <f>VLOOKUP(D1903,State_Lookup!$A$2:$B$28,2,FALSE)</f>
        <v/>
      </c>
    </row>
    <row r="1904">
      <c r="A1904" t="inlineStr">
        <is>
          <t>49e548b7ec1f515816b62230c96e8f74</t>
        </is>
      </c>
      <c r="B1904" t="inlineStr">
        <is>
          <t>2017-11-25</t>
        </is>
      </c>
      <c r="C1904" t="inlineStr">
        <is>
          <t>2017-11</t>
        </is>
      </c>
      <c r="D1904" t="inlineStr">
        <is>
          <t>RS</t>
        </is>
      </c>
      <c r="E1904" t="inlineStr">
        <is>
          <t>bed_bath_table</t>
        </is>
      </c>
      <c r="F1904" t="n">
        <v>1</v>
      </c>
      <c r="G1904" t="n">
        <v>69.90000000000001</v>
      </c>
      <c r="H1904" t="n">
        <v>17.74</v>
      </c>
      <c r="I1904" t="inlineStr">
        <is>
          <t>credit_card</t>
        </is>
      </c>
      <c r="J1904" t="n">
        <v>13</v>
      </c>
      <c r="K1904" t="inlineStr">
        <is>
          <t>On Time</t>
        </is>
      </c>
      <c r="L1904" t="n">
        <v>4</v>
      </c>
      <c r="M1904">
        <f>VLOOKUP(D1904,State_Lookup!$A$2:$B$28,2,FALSE)</f>
        <v/>
      </c>
    </row>
    <row r="1905">
      <c r="A1905" t="inlineStr">
        <is>
          <t>8a375e54dcadd25fe7578ad54311a746</t>
        </is>
      </c>
      <c r="B1905" t="inlineStr">
        <is>
          <t>2017-11-25</t>
        </is>
      </c>
      <c r="C1905" t="inlineStr">
        <is>
          <t>2017-11</t>
        </is>
      </c>
      <c r="D1905" t="inlineStr">
        <is>
          <t>MG</t>
        </is>
      </c>
      <c r="E1905" t="inlineStr">
        <is>
          <t>construction_tools_construction</t>
        </is>
      </c>
      <c r="F1905" t="n">
        <v>1</v>
      </c>
      <c r="G1905" t="n">
        <v>140.91</v>
      </c>
      <c r="H1905" t="n">
        <v>10.2</v>
      </c>
      <c r="I1905" t="inlineStr">
        <is>
          <t>credit_card</t>
        </is>
      </c>
      <c r="J1905" t="n">
        <v>4</v>
      </c>
      <c r="K1905" t="inlineStr">
        <is>
          <t>On Time</t>
        </is>
      </c>
      <c r="L1905" t="n">
        <v>5</v>
      </c>
      <c r="M1905">
        <f>VLOOKUP(D1905,State_Lookup!$A$2:$B$28,2,FALSE)</f>
        <v/>
      </c>
    </row>
    <row r="1906">
      <c r="A1906" t="inlineStr">
        <is>
          <t>9c6aefa5cff43aaa6ab742a0dfc5c1cd</t>
        </is>
      </c>
      <c r="B1906" t="inlineStr">
        <is>
          <t>2017-11-25</t>
        </is>
      </c>
      <c r="C1906" t="inlineStr">
        <is>
          <t>2017-11</t>
        </is>
      </c>
      <c r="D1906" t="inlineStr">
        <is>
          <t>PR</t>
        </is>
      </c>
      <c r="E1906" t="inlineStr">
        <is>
          <t>bed_bath_table</t>
        </is>
      </c>
      <c r="F1906" t="n">
        <v>1</v>
      </c>
      <c r="G1906" t="n">
        <v>82.98999999999999</v>
      </c>
      <c r="H1906" t="n">
        <v>17.83</v>
      </c>
      <c r="I1906" t="inlineStr">
        <is>
          <t>credit_card</t>
        </is>
      </c>
      <c r="J1906" t="n">
        <v>21</v>
      </c>
      <c r="K1906" t="inlineStr">
        <is>
          <t>On Time</t>
        </is>
      </c>
      <c r="L1906" t="n">
        <v>5</v>
      </c>
      <c r="M1906">
        <f>VLOOKUP(D1906,State_Lookup!$A$2:$B$28,2,FALSE)</f>
        <v/>
      </c>
    </row>
    <row r="1907">
      <c r="A1907" t="inlineStr">
        <is>
          <t>b3786fe1fdaf726bc9e7a5a9138f4cb6</t>
        </is>
      </c>
      <c r="B1907" t="inlineStr">
        <is>
          <t>2017-11-25</t>
        </is>
      </c>
      <c r="C1907" t="inlineStr">
        <is>
          <t>2017-11</t>
        </is>
      </c>
      <c r="D1907" t="inlineStr">
        <is>
          <t>MS</t>
        </is>
      </c>
      <c r="E1907" t="inlineStr">
        <is>
          <t>baby</t>
        </is>
      </c>
      <c r="F1907" t="n">
        <v>1</v>
      </c>
      <c r="G1907" t="n">
        <v>36.9</v>
      </c>
      <c r="H1907" t="n">
        <v>14.1</v>
      </c>
      <c r="I1907" t="inlineStr">
        <is>
          <t>credit_card</t>
        </is>
      </c>
      <c r="J1907" t="n">
        <v>11</v>
      </c>
      <c r="K1907" t="inlineStr">
        <is>
          <t>On Time</t>
        </is>
      </c>
      <c r="L1907" t="n">
        <v>5</v>
      </c>
      <c r="M1907">
        <f>VLOOKUP(D1907,State_Lookup!$A$2:$B$28,2,FALSE)</f>
        <v/>
      </c>
    </row>
    <row r="1908">
      <c r="A1908" t="inlineStr">
        <is>
          <t>ccecb43e46d11aa9ed8c92440657995a</t>
        </is>
      </c>
      <c r="B1908" t="inlineStr">
        <is>
          <t>2017-11-25</t>
        </is>
      </c>
      <c r="C1908" t="inlineStr">
        <is>
          <t>2017-11</t>
        </is>
      </c>
      <c r="D1908" t="inlineStr">
        <is>
          <t>MG</t>
        </is>
      </c>
      <c r="E1908" t="inlineStr">
        <is>
          <t>perfumery</t>
        </is>
      </c>
      <c r="F1908" t="n">
        <v>1</v>
      </c>
      <c r="G1908" t="n">
        <v>247.4</v>
      </c>
      <c r="H1908" t="n">
        <v>16.49</v>
      </c>
      <c r="I1908" t="inlineStr">
        <is>
          <t>credit_card</t>
        </is>
      </c>
      <c r="J1908" t="n">
        <v>11</v>
      </c>
      <c r="K1908" t="inlineStr">
        <is>
          <t>On Time</t>
        </is>
      </c>
      <c r="L1908" t="n">
        <v>2</v>
      </c>
      <c r="M1908">
        <f>VLOOKUP(D1908,State_Lookup!$A$2:$B$28,2,FALSE)</f>
        <v/>
      </c>
    </row>
    <row r="1909">
      <c r="A1909" t="inlineStr">
        <is>
          <t>adc9c192fa551c7973ee32d217816b89</t>
        </is>
      </c>
      <c r="B1909" t="inlineStr">
        <is>
          <t>2017-11-25</t>
        </is>
      </c>
      <c r="C1909" t="inlineStr">
        <is>
          <t>2017-11</t>
        </is>
      </c>
      <c r="D1909" t="inlineStr">
        <is>
          <t>MG</t>
        </is>
      </c>
      <c r="E1909" t="inlineStr">
        <is>
          <t>sports_leisure</t>
        </is>
      </c>
      <c r="F1909" t="n">
        <v>1</v>
      </c>
      <c r="G1909" t="n">
        <v>104.9</v>
      </c>
      <c r="H1909" t="n">
        <v>16.49</v>
      </c>
      <c r="I1909" t="inlineStr">
        <is>
          <t>credit_card</t>
        </is>
      </c>
      <c r="J1909" t="n">
        <v>8</v>
      </c>
      <c r="K1909" t="inlineStr">
        <is>
          <t>On Time</t>
        </is>
      </c>
      <c r="L1909" t="n">
        <v>4</v>
      </c>
      <c r="M1909">
        <f>VLOOKUP(D1909,State_Lookup!$A$2:$B$28,2,FALSE)</f>
        <v/>
      </c>
    </row>
    <row r="1910">
      <c r="A1910" t="inlineStr">
        <is>
          <t>617dba85b5a384d32d348f3a8cb4ce80</t>
        </is>
      </c>
      <c r="B1910" t="inlineStr">
        <is>
          <t>2017-11-25</t>
        </is>
      </c>
      <c r="C1910" t="inlineStr">
        <is>
          <t>2017-11</t>
        </is>
      </c>
      <c r="D1910" t="inlineStr">
        <is>
          <t>RS</t>
        </is>
      </c>
      <c r="E1910" t="inlineStr">
        <is>
          <t>bed_bath_table</t>
        </is>
      </c>
      <c r="F1910" t="n">
        <v>1</v>
      </c>
      <c r="G1910" t="n">
        <v>39.5</v>
      </c>
      <c r="H1910" t="n">
        <v>16.11</v>
      </c>
      <c r="I1910" t="inlineStr">
        <is>
          <t>credit_card</t>
        </is>
      </c>
      <c r="J1910" t="n">
        <v>20</v>
      </c>
      <c r="K1910" t="inlineStr">
        <is>
          <t>On Time</t>
        </is>
      </c>
      <c r="L1910" t="n">
        <v>5</v>
      </c>
      <c r="M1910">
        <f>VLOOKUP(D1910,State_Lookup!$A$2:$B$28,2,FALSE)</f>
        <v/>
      </c>
    </row>
    <row r="1911">
      <c r="A1911" t="inlineStr">
        <is>
          <t>1041d437bb0a4bcfeb3a107426f2d5f5</t>
        </is>
      </c>
      <c r="B1911" t="inlineStr">
        <is>
          <t>2017-11-25</t>
        </is>
      </c>
      <c r="C1911" t="inlineStr">
        <is>
          <t>2017-11</t>
        </is>
      </c>
      <c r="D1911" t="inlineStr">
        <is>
          <t>BA</t>
        </is>
      </c>
      <c r="E1911" t="inlineStr">
        <is>
          <t>toys</t>
        </is>
      </c>
      <c r="F1911" t="n">
        <v>1</v>
      </c>
      <c r="G1911" t="n">
        <v>259.9</v>
      </c>
      <c r="H1911" t="n">
        <v>22.62</v>
      </c>
      <c r="I1911" t="inlineStr">
        <is>
          <t>credit_card</t>
        </is>
      </c>
      <c r="J1911" t="n">
        <v>26</v>
      </c>
      <c r="K1911" t="inlineStr">
        <is>
          <t>Late</t>
        </is>
      </c>
      <c r="L1911" t="n">
        <v>4</v>
      </c>
      <c r="M1911">
        <f>VLOOKUP(D1911,State_Lookup!$A$2:$B$28,2,FALSE)</f>
        <v/>
      </c>
    </row>
    <row r="1912">
      <c r="A1912" t="inlineStr">
        <is>
          <t>1a4ce6e380dae0771ca218753b0739a1</t>
        </is>
      </c>
      <c r="B1912" t="inlineStr">
        <is>
          <t>2017-11-26</t>
        </is>
      </c>
      <c r="C1912" t="inlineStr">
        <is>
          <t>2017-11</t>
        </is>
      </c>
      <c r="D1912" t="inlineStr">
        <is>
          <t>MA</t>
        </is>
      </c>
      <c r="E1912" t="inlineStr">
        <is>
          <t>housewares</t>
        </is>
      </c>
      <c r="F1912" t="n">
        <v>1</v>
      </c>
      <c r="G1912" t="n">
        <v>169.9</v>
      </c>
      <c r="H1912" t="n">
        <v>50.85</v>
      </c>
      <c r="I1912" t="inlineStr">
        <is>
          <t>credit_card</t>
        </is>
      </c>
      <c r="J1912" t="n">
        <v>39</v>
      </c>
      <c r="K1912" t="inlineStr">
        <is>
          <t>Late</t>
        </is>
      </c>
      <c r="L1912" t="n">
        <v>3</v>
      </c>
      <c r="M1912">
        <f>VLOOKUP(D1912,State_Lookup!$A$2:$B$28,2,FALSE)</f>
        <v/>
      </c>
    </row>
    <row r="1913">
      <c r="A1913" t="inlineStr">
        <is>
          <t>c05cb9c2c6907494337ded1d059cbc7d</t>
        </is>
      </c>
      <c r="B1913" t="inlineStr">
        <is>
          <t>2017-11-26</t>
        </is>
      </c>
      <c r="C1913" t="inlineStr">
        <is>
          <t>2017-11</t>
        </is>
      </c>
      <c r="D1913" t="inlineStr">
        <is>
          <t>SP</t>
        </is>
      </c>
      <c r="E1913" t="inlineStr">
        <is>
          <t>telephony</t>
        </is>
      </c>
      <c r="F1913" t="n">
        <v>2</v>
      </c>
      <c r="G1913" t="n">
        <v>45.89</v>
      </c>
      <c r="H1913" t="n">
        <v>26.94</v>
      </c>
      <c r="I1913" t="inlineStr">
        <is>
          <t>credit_card</t>
        </is>
      </c>
      <c r="J1913" t="n">
        <v>11</v>
      </c>
      <c r="K1913" t="inlineStr">
        <is>
          <t>On Time</t>
        </is>
      </c>
      <c r="L1913" t="n">
        <v>3</v>
      </c>
      <c r="M1913">
        <f>VLOOKUP(D1913,State_Lookup!$A$2:$B$28,2,FALSE)</f>
        <v/>
      </c>
    </row>
    <row r="1914">
      <c r="A1914" t="inlineStr">
        <is>
          <t>767b76997bafc4391a3018711fd833a9</t>
        </is>
      </c>
      <c r="B1914" t="inlineStr">
        <is>
          <t>2017-11-26</t>
        </is>
      </c>
      <c r="C1914" t="inlineStr">
        <is>
          <t>2017-11</t>
        </is>
      </c>
      <c r="D1914" t="inlineStr">
        <is>
          <t>RJ</t>
        </is>
      </c>
      <c r="E1914" t="inlineStr">
        <is>
          <t>garden_tools</t>
        </is>
      </c>
      <c r="F1914" t="n">
        <v>1</v>
      </c>
      <c r="G1914" t="n">
        <v>179.99</v>
      </c>
      <c r="H1914" t="n">
        <v>45.72</v>
      </c>
      <c r="I1914" t="inlineStr">
        <is>
          <t>credit_card</t>
        </is>
      </c>
      <c r="J1914" t="n">
        <v>17</v>
      </c>
      <c r="K1914" t="inlineStr">
        <is>
          <t>On Time</t>
        </is>
      </c>
      <c r="L1914" t="n">
        <v>5</v>
      </c>
      <c r="M1914">
        <f>VLOOKUP(D1914,State_Lookup!$A$2:$B$28,2,FALSE)</f>
        <v/>
      </c>
    </row>
    <row r="1915">
      <c r="A1915" t="inlineStr">
        <is>
          <t>d59990b8113b909332b7eb63d417c86a</t>
        </is>
      </c>
      <c r="B1915" t="inlineStr">
        <is>
          <t>2017-11-26</t>
        </is>
      </c>
      <c r="C1915" t="inlineStr">
        <is>
          <t>2017-11</t>
        </is>
      </c>
      <c r="D1915" t="inlineStr">
        <is>
          <t>SP</t>
        </is>
      </c>
      <c r="E1915" t="inlineStr">
        <is>
          <t>consoles_games</t>
        </is>
      </c>
      <c r="F1915" t="n">
        <v>1</v>
      </c>
      <c r="G1915" t="n">
        <v>24.5</v>
      </c>
      <c r="H1915" t="n">
        <v>11.85</v>
      </c>
      <c r="I1915" t="inlineStr">
        <is>
          <t>credit_card</t>
        </is>
      </c>
      <c r="J1915" t="n">
        <v>15</v>
      </c>
      <c r="K1915" t="inlineStr">
        <is>
          <t>On Time</t>
        </is>
      </c>
      <c r="L1915" t="n">
        <v>1</v>
      </c>
      <c r="M1915">
        <f>VLOOKUP(D1915,State_Lookup!$A$2:$B$28,2,FALSE)</f>
        <v/>
      </c>
    </row>
    <row r="1916">
      <c r="A1916" t="inlineStr">
        <is>
          <t>f5a46e0d0f766ca0dd73ed331959ce00</t>
        </is>
      </c>
      <c r="B1916" t="inlineStr">
        <is>
          <t>2017-11-26</t>
        </is>
      </c>
      <c r="C1916" t="inlineStr">
        <is>
          <t>2017-11</t>
        </is>
      </c>
      <c r="D1916" t="inlineStr">
        <is>
          <t>SP</t>
        </is>
      </c>
      <c r="E1916" t="inlineStr">
        <is>
          <t>health_beauty</t>
        </is>
      </c>
      <c r="F1916" t="n">
        <v>1</v>
      </c>
      <c r="G1916" t="n">
        <v>69</v>
      </c>
      <c r="H1916" t="n">
        <v>18.72</v>
      </c>
      <c r="I1916" t="inlineStr">
        <is>
          <t>credit_card</t>
        </is>
      </c>
      <c r="J1916" t="n">
        <v>9</v>
      </c>
      <c r="K1916" t="inlineStr">
        <is>
          <t>On Time</t>
        </is>
      </c>
      <c r="L1916" t="n">
        <v>5</v>
      </c>
      <c r="M1916">
        <f>VLOOKUP(D1916,State_Lookup!$A$2:$B$28,2,FALSE)</f>
        <v/>
      </c>
    </row>
    <row r="1917">
      <c r="A1917" t="inlineStr">
        <is>
          <t>55c22802abda3dda5ccb0d14c0123915</t>
        </is>
      </c>
      <c r="B1917" t="inlineStr">
        <is>
          <t>2017-11-26</t>
        </is>
      </c>
      <c r="C1917" t="inlineStr">
        <is>
          <t>2017-11</t>
        </is>
      </c>
      <c r="D1917" t="inlineStr">
        <is>
          <t>GO</t>
        </is>
      </c>
      <c r="E1917" t="inlineStr">
        <is>
          <t>health_beauty</t>
        </is>
      </c>
      <c r="F1917" t="n">
        <v>1</v>
      </c>
      <c r="G1917" t="n">
        <v>84.98999999999999</v>
      </c>
      <c r="H1917" t="n">
        <v>16.35</v>
      </c>
      <c r="I1917" t="inlineStr">
        <is>
          <t>credit_card</t>
        </is>
      </c>
      <c r="J1917" t="n">
        <v>37</v>
      </c>
      <c r="K1917" t="inlineStr">
        <is>
          <t>Late</t>
        </is>
      </c>
      <c r="L1917" t="n">
        <v>1</v>
      </c>
      <c r="M1917">
        <f>VLOOKUP(D1917,State_Lookup!$A$2:$B$28,2,FALSE)</f>
        <v/>
      </c>
    </row>
    <row r="1918">
      <c r="A1918" t="inlineStr">
        <is>
          <t>04a59fe46fc5aa341da5378c195ed53c</t>
        </is>
      </c>
      <c r="B1918" t="inlineStr">
        <is>
          <t>2017-11-26</t>
        </is>
      </c>
      <c r="C1918" t="inlineStr">
        <is>
          <t>2017-11</t>
        </is>
      </c>
      <c r="D1918" t="inlineStr">
        <is>
          <t>PR</t>
        </is>
      </c>
      <c r="E1918" t="inlineStr">
        <is>
          <t>baby</t>
        </is>
      </c>
      <c r="F1918" t="n">
        <v>1</v>
      </c>
      <c r="G1918" t="n">
        <v>60</v>
      </c>
      <c r="H1918" t="n">
        <v>15.18</v>
      </c>
      <c r="I1918" t="inlineStr">
        <is>
          <t>credit_card</t>
        </is>
      </c>
      <c r="J1918" t="n">
        <v>15</v>
      </c>
      <c r="K1918" t="inlineStr">
        <is>
          <t>On Time</t>
        </is>
      </c>
      <c r="L1918" t="n">
        <v>5</v>
      </c>
      <c r="M1918">
        <f>VLOOKUP(D1918,State_Lookup!$A$2:$B$28,2,FALSE)</f>
        <v/>
      </c>
    </row>
    <row r="1919">
      <c r="A1919" t="inlineStr">
        <is>
          <t>f42de7e48a0daaa613b8aa877942800f</t>
        </is>
      </c>
      <c r="B1919" t="inlineStr">
        <is>
          <t>2017-11-26</t>
        </is>
      </c>
      <c r="C1919" t="inlineStr">
        <is>
          <t>2017-11</t>
        </is>
      </c>
      <c r="D1919" t="inlineStr">
        <is>
          <t>SC</t>
        </is>
      </c>
      <c r="E1919" t="inlineStr">
        <is>
          <t>garden_tools</t>
        </is>
      </c>
      <c r="F1919" t="n">
        <v>1</v>
      </c>
      <c r="G1919" t="n">
        <v>49</v>
      </c>
      <c r="H1919" t="n">
        <v>17.64</v>
      </c>
      <c r="I1919" t="inlineStr">
        <is>
          <t>boleto</t>
        </is>
      </c>
      <c r="J1919" t="n">
        <v>23</v>
      </c>
      <c r="K1919" t="inlineStr">
        <is>
          <t>On Time</t>
        </is>
      </c>
      <c r="L1919" t="n">
        <v>5</v>
      </c>
      <c r="M1919">
        <f>VLOOKUP(D1919,State_Lookup!$A$2:$B$28,2,FALSE)</f>
        <v/>
      </c>
    </row>
    <row r="1920">
      <c r="A1920" t="inlineStr">
        <is>
          <t>0b8f73a9816cb775a1bf1492c3bca4e7</t>
        </is>
      </c>
      <c r="B1920" t="inlineStr">
        <is>
          <t>2017-11-26</t>
        </is>
      </c>
      <c r="C1920" t="inlineStr">
        <is>
          <t>2017-11</t>
        </is>
      </c>
      <c r="D1920" t="inlineStr">
        <is>
          <t>SP</t>
        </is>
      </c>
      <c r="E1920" t="inlineStr">
        <is>
          <t>housewares</t>
        </is>
      </c>
      <c r="F1920" t="n">
        <v>1</v>
      </c>
      <c r="G1920" t="n">
        <v>71</v>
      </c>
      <c r="H1920" t="n">
        <v>11.73</v>
      </c>
      <c r="I1920" t="inlineStr">
        <is>
          <t>credit_card</t>
        </is>
      </c>
      <c r="J1920" t="n">
        <v>4</v>
      </c>
      <c r="K1920" t="inlineStr">
        <is>
          <t>On Time</t>
        </is>
      </c>
      <c r="L1920" t="n">
        <v>1</v>
      </c>
      <c r="M1920">
        <f>VLOOKUP(D1920,State_Lookup!$A$2:$B$28,2,FALSE)</f>
        <v/>
      </c>
    </row>
    <row r="1921">
      <c r="A1921" t="inlineStr">
        <is>
          <t>cb26769d014df1d16ffd4de9098e95d7</t>
        </is>
      </c>
      <c r="B1921" t="inlineStr">
        <is>
          <t>2017-11-26</t>
        </is>
      </c>
      <c r="C1921" t="inlineStr">
        <is>
          <t>2017-11</t>
        </is>
      </c>
      <c r="D1921" t="inlineStr">
        <is>
          <t>PR</t>
        </is>
      </c>
      <c r="E1921" t="inlineStr">
        <is>
          <t>bed_bath_table</t>
        </is>
      </c>
      <c r="F1921" t="n">
        <v>1</v>
      </c>
      <c r="G1921" t="n">
        <v>70</v>
      </c>
      <c r="H1921" t="n">
        <v>17.74</v>
      </c>
      <c r="I1921" t="inlineStr">
        <is>
          <t>credit_card</t>
        </is>
      </c>
      <c r="J1921" t="n">
        <v>8</v>
      </c>
      <c r="K1921" t="inlineStr">
        <is>
          <t>On Time</t>
        </is>
      </c>
      <c r="L1921" t="n">
        <v>5</v>
      </c>
      <c r="M1921">
        <f>VLOOKUP(D1921,State_Lookup!$A$2:$B$28,2,FALSE)</f>
        <v/>
      </c>
    </row>
    <row r="1922">
      <c r="A1922" t="inlineStr">
        <is>
          <t>db2471b04ede0dfe4af0853853885267</t>
        </is>
      </c>
      <c r="B1922" t="inlineStr">
        <is>
          <t>2017-11-26</t>
        </is>
      </c>
      <c r="C1922" t="inlineStr">
        <is>
          <t>2017-11</t>
        </is>
      </c>
      <c r="D1922" t="inlineStr">
        <is>
          <t>SP</t>
        </is>
      </c>
      <c r="E1922" t="inlineStr">
        <is>
          <t>auto</t>
        </is>
      </c>
      <c r="F1922" t="n">
        <v>1</v>
      </c>
      <c r="G1922" t="n">
        <v>34</v>
      </c>
      <c r="H1922" t="n">
        <v>8.27</v>
      </c>
      <c r="I1922" t="inlineStr">
        <is>
          <t>credit_card</t>
        </is>
      </c>
      <c r="J1922" t="n">
        <v>4</v>
      </c>
      <c r="K1922" t="inlineStr">
        <is>
          <t>On Time</t>
        </is>
      </c>
      <c r="L1922" t="n">
        <v>5</v>
      </c>
      <c r="M1922">
        <f>VLOOKUP(D1922,State_Lookup!$A$2:$B$28,2,FALSE)</f>
        <v/>
      </c>
    </row>
    <row r="1923">
      <c r="A1923" t="inlineStr">
        <is>
          <t>a2f4f3306fea53180f55b6bb37d63647</t>
        </is>
      </c>
      <c r="B1923" t="inlineStr">
        <is>
          <t>2017-11-26</t>
        </is>
      </c>
      <c r="C1923" t="inlineStr">
        <is>
          <t>2017-11</t>
        </is>
      </c>
      <c r="D1923" t="inlineStr">
        <is>
          <t>SP</t>
        </is>
      </c>
      <c r="E1923" t="inlineStr">
        <is>
          <t>furniture_decor</t>
        </is>
      </c>
      <c r="F1923" t="n">
        <v>1</v>
      </c>
      <c r="G1923" t="n">
        <v>119</v>
      </c>
      <c r="H1923" t="n">
        <v>17.08</v>
      </c>
      <c r="I1923" t="inlineStr">
        <is>
          <t>boleto</t>
        </is>
      </c>
      <c r="J1923" t="n">
        <v>25</v>
      </c>
      <c r="K1923" t="inlineStr">
        <is>
          <t>Late</t>
        </is>
      </c>
      <c r="L1923" t="n">
        <v>1</v>
      </c>
      <c r="M1923">
        <f>VLOOKUP(D1923,State_Lookup!$A$2:$B$28,2,FALSE)</f>
        <v/>
      </c>
    </row>
    <row r="1924">
      <c r="A1924" t="inlineStr">
        <is>
          <t>cdcdd974adb1606df89687f10cf130eb</t>
        </is>
      </c>
      <c r="B1924" t="inlineStr">
        <is>
          <t>2017-11-26</t>
        </is>
      </c>
      <c r="C1924" t="inlineStr">
        <is>
          <t>2017-11</t>
        </is>
      </c>
      <c r="D1924" t="inlineStr">
        <is>
          <t>RJ</t>
        </is>
      </c>
      <c r="E1924" t="inlineStr">
        <is>
          <t>furniture_decor</t>
        </is>
      </c>
      <c r="F1924" t="n">
        <v>3</v>
      </c>
      <c r="G1924" t="n">
        <v>74.69999999999999</v>
      </c>
      <c r="H1924" t="n">
        <v>48.33</v>
      </c>
      <c r="I1924" t="inlineStr">
        <is>
          <t>boleto</t>
        </is>
      </c>
      <c r="J1924" t="n">
        <v>24</v>
      </c>
      <c r="K1924" t="inlineStr">
        <is>
          <t>Late</t>
        </is>
      </c>
      <c r="L1924" t="n">
        <v>3</v>
      </c>
      <c r="M1924">
        <f>VLOOKUP(D1924,State_Lookup!$A$2:$B$28,2,FALSE)</f>
        <v/>
      </c>
    </row>
    <row r="1925">
      <c r="A1925" t="inlineStr">
        <is>
          <t>ef00af19f3e4667ac596baf6656e0ee4</t>
        </is>
      </c>
      <c r="B1925" t="inlineStr">
        <is>
          <t>2017-11-26</t>
        </is>
      </c>
      <c r="C1925" t="inlineStr">
        <is>
          <t>2017-11</t>
        </is>
      </c>
      <c r="D1925" t="inlineStr">
        <is>
          <t>RJ</t>
        </is>
      </c>
      <c r="E1925" t="inlineStr">
        <is>
          <t>pet_shop</t>
        </is>
      </c>
      <c r="F1925" t="n">
        <v>1</v>
      </c>
      <c r="G1925" t="n">
        <v>209.99</v>
      </c>
      <c r="H1925" t="n">
        <v>18.72</v>
      </c>
      <c r="I1925" t="inlineStr">
        <is>
          <t>credit_card</t>
        </is>
      </c>
      <c r="J1925" t="n">
        <v>30</v>
      </c>
      <c r="K1925" t="inlineStr">
        <is>
          <t>Late</t>
        </is>
      </c>
      <c r="L1925" t="n">
        <v>1</v>
      </c>
      <c r="M1925">
        <f>VLOOKUP(D1925,State_Lookup!$A$2:$B$28,2,FALSE)</f>
        <v/>
      </c>
    </row>
    <row r="1926">
      <c r="A1926" t="inlineStr">
        <is>
          <t>3a25cded45c3f7fe9dee01dceed4a97a</t>
        </is>
      </c>
      <c r="B1926" t="inlineStr">
        <is>
          <t>2017-11-26</t>
        </is>
      </c>
      <c r="C1926" t="inlineStr">
        <is>
          <t>2017-11</t>
        </is>
      </c>
      <c r="D1926" t="inlineStr">
        <is>
          <t>SP</t>
        </is>
      </c>
      <c r="E1926" t="inlineStr">
        <is>
          <t>construction_tools_construction</t>
        </is>
      </c>
      <c r="F1926" t="n">
        <v>1</v>
      </c>
      <c r="G1926" t="n">
        <v>58</v>
      </c>
      <c r="H1926" t="n">
        <v>25.25</v>
      </c>
      <c r="I1926" t="inlineStr">
        <is>
          <t>credit_card</t>
        </is>
      </c>
      <c r="J1926" t="n">
        <v>15</v>
      </c>
      <c r="K1926" t="inlineStr">
        <is>
          <t>On Time</t>
        </is>
      </c>
      <c r="L1926" t="n">
        <v>4</v>
      </c>
      <c r="M1926">
        <f>VLOOKUP(D1926,State_Lookup!$A$2:$B$28,2,FALSE)</f>
        <v/>
      </c>
    </row>
    <row r="1927">
      <c r="A1927" t="inlineStr">
        <is>
          <t>551cf988ddc636bfcd08d383c5c371fd</t>
        </is>
      </c>
      <c r="B1927" t="inlineStr">
        <is>
          <t>2017-11-26</t>
        </is>
      </c>
      <c r="C1927" t="inlineStr">
        <is>
          <t>2017-11</t>
        </is>
      </c>
      <c r="D1927" t="inlineStr">
        <is>
          <t>SP</t>
        </is>
      </c>
      <c r="E1927" t="inlineStr">
        <is>
          <t>baby</t>
        </is>
      </c>
      <c r="F1927" t="n">
        <v>1</v>
      </c>
      <c r="G1927" t="n">
        <v>59.9</v>
      </c>
      <c r="H1927" t="n">
        <v>15.18</v>
      </c>
      <c r="I1927" t="inlineStr">
        <is>
          <t>voucher</t>
        </is>
      </c>
      <c r="J1927" t="n">
        <v>16</v>
      </c>
      <c r="K1927" t="inlineStr">
        <is>
          <t>On Time</t>
        </is>
      </c>
      <c r="L1927" t="n">
        <v>5</v>
      </c>
      <c r="M1927">
        <f>VLOOKUP(D1927,State_Lookup!$A$2:$B$28,2,FALSE)</f>
        <v/>
      </c>
    </row>
    <row r="1928">
      <c r="A1928" t="inlineStr">
        <is>
          <t>5f69f6bf68dce110479aa0bb515b47c8</t>
        </is>
      </c>
      <c r="B1928" t="inlineStr">
        <is>
          <t>2017-11-26</t>
        </is>
      </c>
      <c r="C1928" t="inlineStr">
        <is>
          <t>2017-11</t>
        </is>
      </c>
      <c r="D1928" t="inlineStr">
        <is>
          <t>SP</t>
        </is>
      </c>
      <c r="E1928" t="inlineStr">
        <is>
          <t>auto</t>
        </is>
      </c>
      <c r="F1928" t="n">
        <v>1</v>
      </c>
      <c r="G1928" t="n">
        <v>30</v>
      </c>
      <c r="H1928" t="n">
        <v>8.720000000000001</v>
      </c>
      <c r="I1928" t="inlineStr">
        <is>
          <t>credit_card</t>
        </is>
      </c>
      <c r="J1928" t="n">
        <v>4</v>
      </c>
      <c r="K1928" t="inlineStr">
        <is>
          <t>On Time</t>
        </is>
      </c>
      <c r="L1928" t="n">
        <v>5</v>
      </c>
      <c r="M1928">
        <f>VLOOKUP(D1928,State_Lookup!$A$2:$B$28,2,FALSE)</f>
        <v/>
      </c>
    </row>
    <row r="1929">
      <c r="A1929" t="inlineStr">
        <is>
          <t>c2d2c80fb18401b6b761d887e378676f</t>
        </is>
      </c>
      <c r="B1929" t="inlineStr">
        <is>
          <t>2017-11-26</t>
        </is>
      </c>
      <c r="C1929" t="inlineStr">
        <is>
          <t>2017-11</t>
        </is>
      </c>
      <c r="D1929" t="inlineStr">
        <is>
          <t>PR</t>
        </is>
      </c>
      <c r="E1929" t="inlineStr">
        <is>
          <t>cool_stuff</t>
        </is>
      </c>
      <c r="F1929" t="n">
        <v>2</v>
      </c>
      <c r="G1929" t="n">
        <v>58</v>
      </c>
      <c r="H1929" t="n">
        <v>51.26</v>
      </c>
      <c r="I1929" t="inlineStr">
        <is>
          <t>credit_card</t>
        </is>
      </c>
      <c r="J1929" t="n">
        <v>8</v>
      </c>
      <c r="K1929" t="inlineStr">
        <is>
          <t>On Time</t>
        </is>
      </c>
      <c r="L1929" t="n">
        <v>5</v>
      </c>
      <c r="M1929">
        <f>VLOOKUP(D1929,State_Lookup!$A$2:$B$28,2,FALSE)</f>
        <v/>
      </c>
    </row>
    <row r="1930">
      <c r="A1930" t="inlineStr">
        <is>
          <t>d26844690f17c5d19b50a5862b8d2a45</t>
        </is>
      </c>
      <c r="B1930" t="inlineStr">
        <is>
          <t>2017-11-26</t>
        </is>
      </c>
      <c r="C1930" t="inlineStr">
        <is>
          <t>2017-11</t>
        </is>
      </c>
      <c r="D1930" t="inlineStr">
        <is>
          <t>PR</t>
        </is>
      </c>
      <c r="E1930" t="inlineStr">
        <is>
          <t>housewares</t>
        </is>
      </c>
      <c r="F1930" t="n">
        <v>1</v>
      </c>
      <c r="G1930" t="n">
        <v>14.24</v>
      </c>
      <c r="H1930" t="n">
        <v>12.6</v>
      </c>
      <c r="I1930" t="inlineStr">
        <is>
          <t>boleto</t>
        </is>
      </c>
      <c r="J1930" t="n">
        <v>9</v>
      </c>
      <c r="K1930" t="inlineStr">
        <is>
          <t>On Time</t>
        </is>
      </c>
      <c r="L1930" t="n">
        <v>5</v>
      </c>
      <c r="M1930">
        <f>VLOOKUP(D1930,State_Lookup!$A$2:$B$28,2,FALSE)</f>
        <v/>
      </c>
    </row>
    <row r="1931">
      <c r="A1931" t="inlineStr">
        <is>
          <t>49f3ca1235b168529decb2072cc26da8</t>
        </is>
      </c>
      <c r="B1931" t="inlineStr">
        <is>
          <t>2017-11-26</t>
        </is>
      </c>
      <c r="C1931" t="inlineStr">
        <is>
          <t>2017-11</t>
        </is>
      </c>
      <c r="D1931" t="inlineStr">
        <is>
          <t>PR</t>
        </is>
      </c>
      <c r="E1931" t="inlineStr">
        <is>
          <t>health_beauty</t>
        </is>
      </c>
      <c r="F1931" t="n">
        <v>1</v>
      </c>
      <c r="G1931" t="n">
        <v>37.9</v>
      </c>
      <c r="H1931" t="n">
        <v>15.1</v>
      </c>
      <c r="I1931" t="inlineStr">
        <is>
          <t>credit_card</t>
        </is>
      </c>
      <c r="J1931" t="n">
        <v>8</v>
      </c>
      <c r="K1931" t="inlineStr">
        <is>
          <t>On Time</t>
        </is>
      </c>
      <c r="L1931" t="n">
        <v>3</v>
      </c>
      <c r="M1931">
        <f>VLOOKUP(D1931,State_Lookup!$A$2:$B$28,2,FALSE)</f>
        <v/>
      </c>
    </row>
    <row r="1932">
      <c r="A1932" t="inlineStr">
        <is>
          <t>941ebebbc2c3685498a892e2a29237c9</t>
        </is>
      </c>
      <c r="B1932" t="inlineStr">
        <is>
          <t>2017-11-26</t>
        </is>
      </c>
      <c r="C1932" t="inlineStr">
        <is>
          <t>2017-11</t>
        </is>
      </c>
      <c r="D1932" t="inlineStr">
        <is>
          <t>RS</t>
        </is>
      </c>
      <c r="E1932" t="inlineStr">
        <is>
          <t>garden_tools</t>
        </is>
      </c>
      <c r="F1932" t="n">
        <v>1</v>
      </c>
      <c r="G1932" t="n">
        <v>49</v>
      </c>
      <c r="H1932" t="n">
        <v>17.64</v>
      </c>
      <c r="I1932" t="inlineStr">
        <is>
          <t>credit_card</t>
        </is>
      </c>
      <c r="J1932" t="n">
        <v>18</v>
      </c>
      <c r="K1932" t="inlineStr">
        <is>
          <t>On Time</t>
        </is>
      </c>
      <c r="L1932" t="n">
        <v>4</v>
      </c>
      <c r="M1932">
        <f>VLOOKUP(D1932,State_Lookup!$A$2:$B$28,2,FALSE)</f>
        <v/>
      </c>
    </row>
    <row r="1933">
      <c r="A1933" t="inlineStr">
        <is>
          <t>71b3bbe3087a538b8019ec4e1b8abf56</t>
        </is>
      </c>
      <c r="B1933" t="inlineStr">
        <is>
          <t>2017-11-26</t>
        </is>
      </c>
      <c r="C1933" t="inlineStr">
        <is>
          <t>2017-11</t>
        </is>
      </c>
      <c r="D1933" t="inlineStr">
        <is>
          <t>SP</t>
        </is>
      </c>
      <c r="E1933" t="inlineStr">
        <is>
          <t>computers_accessories</t>
        </is>
      </c>
      <c r="F1933" t="n">
        <v>1</v>
      </c>
      <c r="G1933" t="n">
        <v>127.42</v>
      </c>
      <c r="H1933" t="n">
        <v>13.02</v>
      </c>
      <c r="I1933" t="inlineStr">
        <is>
          <t>credit_card</t>
        </is>
      </c>
      <c r="J1933" t="n">
        <v>12</v>
      </c>
      <c r="K1933" t="inlineStr">
        <is>
          <t>On Time</t>
        </is>
      </c>
      <c r="L1933" t="n">
        <v>4</v>
      </c>
      <c r="M1933">
        <f>VLOOKUP(D1933,State_Lookup!$A$2:$B$28,2,FALSE)</f>
        <v/>
      </c>
    </row>
    <row r="1934">
      <c r="A1934" t="inlineStr">
        <is>
          <t>6646811f070a6e46f85c938eb20b1842</t>
        </is>
      </c>
      <c r="B1934" t="inlineStr">
        <is>
          <t>2017-11-26</t>
        </is>
      </c>
      <c r="C1934" t="inlineStr">
        <is>
          <t>2017-11</t>
        </is>
      </c>
      <c r="D1934" t="inlineStr">
        <is>
          <t>MG</t>
        </is>
      </c>
      <c r="E1934" t="inlineStr">
        <is>
          <t>toys</t>
        </is>
      </c>
      <c r="F1934" t="n">
        <v>1</v>
      </c>
      <c r="G1934" t="n">
        <v>34.99</v>
      </c>
      <c r="H1934" t="n">
        <v>15.11</v>
      </c>
      <c r="I1934" t="inlineStr">
        <is>
          <t>credit_card</t>
        </is>
      </c>
      <c r="J1934" t="n">
        <v>18</v>
      </c>
      <c r="K1934" t="inlineStr">
        <is>
          <t>On Time</t>
        </is>
      </c>
      <c r="L1934" t="n">
        <v>5</v>
      </c>
      <c r="M1934">
        <f>VLOOKUP(D1934,State_Lookup!$A$2:$B$28,2,FALSE)</f>
        <v/>
      </c>
    </row>
    <row r="1935">
      <c r="A1935" t="inlineStr">
        <is>
          <t>2eb519d713a6e605650dd4bd730c17d0</t>
        </is>
      </c>
      <c r="B1935" t="inlineStr">
        <is>
          <t>2017-11-26</t>
        </is>
      </c>
      <c r="C1935" t="inlineStr">
        <is>
          <t>2017-11</t>
        </is>
      </c>
      <c r="D1935" t="inlineStr">
        <is>
          <t>SP</t>
        </is>
      </c>
      <c r="E1935" t="inlineStr">
        <is>
          <t>consoles_games</t>
        </is>
      </c>
      <c r="F1935" t="n">
        <v>1</v>
      </c>
      <c r="G1935" t="n">
        <v>399</v>
      </c>
      <c r="H1935" t="n">
        <v>11.61</v>
      </c>
      <c r="I1935" t="inlineStr">
        <is>
          <t>credit_card</t>
        </is>
      </c>
      <c r="J1935" t="n">
        <v>17</v>
      </c>
      <c r="K1935" t="inlineStr">
        <is>
          <t>Late</t>
        </is>
      </c>
      <c r="L1935" t="n">
        <v>5</v>
      </c>
      <c r="M1935">
        <f>VLOOKUP(D1935,State_Lookup!$A$2:$B$28,2,FALSE)</f>
        <v/>
      </c>
    </row>
    <row r="1936">
      <c r="A1936" t="inlineStr">
        <is>
          <t>148ffca6d6b46bd5f71a7b22154baae6</t>
        </is>
      </c>
      <c r="B1936" t="inlineStr">
        <is>
          <t>2017-11-26</t>
        </is>
      </c>
      <c r="C1936" t="inlineStr">
        <is>
          <t>2017-11</t>
        </is>
      </c>
      <c r="D1936" t="inlineStr">
        <is>
          <t>SP</t>
        </is>
      </c>
      <c r="E1936" t="inlineStr">
        <is>
          <t>fashion_shoes</t>
        </is>
      </c>
      <c r="F1936" t="n">
        <v>2</v>
      </c>
      <c r="G1936" t="n">
        <v>169.8</v>
      </c>
      <c r="H1936" t="n">
        <v>27.22</v>
      </c>
      <c r="I1936" t="inlineStr">
        <is>
          <t>credit_card</t>
        </is>
      </c>
      <c r="J1936" t="n">
        <v>14</v>
      </c>
      <c r="K1936" t="inlineStr">
        <is>
          <t>On Time</t>
        </is>
      </c>
      <c r="L1936" t="n">
        <v>5</v>
      </c>
      <c r="M1936">
        <f>VLOOKUP(D1936,State_Lookup!$A$2:$B$28,2,FALSE)</f>
        <v/>
      </c>
    </row>
    <row r="1937">
      <c r="A1937" t="inlineStr">
        <is>
          <t>eb61a98487395d9b7a135acd3d6905a5</t>
        </is>
      </c>
      <c r="B1937" t="inlineStr">
        <is>
          <t>2017-11-26</t>
        </is>
      </c>
      <c r="C1937" t="inlineStr">
        <is>
          <t>2017-11</t>
        </is>
      </c>
      <c r="D1937" t="inlineStr">
        <is>
          <t>MG</t>
        </is>
      </c>
      <c r="E1937" t="inlineStr">
        <is>
          <t>perfumery</t>
        </is>
      </c>
      <c r="F1937" t="n">
        <v>1</v>
      </c>
      <c r="G1937" t="n">
        <v>49.9</v>
      </c>
      <c r="H1937" t="n">
        <v>15.1</v>
      </c>
      <c r="I1937" t="inlineStr">
        <is>
          <t>credit_card</t>
        </is>
      </c>
      <c r="J1937" t="n">
        <v>24</v>
      </c>
      <c r="K1937" t="inlineStr">
        <is>
          <t>Late</t>
        </is>
      </c>
      <c r="L1937" t="n">
        <v>5</v>
      </c>
      <c r="M1937">
        <f>VLOOKUP(D1937,State_Lookup!$A$2:$B$28,2,FALSE)</f>
        <v/>
      </c>
    </row>
    <row r="1938">
      <c r="A1938" t="inlineStr">
        <is>
          <t>9e906dcb08be5abcfe04f3e3a9bbb8bb</t>
        </is>
      </c>
      <c r="B1938" t="inlineStr">
        <is>
          <t>2017-11-26</t>
        </is>
      </c>
      <c r="C1938" t="inlineStr">
        <is>
          <t>2017-11</t>
        </is>
      </c>
      <c r="D1938" t="inlineStr">
        <is>
          <t>SP</t>
        </is>
      </c>
      <c r="E1938" t="inlineStr">
        <is>
          <t>auto</t>
        </is>
      </c>
      <c r="F1938" t="n">
        <v>1</v>
      </c>
      <c r="G1938" t="n">
        <v>29</v>
      </c>
      <c r="H1938" t="n">
        <v>7.78</v>
      </c>
      <c r="I1938" t="inlineStr">
        <is>
          <t>boleto</t>
        </is>
      </c>
      <c r="J1938" t="n">
        <v>3</v>
      </c>
      <c r="K1938" t="inlineStr">
        <is>
          <t>On Time</t>
        </is>
      </c>
      <c r="L1938" t="n">
        <v>5</v>
      </c>
      <c r="M1938">
        <f>VLOOKUP(D1938,State_Lookup!$A$2:$B$28,2,FALSE)</f>
        <v/>
      </c>
    </row>
    <row r="1939">
      <c r="A1939" t="inlineStr">
        <is>
          <t>d6a90d67310c500286671d1aab32079f</t>
        </is>
      </c>
      <c r="B1939" t="inlineStr">
        <is>
          <t>2017-11-27</t>
        </is>
      </c>
      <c r="C1939" t="inlineStr">
        <is>
          <t>2017-11</t>
        </is>
      </c>
      <c r="D1939" t="inlineStr">
        <is>
          <t>MG</t>
        </is>
      </c>
      <c r="E1939" t="inlineStr">
        <is>
          <t>bed_bath_table</t>
        </is>
      </c>
      <c r="F1939" t="n">
        <v>1</v>
      </c>
      <c r="G1939" t="n">
        <v>99.90000000000001</v>
      </c>
      <c r="H1939" t="n">
        <v>17.95</v>
      </c>
      <c r="I1939" t="inlineStr">
        <is>
          <t>credit_card</t>
        </is>
      </c>
      <c r="J1939" t="n">
        <v>20</v>
      </c>
      <c r="K1939" t="inlineStr">
        <is>
          <t>On Time</t>
        </is>
      </c>
      <c r="L1939" t="n">
        <v>5</v>
      </c>
      <c r="M1939">
        <f>VLOOKUP(D1939,State_Lookup!$A$2:$B$28,2,FALSE)</f>
        <v/>
      </c>
    </row>
    <row r="1940">
      <c r="A1940" t="inlineStr">
        <is>
          <t>f1eb378be592a06b8c3c6006b7d7102e</t>
        </is>
      </c>
      <c r="B1940" t="inlineStr">
        <is>
          <t>2017-11-27</t>
        </is>
      </c>
      <c r="C1940" t="inlineStr">
        <is>
          <t>2017-11</t>
        </is>
      </c>
      <c r="D1940" t="inlineStr">
        <is>
          <t>SP</t>
        </is>
      </c>
      <c r="E1940" t="inlineStr">
        <is>
          <t>fashion_bags_accessories</t>
        </is>
      </c>
      <c r="F1940" t="n">
        <v>1</v>
      </c>
      <c r="G1940" t="n">
        <v>49.9</v>
      </c>
      <c r="H1940" t="n">
        <v>7.78</v>
      </c>
      <c r="I1940" t="inlineStr">
        <is>
          <t>boleto</t>
        </is>
      </c>
      <c r="J1940" t="n">
        <v>7</v>
      </c>
      <c r="K1940" t="inlineStr">
        <is>
          <t>On Time</t>
        </is>
      </c>
      <c r="L1940" t="n">
        <v>5</v>
      </c>
      <c r="M1940">
        <f>VLOOKUP(D1940,State_Lookup!$A$2:$B$28,2,FALSE)</f>
        <v/>
      </c>
    </row>
    <row r="1941">
      <c r="A1941" t="inlineStr">
        <is>
          <t>3d7ee397cbe71826e767837af0d81c2a</t>
        </is>
      </c>
      <c r="B1941" t="inlineStr">
        <is>
          <t>2017-11-27</t>
        </is>
      </c>
      <c r="C1941" t="inlineStr">
        <is>
          <t>2017-11</t>
        </is>
      </c>
      <c r="D1941" t="inlineStr">
        <is>
          <t>RJ</t>
        </is>
      </c>
      <c r="E1941" t="inlineStr">
        <is>
          <t>audio</t>
        </is>
      </c>
      <c r="F1941" t="n">
        <v>1</v>
      </c>
      <c r="G1941" t="n">
        <v>108.9</v>
      </c>
      <c r="H1941" t="n">
        <v>14.51</v>
      </c>
      <c r="I1941" t="inlineStr">
        <is>
          <t>credit_card</t>
        </is>
      </c>
      <c r="J1941" t="n">
        <v>30</v>
      </c>
      <c r="K1941" t="inlineStr">
        <is>
          <t>Late</t>
        </is>
      </c>
      <c r="L1941" t="n">
        <v>4</v>
      </c>
      <c r="M1941">
        <f>VLOOKUP(D1941,State_Lookup!$A$2:$B$28,2,FALSE)</f>
        <v/>
      </c>
    </row>
    <row r="1942">
      <c r="A1942" t="inlineStr">
        <is>
          <t>31001a77165dd554fcc32640defe98a1</t>
        </is>
      </c>
      <c r="B1942" t="inlineStr">
        <is>
          <t>2017-11-27</t>
        </is>
      </c>
      <c r="C1942" t="inlineStr">
        <is>
          <t>2017-11</t>
        </is>
      </c>
      <c r="D1942" t="inlineStr">
        <is>
          <t>GO</t>
        </is>
      </c>
      <c r="E1942" t="inlineStr">
        <is>
          <t>toys</t>
        </is>
      </c>
      <c r="F1942" t="n">
        <v>1</v>
      </c>
      <c r="G1942" t="n">
        <v>86.98999999999999</v>
      </c>
      <c r="H1942" t="n">
        <v>17.86</v>
      </c>
      <c r="I1942" t="inlineStr">
        <is>
          <t>credit_card</t>
        </is>
      </c>
      <c r="J1942" t="n">
        <v>31</v>
      </c>
      <c r="K1942" t="inlineStr">
        <is>
          <t>Late</t>
        </is>
      </c>
      <c r="L1942" t="n">
        <v>3</v>
      </c>
      <c r="M1942">
        <f>VLOOKUP(D1942,State_Lookup!$A$2:$B$28,2,FALSE)</f>
        <v/>
      </c>
    </row>
    <row r="1943">
      <c r="A1943" t="inlineStr">
        <is>
          <t>bdb1554633e5b5bf1a3b47940263c00b</t>
        </is>
      </c>
      <c r="B1943" t="inlineStr">
        <is>
          <t>2017-11-27</t>
        </is>
      </c>
      <c r="C1943" t="inlineStr">
        <is>
          <t>2017-11</t>
        </is>
      </c>
      <c r="D1943" t="inlineStr">
        <is>
          <t>SC</t>
        </is>
      </c>
      <c r="E1943" t="inlineStr">
        <is>
          <t>telephony</t>
        </is>
      </c>
      <c r="F1943" t="n">
        <v>1</v>
      </c>
      <c r="G1943" t="n">
        <v>19.9</v>
      </c>
      <c r="H1943" t="n">
        <v>15.1</v>
      </c>
      <c r="I1943" t="inlineStr">
        <is>
          <t>voucher</t>
        </is>
      </c>
      <c r="J1943" t="n">
        <v>30</v>
      </c>
      <c r="K1943" t="inlineStr">
        <is>
          <t>Late</t>
        </is>
      </c>
      <c r="L1943" t="n">
        <v>1</v>
      </c>
      <c r="M1943">
        <f>VLOOKUP(D1943,State_Lookup!$A$2:$B$28,2,FALSE)</f>
        <v/>
      </c>
    </row>
    <row r="1944">
      <c r="A1944" t="inlineStr">
        <is>
          <t>6e63dcc83ec280b72783617737ce886d</t>
        </is>
      </c>
      <c r="B1944" t="inlineStr">
        <is>
          <t>2017-11-27</t>
        </is>
      </c>
      <c r="C1944" t="inlineStr">
        <is>
          <t>2017-11</t>
        </is>
      </c>
      <c r="D1944" t="inlineStr">
        <is>
          <t>RJ</t>
        </is>
      </c>
      <c r="E1944" t="inlineStr">
        <is>
          <t>garden_tools</t>
        </is>
      </c>
      <c r="F1944" t="n">
        <v>1</v>
      </c>
      <c r="G1944" t="n">
        <v>179.99</v>
      </c>
      <c r="H1944" t="n">
        <v>45.72</v>
      </c>
      <c r="I1944" t="inlineStr">
        <is>
          <t>credit_card</t>
        </is>
      </c>
      <c r="J1944" t="n">
        <v>9</v>
      </c>
      <c r="K1944" t="inlineStr">
        <is>
          <t>On Time</t>
        </is>
      </c>
      <c r="L1944" t="n">
        <v>5</v>
      </c>
      <c r="M1944">
        <f>VLOOKUP(D1944,State_Lookup!$A$2:$B$28,2,FALSE)</f>
        <v/>
      </c>
    </row>
    <row r="1945">
      <c r="A1945" t="inlineStr">
        <is>
          <t>9f9b0cf9d794e40cdf1c4cf909d65ca4</t>
        </is>
      </c>
      <c r="B1945" t="inlineStr">
        <is>
          <t>2017-11-27</t>
        </is>
      </c>
      <c r="C1945" t="inlineStr">
        <is>
          <t>2017-11</t>
        </is>
      </c>
      <c r="D1945" t="inlineStr">
        <is>
          <t>PR</t>
        </is>
      </c>
      <c r="E1945" t="inlineStr">
        <is>
          <t>sports_leisure</t>
        </is>
      </c>
      <c r="F1945" t="n">
        <v>1</v>
      </c>
      <c r="G1945" t="n">
        <v>115</v>
      </c>
      <c r="H1945" t="n">
        <v>21.3</v>
      </c>
      <c r="I1945" t="inlineStr">
        <is>
          <t>credit_card</t>
        </is>
      </c>
      <c r="J1945" t="n">
        <v>43</v>
      </c>
      <c r="K1945" t="inlineStr">
        <is>
          <t>Late</t>
        </is>
      </c>
      <c r="L1945" t="n">
        <v>1</v>
      </c>
      <c r="M1945">
        <f>VLOOKUP(D1945,State_Lookup!$A$2:$B$28,2,FALSE)</f>
        <v/>
      </c>
    </row>
    <row r="1946">
      <c r="A1946" t="inlineStr">
        <is>
          <t>1800f4a4362310d7eb38281634f6dfd1</t>
        </is>
      </c>
      <c r="B1946" t="inlineStr">
        <is>
          <t>2017-11-27</t>
        </is>
      </c>
      <c r="C1946" t="inlineStr">
        <is>
          <t>2017-11</t>
        </is>
      </c>
      <c r="D1946" t="inlineStr">
        <is>
          <t>CE</t>
        </is>
      </c>
      <c r="E1946" t="inlineStr">
        <is>
          <t>telephony</t>
        </is>
      </c>
      <c r="F1946" t="n">
        <v>1</v>
      </c>
      <c r="G1946" t="n">
        <v>298</v>
      </c>
      <c r="H1946" t="n">
        <v>27.37</v>
      </c>
      <c r="I1946" t="inlineStr">
        <is>
          <t>credit_card</t>
        </is>
      </c>
      <c r="J1946" t="n">
        <v>24</v>
      </c>
      <c r="K1946" t="inlineStr">
        <is>
          <t>On Time</t>
        </is>
      </c>
      <c r="L1946" t="n">
        <v>4</v>
      </c>
      <c r="M1946">
        <f>VLOOKUP(D1946,State_Lookup!$A$2:$B$28,2,FALSE)</f>
        <v/>
      </c>
    </row>
    <row r="1947">
      <c r="A1947" t="inlineStr">
        <is>
          <t>1a8479315924a0909a29ab6a0cc3cc20</t>
        </is>
      </c>
      <c r="B1947" t="inlineStr">
        <is>
          <t>2017-11-27</t>
        </is>
      </c>
      <c r="C1947" t="inlineStr">
        <is>
          <t>2017-11</t>
        </is>
      </c>
      <c r="D1947" t="inlineStr">
        <is>
          <t>RJ</t>
        </is>
      </c>
      <c r="E1947" t="inlineStr">
        <is>
          <t>bed_bath_table</t>
        </is>
      </c>
      <c r="F1947" t="n">
        <v>1</v>
      </c>
      <c r="G1947" t="n">
        <v>99.98999999999999</v>
      </c>
      <c r="H1947" t="n">
        <v>49.23</v>
      </c>
      <c r="I1947" t="inlineStr">
        <is>
          <t>credit_card</t>
        </is>
      </c>
      <c r="J1947" t="n">
        <v>17</v>
      </c>
      <c r="K1947" t="inlineStr">
        <is>
          <t>On Time</t>
        </is>
      </c>
      <c r="L1947" t="n">
        <v>4</v>
      </c>
      <c r="M1947">
        <f>VLOOKUP(D1947,State_Lookup!$A$2:$B$28,2,FALSE)</f>
        <v/>
      </c>
    </row>
    <row r="1948">
      <c r="A1948" t="inlineStr">
        <is>
          <t>bea0db83582bcb99461f9795968b7928</t>
        </is>
      </c>
      <c r="B1948" t="inlineStr">
        <is>
          <t>2017-11-27</t>
        </is>
      </c>
      <c r="C1948" t="inlineStr">
        <is>
          <t>2017-11</t>
        </is>
      </c>
      <c r="D1948" t="inlineStr">
        <is>
          <t>SC</t>
        </is>
      </c>
      <c r="E1948" t="inlineStr">
        <is>
          <t>telephony</t>
        </is>
      </c>
      <c r="F1948" t="n">
        <v>1</v>
      </c>
      <c r="G1948" t="n">
        <v>246.62</v>
      </c>
      <c r="H1948" t="n">
        <v>37.05</v>
      </c>
      <c r="I1948" t="inlineStr">
        <is>
          <t>credit_card</t>
        </is>
      </c>
      <c r="J1948" t="n">
        <v>23</v>
      </c>
      <c r="K1948" t="inlineStr">
        <is>
          <t>On Time</t>
        </is>
      </c>
      <c r="L1948" t="n">
        <v>4</v>
      </c>
      <c r="M1948">
        <f>VLOOKUP(D1948,State_Lookup!$A$2:$B$28,2,FALSE)</f>
        <v/>
      </c>
    </row>
    <row r="1949">
      <c r="A1949" t="inlineStr">
        <is>
          <t>66da8b55fb5d6393b4ec50e8fd8c9781</t>
        </is>
      </c>
      <c r="B1949" t="inlineStr">
        <is>
          <t>2017-11-27</t>
        </is>
      </c>
      <c r="C1949" t="inlineStr">
        <is>
          <t>2017-11</t>
        </is>
      </c>
      <c r="D1949" t="inlineStr">
        <is>
          <t>SP</t>
        </is>
      </c>
      <c r="E1949" t="inlineStr">
        <is>
          <t>health_beauty</t>
        </is>
      </c>
      <c r="F1949" t="n">
        <v>1</v>
      </c>
      <c r="G1949" t="n">
        <v>99.98999999999999</v>
      </c>
      <c r="H1949" t="n">
        <v>17.41</v>
      </c>
      <c r="I1949" t="inlineStr">
        <is>
          <t>credit_card</t>
        </is>
      </c>
      <c r="J1949" t="n">
        <v>3</v>
      </c>
      <c r="K1949" t="inlineStr">
        <is>
          <t>On Time</t>
        </is>
      </c>
      <c r="L1949" t="n">
        <v>5</v>
      </c>
      <c r="M1949">
        <f>VLOOKUP(D1949,State_Lookup!$A$2:$B$28,2,FALSE)</f>
        <v/>
      </c>
    </row>
    <row r="1950">
      <c r="A1950" t="inlineStr">
        <is>
          <t>d56ddc412e7725060f044aa15d7073d3</t>
        </is>
      </c>
      <c r="B1950" t="inlineStr">
        <is>
          <t>2017-11-27</t>
        </is>
      </c>
      <c r="C1950" t="inlineStr">
        <is>
          <t>2017-11</t>
        </is>
      </c>
      <c r="D1950" t="inlineStr">
        <is>
          <t>SP</t>
        </is>
      </c>
      <c r="E1950" t="inlineStr">
        <is>
          <t>health_beauty</t>
        </is>
      </c>
      <c r="F1950" t="n">
        <v>1</v>
      </c>
      <c r="G1950" t="n">
        <v>23.99</v>
      </c>
      <c r="H1950" t="n">
        <v>7.78</v>
      </c>
      <c r="I1950" t="inlineStr">
        <is>
          <t>voucher</t>
        </is>
      </c>
      <c r="J1950" t="n">
        <v>10</v>
      </c>
      <c r="K1950" t="inlineStr">
        <is>
          <t>On Time</t>
        </is>
      </c>
      <c r="L1950" t="n">
        <v>5</v>
      </c>
      <c r="M1950">
        <f>VLOOKUP(D1950,State_Lookup!$A$2:$B$28,2,FALSE)</f>
        <v/>
      </c>
    </row>
    <row r="1951">
      <c r="A1951" t="inlineStr">
        <is>
          <t>5e21c6f2e0e0007bd16ba2839c9628b2</t>
        </is>
      </c>
      <c r="B1951" t="inlineStr">
        <is>
          <t>2017-11-27</t>
        </is>
      </c>
      <c r="C1951" t="inlineStr">
        <is>
          <t>2017-11</t>
        </is>
      </c>
      <c r="D1951" t="inlineStr">
        <is>
          <t>PR</t>
        </is>
      </c>
      <c r="E1951" t="inlineStr">
        <is>
          <t>housewares</t>
        </is>
      </c>
      <c r="F1951" t="n">
        <v>1</v>
      </c>
      <c r="G1951" t="n">
        <v>177.99</v>
      </c>
      <c r="H1951" t="n">
        <v>14.4</v>
      </c>
      <c r="I1951" t="inlineStr">
        <is>
          <t>credit_card</t>
        </is>
      </c>
      <c r="J1951" t="n">
        <v>15</v>
      </c>
      <c r="K1951" t="inlineStr">
        <is>
          <t>On Time</t>
        </is>
      </c>
      <c r="L1951" t="n">
        <v>5</v>
      </c>
      <c r="M1951">
        <f>VLOOKUP(D1951,State_Lookup!$A$2:$B$28,2,FALSE)</f>
        <v/>
      </c>
    </row>
    <row r="1952">
      <c r="A1952" t="inlineStr">
        <is>
          <t>74c7716ab7523de71a5bab869d6a0055</t>
        </is>
      </c>
      <c r="B1952" t="inlineStr">
        <is>
          <t>2017-11-27</t>
        </is>
      </c>
      <c r="C1952" t="inlineStr">
        <is>
          <t>2017-11</t>
        </is>
      </c>
      <c r="D1952" t="inlineStr">
        <is>
          <t>PR</t>
        </is>
      </c>
      <c r="E1952" t="inlineStr">
        <is>
          <t>bed_bath_table</t>
        </is>
      </c>
      <c r="F1952" t="n">
        <v>1</v>
      </c>
      <c r="G1952" t="n">
        <v>110.9</v>
      </c>
      <c r="H1952" t="n">
        <v>39.71</v>
      </c>
      <c r="I1952" t="inlineStr">
        <is>
          <t>credit_card</t>
        </is>
      </c>
      <c r="J1952" t="n">
        <v>12</v>
      </c>
      <c r="K1952" t="inlineStr">
        <is>
          <t>On Time</t>
        </is>
      </c>
      <c r="L1952" t="n">
        <v>5</v>
      </c>
      <c r="M1952">
        <f>VLOOKUP(D1952,State_Lookup!$A$2:$B$28,2,FALSE)</f>
        <v/>
      </c>
    </row>
    <row r="1953">
      <c r="A1953" t="inlineStr">
        <is>
          <t>35d89cb00c04825ece90d7a205c0347f</t>
        </is>
      </c>
      <c r="B1953" t="inlineStr">
        <is>
          <t>2017-11-27</t>
        </is>
      </c>
      <c r="C1953" t="inlineStr">
        <is>
          <t>2017-11</t>
        </is>
      </c>
      <c r="D1953" t="inlineStr">
        <is>
          <t>BA</t>
        </is>
      </c>
      <c r="E1953" t="inlineStr">
        <is>
          <t>telephony</t>
        </is>
      </c>
      <c r="F1953" t="n">
        <v>2</v>
      </c>
      <c r="G1953" t="n">
        <v>54.98</v>
      </c>
      <c r="H1953" t="n">
        <v>33.58</v>
      </c>
      <c r="I1953" t="inlineStr">
        <is>
          <t>credit_card</t>
        </is>
      </c>
      <c r="J1953" t="n">
        <v>39</v>
      </c>
      <c r="K1953" t="inlineStr">
        <is>
          <t>Late</t>
        </is>
      </c>
      <c r="L1953" t="n">
        <v>1</v>
      </c>
      <c r="M1953">
        <f>VLOOKUP(D1953,State_Lookup!$A$2:$B$28,2,FALSE)</f>
        <v/>
      </c>
    </row>
    <row r="1954">
      <c r="A1954" t="inlineStr">
        <is>
          <t>c3664571c21d82f7d8ada5770af419f9</t>
        </is>
      </c>
      <c r="B1954" t="inlineStr">
        <is>
          <t>2017-11-27</t>
        </is>
      </c>
      <c r="C1954" t="inlineStr">
        <is>
          <t>2017-11</t>
        </is>
      </c>
      <c r="D1954" t="inlineStr">
        <is>
          <t>SP</t>
        </is>
      </c>
      <c r="E1954" t="inlineStr">
        <is>
          <t>consoles_games</t>
        </is>
      </c>
      <c r="F1954" t="n">
        <v>1</v>
      </c>
      <c r="G1954" t="n">
        <v>24.5</v>
      </c>
      <c r="H1954" t="n">
        <v>11.85</v>
      </c>
      <c r="I1954" t="inlineStr">
        <is>
          <t>credit_card</t>
        </is>
      </c>
      <c r="J1954" t="n">
        <v>13</v>
      </c>
      <c r="K1954" t="inlineStr">
        <is>
          <t>On Time</t>
        </is>
      </c>
      <c r="L1954" t="n">
        <v>4</v>
      </c>
      <c r="M1954">
        <f>VLOOKUP(D1954,State_Lookup!$A$2:$B$28,2,FALSE)</f>
        <v/>
      </c>
    </row>
    <row r="1955">
      <c r="A1955" t="inlineStr">
        <is>
          <t>5cc09f9c0de29bf3a52fb5f7108c4cbf</t>
        </is>
      </c>
      <c r="B1955" t="inlineStr">
        <is>
          <t>2017-11-27</t>
        </is>
      </c>
      <c r="C1955" t="inlineStr">
        <is>
          <t>2017-11</t>
        </is>
      </c>
      <c r="D1955" t="inlineStr">
        <is>
          <t>MG</t>
        </is>
      </c>
      <c r="E1955" t="inlineStr">
        <is>
          <t>auto</t>
        </is>
      </c>
      <c r="F1955" t="n">
        <v>1</v>
      </c>
      <c r="G1955" t="n">
        <v>15.9</v>
      </c>
      <c r="H1955" t="n">
        <v>8.109999999999999</v>
      </c>
      <c r="I1955" t="inlineStr">
        <is>
          <t>voucher</t>
        </is>
      </c>
      <c r="J1955" t="n">
        <v>21</v>
      </c>
      <c r="K1955" t="inlineStr">
        <is>
          <t>On Time</t>
        </is>
      </c>
      <c r="L1955" t="n">
        <v>2</v>
      </c>
      <c r="M1955">
        <f>VLOOKUP(D1955,State_Lookup!$A$2:$B$28,2,FALSE)</f>
        <v/>
      </c>
    </row>
    <row r="1956">
      <c r="A1956" t="inlineStr">
        <is>
          <t>771596702a2e0245fb67b093182acb03</t>
        </is>
      </c>
      <c r="B1956" t="inlineStr">
        <is>
          <t>2017-11-27</t>
        </is>
      </c>
      <c r="C1956" t="inlineStr">
        <is>
          <t>2017-11</t>
        </is>
      </c>
      <c r="D1956" t="inlineStr">
        <is>
          <t>SP</t>
        </is>
      </c>
      <c r="E1956" t="inlineStr">
        <is>
          <t>garden_tools</t>
        </is>
      </c>
      <c r="F1956" t="n">
        <v>1</v>
      </c>
      <c r="G1956" t="n">
        <v>238.9</v>
      </c>
      <c r="H1956" t="n">
        <v>15.28</v>
      </c>
      <c r="I1956" t="inlineStr">
        <is>
          <t>credit_card</t>
        </is>
      </c>
      <c r="J1956" t="n">
        <v>17</v>
      </c>
      <c r="K1956" t="inlineStr">
        <is>
          <t>On Time</t>
        </is>
      </c>
      <c r="L1956" t="n">
        <v>5</v>
      </c>
      <c r="M1956">
        <f>VLOOKUP(D1956,State_Lookup!$A$2:$B$28,2,FALSE)</f>
        <v/>
      </c>
    </row>
    <row r="1957">
      <c r="A1957" t="inlineStr">
        <is>
          <t>503ede67b27bbb1c7dca67c00af403a5</t>
        </is>
      </c>
      <c r="B1957" t="inlineStr">
        <is>
          <t>2017-11-27</t>
        </is>
      </c>
      <c r="C1957" t="inlineStr">
        <is>
          <t>2017-11</t>
        </is>
      </c>
      <c r="D1957" t="inlineStr">
        <is>
          <t>BA</t>
        </is>
      </c>
      <c r="E1957" t="inlineStr">
        <is>
          <t>furniture_decor</t>
        </is>
      </c>
      <c r="F1957" t="n">
        <v>1</v>
      </c>
      <c r="G1957" t="n">
        <v>207.9</v>
      </c>
      <c r="H1957" t="n">
        <v>20.7</v>
      </c>
      <c r="I1957" t="inlineStr">
        <is>
          <t>credit_card</t>
        </is>
      </c>
      <c r="J1957" t="n">
        <v>15</v>
      </c>
      <c r="K1957" t="inlineStr">
        <is>
          <t>On Time</t>
        </is>
      </c>
      <c r="L1957" t="n">
        <v>4</v>
      </c>
      <c r="M1957">
        <f>VLOOKUP(D1957,State_Lookup!$A$2:$B$28,2,FALSE)</f>
        <v/>
      </c>
    </row>
    <row r="1958">
      <c r="A1958" t="inlineStr">
        <is>
          <t>77ad790bc77b40f61485833a46bb6968</t>
        </is>
      </c>
      <c r="B1958" t="inlineStr">
        <is>
          <t>2017-11-27</t>
        </is>
      </c>
      <c r="C1958" t="inlineStr">
        <is>
          <t>2017-11</t>
        </is>
      </c>
      <c r="D1958" t="inlineStr">
        <is>
          <t>RJ</t>
        </is>
      </c>
      <c r="E1958" t="inlineStr">
        <is>
          <t>audio</t>
        </is>
      </c>
      <c r="F1958" t="n">
        <v>1</v>
      </c>
      <c r="G1958" t="n">
        <v>190.9</v>
      </c>
      <c r="H1958" t="n">
        <v>16.09</v>
      </c>
      <c r="I1958" t="inlineStr">
        <is>
          <t>credit_card</t>
        </is>
      </c>
      <c r="J1958" t="n">
        <v>21</v>
      </c>
      <c r="K1958" t="inlineStr">
        <is>
          <t>On Time</t>
        </is>
      </c>
      <c r="L1958" t="n">
        <v>5</v>
      </c>
      <c r="M1958">
        <f>VLOOKUP(D1958,State_Lookup!$A$2:$B$28,2,FALSE)</f>
        <v/>
      </c>
    </row>
    <row r="1959">
      <c r="A1959" t="inlineStr">
        <is>
          <t>bbdac08bddebc79ee2654423b9ad63c3</t>
        </is>
      </c>
      <c r="B1959" t="inlineStr">
        <is>
          <t>2017-11-28</t>
        </is>
      </c>
      <c r="C1959" t="inlineStr">
        <is>
          <t>2017-11</t>
        </is>
      </c>
      <c r="D1959" t="inlineStr">
        <is>
          <t>MG</t>
        </is>
      </c>
      <c r="E1959" t="inlineStr">
        <is>
          <t>health_beauty</t>
        </is>
      </c>
      <c r="F1959" t="n">
        <v>3</v>
      </c>
      <c r="G1959" t="n">
        <v>299.7</v>
      </c>
      <c r="H1959" t="n">
        <v>49.38</v>
      </c>
      <c r="I1959" t="inlineStr">
        <is>
          <t>credit_card</t>
        </is>
      </c>
      <c r="J1959" t="n">
        <v>15</v>
      </c>
      <c r="K1959" t="inlineStr">
        <is>
          <t>On Time</t>
        </is>
      </c>
      <c r="L1959" t="n">
        <v>5</v>
      </c>
      <c r="M1959">
        <f>VLOOKUP(D1959,State_Lookup!$A$2:$B$28,2,FALSE)</f>
        <v/>
      </c>
    </row>
    <row r="1960">
      <c r="A1960" t="inlineStr">
        <is>
          <t>df86f734aa38ba760f6b627af3870974</t>
        </is>
      </c>
      <c r="B1960" t="inlineStr">
        <is>
          <t>2017-11-28</t>
        </is>
      </c>
      <c r="C1960" t="inlineStr">
        <is>
          <t>2017-11</t>
        </is>
      </c>
      <c r="D1960" t="inlineStr">
        <is>
          <t>SP</t>
        </is>
      </c>
      <c r="E1960" t="inlineStr">
        <is>
          <t>toys</t>
        </is>
      </c>
      <c r="F1960" t="n">
        <v>1</v>
      </c>
      <c r="G1960" t="n">
        <v>23.9</v>
      </c>
      <c r="H1960" t="n">
        <v>7.78</v>
      </c>
      <c r="I1960" t="inlineStr">
        <is>
          <t>credit_card</t>
        </is>
      </c>
      <c r="J1960" t="n">
        <v>3</v>
      </c>
      <c r="K1960" t="inlineStr">
        <is>
          <t>On Time</t>
        </is>
      </c>
      <c r="L1960" t="n">
        <v>4</v>
      </c>
      <c r="M1960">
        <f>VLOOKUP(D1960,State_Lookup!$A$2:$B$28,2,FALSE)</f>
        <v/>
      </c>
    </row>
    <row r="1961">
      <c r="A1961" t="inlineStr">
        <is>
          <t>bbe5ef975154a7473c4c595fa3385edc</t>
        </is>
      </c>
      <c r="B1961" t="inlineStr">
        <is>
          <t>2017-11-28</t>
        </is>
      </c>
      <c r="C1961" t="inlineStr">
        <is>
          <t>2017-11</t>
        </is>
      </c>
      <c r="D1961" t="inlineStr">
        <is>
          <t>SP</t>
        </is>
      </c>
      <c r="E1961" t="inlineStr">
        <is>
          <t>housewares</t>
        </is>
      </c>
      <c r="F1961" t="n">
        <v>1</v>
      </c>
      <c r="G1961" t="n">
        <v>59.9</v>
      </c>
      <c r="H1961" t="n">
        <v>13.44</v>
      </c>
      <c r="I1961" t="inlineStr">
        <is>
          <t>voucher</t>
        </is>
      </c>
      <c r="J1961" t="n">
        <v>9</v>
      </c>
      <c r="K1961" t="inlineStr">
        <is>
          <t>On Time</t>
        </is>
      </c>
      <c r="L1961" t="n">
        <v>5</v>
      </c>
      <c r="M1961">
        <f>VLOOKUP(D1961,State_Lookup!$A$2:$B$28,2,FALSE)</f>
        <v/>
      </c>
    </row>
    <row r="1962">
      <c r="A1962" t="inlineStr">
        <is>
          <t>2e1b235d488deb88fb0f9282e48e9ddf</t>
        </is>
      </c>
      <c r="B1962" t="inlineStr">
        <is>
          <t>2017-11-28</t>
        </is>
      </c>
      <c r="C1962" t="inlineStr">
        <is>
          <t>2017-11</t>
        </is>
      </c>
      <c r="D1962" t="inlineStr">
        <is>
          <t>SC</t>
        </is>
      </c>
      <c r="E1962" t="inlineStr">
        <is>
          <t>toys</t>
        </is>
      </c>
      <c r="F1962" t="n">
        <v>1</v>
      </c>
      <c r="G1962" t="n">
        <v>120.9</v>
      </c>
      <c r="H1962" t="n">
        <v>49.38</v>
      </c>
      <c r="I1962" t="inlineStr">
        <is>
          <t>credit_card</t>
        </is>
      </c>
      <c r="J1962" t="n">
        <v>3</v>
      </c>
      <c r="K1962" t="inlineStr">
        <is>
          <t>On Time</t>
        </is>
      </c>
      <c r="L1962" t="n">
        <v>5</v>
      </c>
      <c r="M1962">
        <f>VLOOKUP(D1962,State_Lookup!$A$2:$B$28,2,FALSE)</f>
        <v/>
      </c>
    </row>
    <row r="1963">
      <c r="A1963" t="inlineStr">
        <is>
          <t>62505127063f51deaf665f237ee748c2</t>
        </is>
      </c>
      <c r="B1963" t="inlineStr">
        <is>
          <t>2017-11-28</t>
        </is>
      </c>
      <c r="C1963" t="inlineStr">
        <is>
          <t>2017-11</t>
        </is>
      </c>
      <c r="D1963" t="inlineStr">
        <is>
          <t>MG</t>
        </is>
      </c>
      <c r="E1963" t="inlineStr">
        <is>
          <t>perfumery</t>
        </is>
      </c>
      <c r="F1963" t="n">
        <v>1</v>
      </c>
      <c r="G1963" t="n">
        <v>339.9</v>
      </c>
      <c r="H1963" t="n">
        <v>18.14</v>
      </c>
      <c r="I1963" t="inlineStr">
        <is>
          <t>credit_card</t>
        </is>
      </c>
      <c r="J1963" t="n">
        <v>10</v>
      </c>
      <c r="K1963" t="inlineStr">
        <is>
          <t>On Time</t>
        </is>
      </c>
      <c r="L1963" t="n">
        <v>5</v>
      </c>
      <c r="M1963">
        <f>VLOOKUP(D1963,State_Lookup!$A$2:$B$28,2,FALSE)</f>
        <v/>
      </c>
    </row>
    <row r="1964">
      <c r="A1964" t="inlineStr">
        <is>
          <t>eeca9f5d045896f3545298cf7a55f101</t>
        </is>
      </c>
      <c r="B1964" t="inlineStr">
        <is>
          <t>2017-11-28</t>
        </is>
      </c>
      <c r="C1964" t="inlineStr">
        <is>
          <t>2017-11</t>
        </is>
      </c>
      <c r="D1964" t="inlineStr">
        <is>
          <t>SP</t>
        </is>
      </c>
      <c r="E1964" t="inlineStr">
        <is>
          <t>computers_accessories</t>
        </is>
      </c>
      <c r="F1964" t="n">
        <v>1</v>
      </c>
      <c r="G1964" t="n">
        <v>137.9</v>
      </c>
      <c r="H1964" t="n">
        <v>38.81</v>
      </c>
      <c r="I1964" t="inlineStr">
        <is>
          <t>credit_card</t>
        </is>
      </c>
      <c r="J1964" t="n">
        <v>6</v>
      </c>
      <c r="K1964" t="inlineStr">
        <is>
          <t>On Time</t>
        </is>
      </c>
      <c r="L1964" t="n">
        <v>4</v>
      </c>
      <c r="M1964">
        <f>VLOOKUP(D1964,State_Lookup!$A$2:$B$28,2,FALSE)</f>
        <v/>
      </c>
    </row>
    <row r="1965">
      <c r="A1965" t="inlineStr">
        <is>
          <t>32064cd340eabfc585488b852e90efaf</t>
        </is>
      </c>
      <c r="B1965" t="inlineStr">
        <is>
          <t>2017-11-28</t>
        </is>
      </c>
      <c r="C1965" t="inlineStr">
        <is>
          <t>2017-11</t>
        </is>
      </c>
      <c r="D1965" t="inlineStr">
        <is>
          <t>MG</t>
        </is>
      </c>
      <c r="E1965" t="inlineStr">
        <is>
          <t>garden_tools</t>
        </is>
      </c>
      <c r="F1965" t="n">
        <v>1</v>
      </c>
      <c r="G1965" t="n">
        <v>89.98999999999999</v>
      </c>
      <c r="H1965" t="n">
        <v>26.25</v>
      </c>
      <c r="I1965" t="inlineStr">
        <is>
          <t>credit_card</t>
        </is>
      </c>
      <c r="J1965" t="n">
        <v>7</v>
      </c>
      <c r="K1965" t="inlineStr">
        <is>
          <t>On Time</t>
        </is>
      </c>
      <c r="L1965" t="n">
        <v>5</v>
      </c>
      <c r="M1965">
        <f>VLOOKUP(D1965,State_Lookup!$A$2:$B$28,2,FALSE)</f>
        <v/>
      </c>
    </row>
    <row r="1966">
      <c r="A1966" t="inlineStr">
        <is>
          <t>111fce057987458292c1deff2a05d6ff</t>
        </is>
      </c>
      <c r="B1966" t="inlineStr">
        <is>
          <t>2017-11-28</t>
        </is>
      </c>
      <c r="C1966" t="inlineStr">
        <is>
          <t>2017-11</t>
        </is>
      </c>
      <c r="D1966" t="inlineStr">
        <is>
          <t>SC</t>
        </is>
      </c>
      <c r="E1966" t="inlineStr">
        <is>
          <t>health_beauty</t>
        </is>
      </c>
      <c r="F1966" t="n">
        <v>1</v>
      </c>
      <c r="G1966" t="n">
        <v>49.9</v>
      </c>
      <c r="H1966" t="n">
        <v>14.22</v>
      </c>
      <c r="I1966" t="inlineStr">
        <is>
          <t>boleto</t>
        </is>
      </c>
      <c r="J1966" t="n">
        <v>6</v>
      </c>
      <c r="K1966" t="inlineStr">
        <is>
          <t>On Time</t>
        </is>
      </c>
      <c r="L1966" t="n">
        <v>5</v>
      </c>
      <c r="M1966">
        <f>VLOOKUP(D1966,State_Lookup!$A$2:$B$28,2,FALSE)</f>
        <v/>
      </c>
    </row>
    <row r="1967">
      <c r="A1967" t="inlineStr">
        <is>
          <t>d0caf7e56d00688a96b150cee9afc889</t>
        </is>
      </c>
      <c r="B1967" t="inlineStr">
        <is>
          <t>2017-11-28</t>
        </is>
      </c>
      <c r="C1967" t="inlineStr">
        <is>
          <t>2017-11</t>
        </is>
      </c>
      <c r="D1967" t="inlineStr">
        <is>
          <t>RJ</t>
        </is>
      </c>
      <c r="E1967" t="inlineStr">
        <is>
          <t>telephony</t>
        </is>
      </c>
      <c r="F1967" t="n">
        <v>1</v>
      </c>
      <c r="G1967" t="n">
        <v>24.99</v>
      </c>
      <c r="H1967" t="n">
        <v>14.1</v>
      </c>
      <c r="I1967" t="inlineStr">
        <is>
          <t>credit_card</t>
        </is>
      </c>
      <c r="J1967" t="n">
        <v>10</v>
      </c>
      <c r="K1967" t="inlineStr">
        <is>
          <t>On Time</t>
        </is>
      </c>
      <c r="L1967" t="n">
        <v>5</v>
      </c>
      <c r="M1967">
        <f>VLOOKUP(D1967,State_Lookup!$A$2:$B$28,2,FALSE)</f>
        <v/>
      </c>
    </row>
    <row r="1968">
      <c r="A1968" t="inlineStr">
        <is>
          <t>37681095e51224168a55b7a4ed598359</t>
        </is>
      </c>
      <c r="B1968" t="inlineStr">
        <is>
          <t>2017-11-28</t>
        </is>
      </c>
      <c r="C1968" t="inlineStr">
        <is>
          <t>2017-11</t>
        </is>
      </c>
      <c r="D1968" t="inlineStr">
        <is>
          <t>RJ</t>
        </is>
      </c>
      <c r="E1968" t="inlineStr">
        <is>
          <t>computers_accessories</t>
        </is>
      </c>
      <c r="F1968" t="n">
        <v>1</v>
      </c>
      <c r="G1968" t="n">
        <v>149.99</v>
      </c>
      <c r="H1968" t="n">
        <v>40.38</v>
      </c>
      <c r="I1968" t="inlineStr">
        <is>
          <t>credit_card</t>
        </is>
      </c>
      <c r="J1968" t="n">
        <v>13</v>
      </c>
      <c r="K1968" t="inlineStr">
        <is>
          <t>On Time</t>
        </is>
      </c>
      <c r="L1968" t="n">
        <v>5</v>
      </c>
      <c r="M1968">
        <f>VLOOKUP(D1968,State_Lookup!$A$2:$B$28,2,FALSE)</f>
        <v/>
      </c>
    </row>
    <row r="1969">
      <c r="A1969" t="inlineStr">
        <is>
          <t>4682ccc1cc6188dda05e841ad72bc5e8</t>
        </is>
      </c>
      <c r="B1969" t="inlineStr">
        <is>
          <t>2017-11-28</t>
        </is>
      </c>
      <c r="C1969" t="inlineStr">
        <is>
          <t>2017-11</t>
        </is>
      </c>
      <c r="D1969" t="inlineStr">
        <is>
          <t>SC</t>
        </is>
      </c>
      <c r="E1969" t="inlineStr">
        <is>
          <t>fashion_male_clothing</t>
        </is>
      </c>
      <c r="F1969" t="n">
        <v>1</v>
      </c>
      <c r="G1969" t="n">
        <v>59.9</v>
      </c>
      <c r="H1969" t="n">
        <v>16.18</v>
      </c>
      <c r="I1969" t="inlineStr">
        <is>
          <t>boleto</t>
        </is>
      </c>
      <c r="J1969" t="n">
        <v>23</v>
      </c>
      <c r="K1969" t="inlineStr">
        <is>
          <t>On Time</t>
        </is>
      </c>
      <c r="L1969" t="n">
        <v>5</v>
      </c>
      <c r="M1969">
        <f>VLOOKUP(D1969,State_Lookup!$A$2:$B$28,2,FALSE)</f>
        <v/>
      </c>
    </row>
    <row r="1970">
      <c r="A1970" t="inlineStr">
        <is>
          <t>ca0400dec2c292340c373e63b1c2c597</t>
        </is>
      </c>
      <c r="B1970" t="inlineStr">
        <is>
          <t>2017-11-28</t>
        </is>
      </c>
      <c r="C1970" t="inlineStr">
        <is>
          <t>2017-11</t>
        </is>
      </c>
      <c r="D1970" t="inlineStr">
        <is>
          <t>BA</t>
        </is>
      </c>
      <c r="E1970" t="inlineStr">
        <is>
          <t>sports_leisure</t>
        </is>
      </c>
      <c r="F1970" t="n">
        <v>4</v>
      </c>
      <c r="G1970" t="n">
        <v>679.96</v>
      </c>
      <c r="H1970" t="n">
        <v>77.72</v>
      </c>
      <c r="I1970" t="inlineStr">
        <is>
          <t>credit_card</t>
        </is>
      </c>
      <c r="J1970" t="n">
        <v>22</v>
      </c>
      <c r="K1970" t="inlineStr">
        <is>
          <t>On Time</t>
        </is>
      </c>
      <c r="L1970" t="n">
        <v>1</v>
      </c>
      <c r="M1970">
        <f>VLOOKUP(D1970,State_Lookup!$A$2:$B$28,2,FALSE)</f>
        <v/>
      </c>
    </row>
    <row r="1971">
      <c r="A1971" t="inlineStr">
        <is>
          <t>f4a613f13687a59ba108a5ad756d73e6</t>
        </is>
      </c>
      <c r="B1971" t="inlineStr">
        <is>
          <t>2017-11-28</t>
        </is>
      </c>
      <c r="C1971" t="inlineStr">
        <is>
          <t>2017-11</t>
        </is>
      </c>
      <c r="D1971" t="inlineStr">
        <is>
          <t>SP</t>
        </is>
      </c>
      <c r="E1971" t="inlineStr">
        <is>
          <t>toys</t>
        </is>
      </c>
      <c r="F1971" t="n">
        <v>1</v>
      </c>
      <c r="G1971" t="n">
        <v>199.99</v>
      </c>
      <c r="H1971" t="n">
        <v>15.15</v>
      </c>
      <c r="I1971" t="inlineStr">
        <is>
          <t>credit_card</t>
        </is>
      </c>
      <c r="J1971" t="n">
        <v>13</v>
      </c>
      <c r="K1971" t="inlineStr">
        <is>
          <t>On Time</t>
        </is>
      </c>
      <c r="L1971" t="n">
        <v>1</v>
      </c>
      <c r="M1971">
        <f>VLOOKUP(D1971,State_Lookup!$A$2:$B$28,2,FALSE)</f>
        <v/>
      </c>
    </row>
    <row r="1972">
      <c r="A1972" t="inlineStr">
        <is>
          <t>861491497ec50d96ed67fcc3b12fdd87</t>
        </is>
      </c>
      <c r="B1972" t="inlineStr">
        <is>
          <t>2017-11-28</t>
        </is>
      </c>
      <c r="C1972" t="inlineStr">
        <is>
          <t>2017-11</t>
        </is>
      </c>
      <c r="D1972" t="inlineStr">
        <is>
          <t>SP</t>
        </is>
      </c>
      <c r="E1972" t="inlineStr">
        <is>
          <t>sports_leisure</t>
        </is>
      </c>
      <c r="F1972" t="n">
        <v>1</v>
      </c>
      <c r="G1972" t="n">
        <v>35.9</v>
      </c>
      <c r="H1972" t="n">
        <v>7.78</v>
      </c>
      <c r="I1972" t="inlineStr">
        <is>
          <t>credit_card</t>
        </is>
      </c>
      <c r="J1972" t="n">
        <v>9</v>
      </c>
      <c r="K1972" t="inlineStr">
        <is>
          <t>On Time</t>
        </is>
      </c>
      <c r="L1972" t="n">
        <v>5</v>
      </c>
      <c r="M1972">
        <f>VLOOKUP(D1972,State_Lookup!$A$2:$B$28,2,FALSE)</f>
        <v/>
      </c>
    </row>
    <row r="1973">
      <c r="A1973" t="inlineStr">
        <is>
          <t>99642f7c1549b12bcc0ddc010075030a</t>
        </is>
      </c>
      <c r="B1973" t="inlineStr">
        <is>
          <t>2017-11-28</t>
        </is>
      </c>
      <c r="C1973" t="inlineStr">
        <is>
          <t>2017-11</t>
        </is>
      </c>
      <c r="D1973" t="inlineStr">
        <is>
          <t>SP</t>
        </is>
      </c>
      <c r="E1973" t="inlineStr">
        <is>
          <t>electronics</t>
        </is>
      </c>
      <c r="F1973" t="n">
        <v>1</v>
      </c>
      <c r="G1973" t="n">
        <v>13.65</v>
      </c>
      <c r="H1973" t="n">
        <v>8.720000000000001</v>
      </c>
      <c r="I1973" t="inlineStr">
        <is>
          <t>credit_card</t>
        </is>
      </c>
      <c r="J1973" t="n">
        <v>3</v>
      </c>
      <c r="K1973" t="inlineStr">
        <is>
          <t>On Time</t>
        </is>
      </c>
      <c r="L1973" t="n">
        <v>5</v>
      </c>
      <c r="M1973">
        <f>VLOOKUP(D1973,State_Lookup!$A$2:$B$28,2,FALSE)</f>
        <v/>
      </c>
    </row>
    <row r="1974">
      <c r="A1974" t="inlineStr">
        <is>
          <t>bc4dd1342d6f1b0881391f55ce6de89c</t>
        </is>
      </c>
      <c r="B1974" t="inlineStr">
        <is>
          <t>2017-11-28</t>
        </is>
      </c>
      <c r="C1974" t="inlineStr">
        <is>
          <t>2017-11</t>
        </is>
      </c>
      <c r="D1974" t="inlineStr">
        <is>
          <t>MG</t>
        </is>
      </c>
      <c r="E1974" t="inlineStr">
        <is>
          <t>computers_accessories</t>
        </is>
      </c>
      <c r="F1974" t="n">
        <v>1</v>
      </c>
      <c r="G1974" t="n">
        <v>101.34</v>
      </c>
      <c r="H1974" t="n">
        <v>17.96</v>
      </c>
      <c r="I1974" t="inlineStr">
        <is>
          <t>credit_card</t>
        </is>
      </c>
      <c r="J1974" t="n">
        <v>13</v>
      </c>
      <c r="K1974" t="inlineStr">
        <is>
          <t>On Time</t>
        </is>
      </c>
      <c r="L1974" t="n">
        <v>4</v>
      </c>
      <c r="M1974">
        <f>VLOOKUP(D1974,State_Lookup!$A$2:$B$28,2,FALSE)</f>
        <v/>
      </c>
    </row>
    <row r="1975">
      <c r="A1975" t="inlineStr">
        <is>
          <t>efcb1e3ac5e7826d0395156ddcce513d</t>
        </is>
      </c>
      <c r="B1975" t="inlineStr">
        <is>
          <t>2017-11-28</t>
        </is>
      </c>
      <c r="C1975" t="inlineStr">
        <is>
          <t>2017-11</t>
        </is>
      </c>
      <c r="D1975" t="inlineStr">
        <is>
          <t>BA</t>
        </is>
      </c>
      <c r="E1975" t="inlineStr">
        <is>
          <t>cool_stuff</t>
        </is>
      </c>
      <c r="F1975" t="n">
        <v>2</v>
      </c>
      <c r="G1975" t="n">
        <v>58</v>
      </c>
      <c r="H1975" t="n">
        <v>51.26</v>
      </c>
      <c r="I1975" t="inlineStr">
        <is>
          <t>voucher</t>
        </is>
      </c>
      <c r="J1975" t="n">
        <v>21</v>
      </c>
      <c r="K1975" t="inlineStr">
        <is>
          <t>On Time</t>
        </is>
      </c>
      <c r="L1975" t="n">
        <v>5</v>
      </c>
      <c r="M1975">
        <f>VLOOKUP(D1975,State_Lookup!$A$2:$B$28,2,FALSE)</f>
        <v/>
      </c>
    </row>
    <row r="1976">
      <c r="A1976" t="inlineStr">
        <is>
          <t>5fbaa35725c08e8527b1bcae123d2490</t>
        </is>
      </c>
      <c r="B1976" t="inlineStr">
        <is>
          <t>2017-11-28</t>
        </is>
      </c>
      <c r="C1976" t="inlineStr">
        <is>
          <t>2017-11</t>
        </is>
      </c>
      <c r="D1976" t="inlineStr">
        <is>
          <t>DF</t>
        </is>
      </c>
      <c r="E1976" t="inlineStr">
        <is>
          <t>baby</t>
        </is>
      </c>
      <c r="F1976" t="n">
        <v>1</v>
      </c>
      <c r="G1976" t="n">
        <v>179.9</v>
      </c>
      <c r="H1976" t="n">
        <v>22.1</v>
      </c>
      <c r="I1976" t="inlineStr">
        <is>
          <t>credit_card</t>
        </is>
      </c>
      <c r="J1976" t="n">
        <v>24</v>
      </c>
      <c r="K1976" t="inlineStr">
        <is>
          <t>Late</t>
        </is>
      </c>
      <c r="L1976" t="n">
        <v>1</v>
      </c>
      <c r="M1976">
        <f>VLOOKUP(D1976,State_Lookup!$A$2:$B$28,2,FALSE)</f>
        <v/>
      </c>
    </row>
    <row r="1977">
      <c r="A1977" t="inlineStr">
        <is>
          <t>d828bfc73f08a09b4d5e7fc4671917ab</t>
        </is>
      </c>
      <c r="B1977" t="inlineStr">
        <is>
          <t>2017-11-28</t>
        </is>
      </c>
      <c r="C1977" t="inlineStr">
        <is>
          <t>2017-11</t>
        </is>
      </c>
      <c r="D1977" t="inlineStr">
        <is>
          <t>RJ</t>
        </is>
      </c>
      <c r="E1977" t="inlineStr">
        <is>
          <t>toys</t>
        </is>
      </c>
      <c r="F1977" t="n">
        <v>2</v>
      </c>
      <c r="G1977" t="n">
        <v>199.98</v>
      </c>
      <c r="H1977" t="n">
        <v>17.82</v>
      </c>
      <c r="I1977" t="inlineStr">
        <is>
          <t>credit_card</t>
        </is>
      </c>
      <c r="J1977" t="n">
        <v>3</v>
      </c>
      <c r="K1977" t="inlineStr">
        <is>
          <t>On Time</t>
        </is>
      </c>
      <c r="L1977" t="n">
        <v>5</v>
      </c>
      <c r="M1977">
        <f>VLOOKUP(D1977,State_Lookup!$A$2:$B$28,2,FALSE)</f>
        <v/>
      </c>
    </row>
    <row r="1978">
      <c r="A1978" t="inlineStr">
        <is>
          <t>7af8ed2339bcf2d146c8ac50309f9555</t>
        </is>
      </c>
      <c r="B1978" t="inlineStr">
        <is>
          <t>2017-11-29</t>
        </is>
      </c>
      <c r="C1978" t="inlineStr">
        <is>
          <t>2017-11</t>
        </is>
      </c>
      <c r="D1978" t="inlineStr">
        <is>
          <t>RN</t>
        </is>
      </c>
      <c r="E1978" t="inlineStr">
        <is>
          <t>telephony</t>
        </is>
      </c>
      <c r="F1978" t="n">
        <v>1</v>
      </c>
      <c r="G1978" t="n">
        <v>27.99</v>
      </c>
      <c r="H1978" t="n">
        <v>21.15</v>
      </c>
      <c r="I1978" t="inlineStr">
        <is>
          <t>credit_card</t>
        </is>
      </c>
      <c r="J1978" t="n">
        <v>9</v>
      </c>
      <c r="K1978" t="inlineStr">
        <is>
          <t>On Time</t>
        </is>
      </c>
      <c r="L1978" t="n">
        <v>3</v>
      </c>
      <c r="M1978">
        <f>VLOOKUP(D1978,State_Lookup!$A$2:$B$28,2,FALSE)</f>
        <v/>
      </c>
    </row>
    <row r="1979">
      <c r="A1979" t="inlineStr">
        <is>
          <t>5400e2987acb955ee428c73ca8f28a76</t>
        </is>
      </c>
      <c r="B1979" t="inlineStr">
        <is>
          <t>2017-11-29</t>
        </is>
      </c>
      <c r="C1979" t="inlineStr">
        <is>
          <t>2017-11</t>
        </is>
      </c>
      <c r="D1979" t="inlineStr">
        <is>
          <t>ES</t>
        </is>
      </c>
      <c r="E1979" t="inlineStr">
        <is>
          <t>fashion_bags_accessories</t>
        </is>
      </c>
      <c r="F1979" t="n">
        <v>2</v>
      </c>
      <c r="G1979" t="n">
        <v>61.6</v>
      </c>
      <c r="H1979" t="n">
        <v>30.2</v>
      </c>
      <c r="I1979" t="inlineStr">
        <is>
          <t>credit_card</t>
        </is>
      </c>
      <c r="J1979" t="n">
        <v>28</v>
      </c>
      <c r="K1979" t="inlineStr">
        <is>
          <t>Late</t>
        </is>
      </c>
      <c r="L1979" t="n">
        <v>1</v>
      </c>
      <c r="M1979">
        <f>VLOOKUP(D1979,State_Lookup!$A$2:$B$28,2,FALSE)</f>
        <v/>
      </c>
    </row>
    <row r="1980">
      <c r="A1980" t="inlineStr">
        <is>
          <t>185e9cacef8c11db7ae713ba0ac68895</t>
        </is>
      </c>
      <c r="B1980" t="inlineStr">
        <is>
          <t>2017-11-29</t>
        </is>
      </c>
      <c r="C1980" t="inlineStr">
        <is>
          <t>2017-11</t>
        </is>
      </c>
      <c r="D1980" t="inlineStr">
        <is>
          <t>RJ</t>
        </is>
      </c>
      <c r="E1980" t="inlineStr">
        <is>
          <t>auto</t>
        </is>
      </c>
      <c r="F1980" t="n">
        <v>1</v>
      </c>
      <c r="G1980" t="n">
        <v>139</v>
      </c>
      <c r="H1980" t="n">
        <v>23.29</v>
      </c>
      <c r="I1980" t="inlineStr">
        <is>
          <t>credit_card</t>
        </is>
      </c>
      <c r="J1980" t="n">
        <v>29</v>
      </c>
      <c r="K1980" t="inlineStr">
        <is>
          <t>Late</t>
        </is>
      </c>
      <c r="L1980" t="n">
        <v>1</v>
      </c>
      <c r="M1980">
        <f>VLOOKUP(D1980,State_Lookup!$A$2:$B$28,2,FALSE)</f>
        <v/>
      </c>
    </row>
    <row r="1981">
      <c r="A1981" t="inlineStr">
        <is>
          <t>30686c06dbe287c1eed625281774a98c</t>
        </is>
      </c>
      <c r="B1981" t="inlineStr">
        <is>
          <t>2017-11-29</t>
        </is>
      </c>
      <c r="C1981" t="inlineStr">
        <is>
          <t>2017-11</t>
        </is>
      </c>
      <c r="D1981" t="inlineStr">
        <is>
          <t>PR</t>
        </is>
      </c>
      <c r="E1981" t="inlineStr">
        <is>
          <t>stationery</t>
        </is>
      </c>
      <c r="F1981" t="n">
        <v>1</v>
      </c>
      <c r="G1981" t="n">
        <v>269.9</v>
      </c>
      <c r="H1981" t="n">
        <v>22.38</v>
      </c>
      <c r="I1981" t="inlineStr">
        <is>
          <t>credit_card</t>
        </is>
      </c>
      <c r="J1981" t="n">
        <v>19</v>
      </c>
      <c r="K1981" t="inlineStr">
        <is>
          <t>On Time</t>
        </is>
      </c>
      <c r="L1981" t="n">
        <v>5</v>
      </c>
      <c r="M1981">
        <f>VLOOKUP(D1981,State_Lookup!$A$2:$B$28,2,FALSE)</f>
        <v/>
      </c>
    </row>
    <row r="1982">
      <c r="A1982" t="inlineStr">
        <is>
          <t>47c9687751ccee4ea76cf6386b30336d</t>
        </is>
      </c>
      <c r="B1982" t="inlineStr">
        <is>
          <t>2017-11-29</t>
        </is>
      </c>
      <c r="C1982" t="inlineStr">
        <is>
          <t>2017-11</t>
        </is>
      </c>
      <c r="D1982" t="inlineStr">
        <is>
          <t>RJ</t>
        </is>
      </c>
      <c r="E1982" t="inlineStr">
        <is>
          <t>housewares</t>
        </is>
      </c>
      <c r="F1982" t="n">
        <v>1</v>
      </c>
      <c r="G1982" t="n">
        <v>24.62</v>
      </c>
      <c r="H1982" t="n">
        <v>14.1</v>
      </c>
      <c r="I1982" t="inlineStr">
        <is>
          <t>credit_card</t>
        </is>
      </c>
      <c r="J1982" t="n">
        <v>41</v>
      </c>
      <c r="K1982" t="inlineStr">
        <is>
          <t>Late</t>
        </is>
      </c>
      <c r="L1982" t="n">
        <v>1</v>
      </c>
      <c r="M1982">
        <f>VLOOKUP(D1982,State_Lookup!$A$2:$B$28,2,FALSE)</f>
        <v/>
      </c>
    </row>
    <row r="1983">
      <c r="A1983" t="inlineStr">
        <is>
          <t>9855d762d535fda66aa7f273116aa77d</t>
        </is>
      </c>
      <c r="B1983" t="inlineStr">
        <is>
          <t>2017-11-29</t>
        </is>
      </c>
      <c r="C1983" t="inlineStr">
        <is>
          <t>2017-11</t>
        </is>
      </c>
      <c r="D1983" t="inlineStr">
        <is>
          <t>RJ</t>
        </is>
      </c>
      <c r="E1983" t="inlineStr">
        <is>
          <t>watches_gifts</t>
        </is>
      </c>
      <c r="F1983" t="n">
        <v>1</v>
      </c>
      <c r="G1983" t="n">
        <v>219.9</v>
      </c>
      <c r="H1983" t="n">
        <v>18.79</v>
      </c>
      <c r="I1983" t="inlineStr">
        <is>
          <t>credit_card</t>
        </is>
      </c>
      <c r="J1983" t="n">
        <v>29</v>
      </c>
      <c r="K1983" t="inlineStr">
        <is>
          <t>Late</t>
        </is>
      </c>
      <c r="L1983" t="n">
        <v>1</v>
      </c>
      <c r="M1983">
        <f>VLOOKUP(D1983,State_Lookup!$A$2:$B$28,2,FALSE)</f>
        <v/>
      </c>
    </row>
    <row r="1984">
      <c r="A1984" t="inlineStr">
        <is>
          <t>b4cf18f6e47d64387501e0dc77b1ac82</t>
        </is>
      </c>
      <c r="B1984" t="inlineStr">
        <is>
          <t>2017-11-29</t>
        </is>
      </c>
      <c r="C1984" t="inlineStr">
        <is>
          <t>2017-11</t>
        </is>
      </c>
      <c r="D1984" t="inlineStr">
        <is>
          <t>GO</t>
        </is>
      </c>
      <c r="E1984" t="inlineStr">
        <is>
          <t>electronics</t>
        </is>
      </c>
      <c r="F1984" t="n">
        <v>1</v>
      </c>
      <c r="G1984" t="n">
        <v>18.9</v>
      </c>
      <c r="H1984" t="n">
        <v>34.15</v>
      </c>
      <c r="I1984" t="inlineStr">
        <is>
          <t>credit_card</t>
        </is>
      </c>
      <c r="J1984" t="n">
        <v>19</v>
      </c>
      <c r="K1984" t="inlineStr">
        <is>
          <t>On Time</t>
        </is>
      </c>
      <c r="L1984" t="n">
        <v>1</v>
      </c>
      <c r="M1984">
        <f>VLOOKUP(D1984,State_Lookup!$A$2:$B$28,2,FALSE)</f>
        <v/>
      </c>
    </row>
    <row r="1985">
      <c r="A1985" t="inlineStr">
        <is>
          <t>8bf14f24c8e8641850e22e01ca1fd3bd</t>
        </is>
      </c>
      <c r="B1985" t="inlineStr">
        <is>
          <t>2017-11-29</t>
        </is>
      </c>
      <c r="C1985" t="inlineStr">
        <is>
          <t>2017-11</t>
        </is>
      </c>
      <c r="D1985" t="inlineStr">
        <is>
          <t>BA</t>
        </is>
      </c>
      <c r="E1985" t="inlineStr">
        <is>
          <t>stationery</t>
        </is>
      </c>
      <c r="F1985" t="n">
        <v>1</v>
      </c>
      <c r="G1985" t="n">
        <v>199</v>
      </c>
      <c r="H1985" t="n">
        <v>17.83</v>
      </c>
      <c r="I1985" t="inlineStr">
        <is>
          <t>credit_card</t>
        </is>
      </c>
      <c r="J1985" t="n">
        <v>19</v>
      </c>
      <c r="K1985" t="inlineStr">
        <is>
          <t>On Time</t>
        </is>
      </c>
      <c r="L1985" t="n">
        <v>4</v>
      </c>
      <c r="M1985">
        <f>VLOOKUP(D1985,State_Lookup!$A$2:$B$28,2,FALSE)</f>
        <v/>
      </c>
    </row>
    <row r="1986">
      <c r="A1986" t="inlineStr">
        <is>
          <t>01b241fa1421c8284e8c1029a503360f</t>
        </is>
      </c>
      <c r="B1986" t="inlineStr">
        <is>
          <t>2017-11-29</t>
        </is>
      </c>
      <c r="C1986" t="inlineStr">
        <is>
          <t>2017-11</t>
        </is>
      </c>
      <c r="D1986" t="inlineStr">
        <is>
          <t>SC</t>
        </is>
      </c>
      <c r="E1986" t="inlineStr">
        <is>
          <t>garden_tools</t>
        </is>
      </c>
      <c r="F1986" t="n">
        <v>1</v>
      </c>
      <c r="G1986" t="n">
        <v>59</v>
      </c>
      <c r="H1986" t="n">
        <v>17.66</v>
      </c>
      <c r="I1986" t="inlineStr">
        <is>
          <t>credit_card</t>
        </is>
      </c>
      <c r="J1986" t="n">
        <v>46</v>
      </c>
      <c r="K1986" t="inlineStr">
        <is>
          <t>Late</t>
        </is>
      </c>
      <c r="L1986" t="n">
        <v>1</v>
      </c>
      <c r="M1986">
        <f>VLOOKUP(D1986,State_Lookup!$A$2:$B$28,2,FALSE)</f>
        <v/>
      </c>
    </row>
    <row r="1987">
      <c r="A1987" t="inlineStr">
        <is>
          <t>4054f3a02c9191a518601fba04f06742</t>
        </is>
      </c>
      <c r="B1987" t="inlineStr">
        <is>
          <t>2017-11-29</t>
        </is>
      </c>
      <c r="C1987" t="inlineStr">
        <is>
          <t>2017-11</t>
        </is>
      </c>
      <c r="D1987" t="inlineStr">
        <is>
          <t>MG</t>
        </is>
      </c>
      <c r="E1987" t="inlineStr">
        <is>
          <t>health_beauty</t>
        </is>
      </c>
      <c r="F1987" t="n">
        <v>1</v>
      </c>
      <c r="G1987" t="n">
        <v>29.9</v>
      </c>
      <c r="H1987" t="n">
        <v>15.1</v>
      </c>
      <c r="I1987" t="inlineStr">
        <is>
          <t>credit_card</t>
        </is>
      </c>
      <c r="J1987" t="n">
        <v>12</v>
      </c>
      <c r="K1987" t="inlineStr">
        <is>
          <t>On Time</t>
        </is>
      </c>
      <c r="L1987" t="n">
        <v>5</v>
      </c>
      <c r="M1987">
        <f>VLOOKUP(D1987,State_Lookup!$A$2:$B$28,2,FALSE)</f>
        <v/>
      </c>
    </row>
    <row r="1988">
      <c r="A1988" t="inlineStr">
        <is>
          <t>18bf6d7136b7e8ac817dc22f36ecbbd5</t>
        </is>
      </c>
      <c r="B1988" t="inlineStr">
        <is>
          <t>2017-11-29</t>
        </is>
      </c>
      <c r="C1988" t="inlineStr">
        <is>
          <t>2017-11</t>
        </is>
      </c>
      <c r="D1988" t="inlineStr">
        <is>
          <t>PR</t>
        </is>
      </c>
      <c r="E1988" t="inlineStr">
        <is>
          <t>books_general_interest</t>
        </is>
      </c>
      <c r="F1988" t="n">
        <v>1</v>
      </c>
      <c r="G1988" t="n">
        <v>199.9</v>
      </c>
      <c r="H1988" t="n">
        <v>18.65</v>
      </c>
      <c r="I1988" t="inlineStr">
        <is>
          <t>boleto</t>
        </is>
      </c>
      <c r="J1988" t="n">
        <v>28</v>
      </c>
      <c r="K1988" t="inlineStr">
        <is>
          <t>Late</t>
        </is>
      </c>
      <c r="L1988" t="n">
        <v>5</v>
      </c>
      <c r="M1988">
        <f>VLOOKUP(D1988,State_Lookup!$A$2:$B$28,2,FALSE)</f>
        <v/>
      </c>
    </row>
    <row r="1989">
      <c r="A1989" t="inlineStr">
        <is>
          <t>6113734f28c4dd1490de62945a9adf43</t>
        </is>
      </c>
      <c r="B1989" t="inlineStr">
        <is>
          <t>2017-11-29</t>
        </is>
      </c>
      <c r="C1989" t="inlineStr">
        <is>
          <t>2017-11</t>
        </is>
      </c>
      <c r="D1989" t="inlineStr">
        <is>
          <t>BA</t>
        </is>
      </c>
      <c r="E1989" t="inlineStr">
        <is>
          <t>office_furniture</t>
        </is>
      </c>
      <c r="F1989" t="n">
        <v>1</v>
      </c>
      <c r="G1989" t="n">
        <v>139.99</v>
      </c>
      <c r="H1989" t="n">
        <v>38.5</v>
      </c>
      <c r="I1989" t="inlineStr">
        <is>
          <t>credit_card</t>
        </is>
      </c>
      <c r="J1989" t="n">
        <v>28</v>
      </c>
      <c r="K1989" t="inlineStr">
        <is>
          <t>On Time</t>
        </is>
      </c>
      <c r="L1989" t="n">
        <v>5</v>
      </c>
      <c r="M1989">
        <f>VLOOKUP(D1989,State_Lookup!$A$2:$B$28,2,FALSE)</f>
        <v/>
      </c>
    </row>
    <row r="1990">
      <c r="A1990" t="inlineStr">
        <is>
          <t>f95795398c6d7c5e32c51629aa345fdf</t>
        </is>
      </c>
      <c r="B1990" t="inlineStr">
        <is>
          <t>2017-11-29</t>
        </is>
      </c>
      <c r="C1990" t="inlineStr">
        <is>
          <t>2017-11</t>
        </is>
      </c>
      <c r="D1990" t="inlineStr">
        <is>
          <t>SP</t>
        </is>
      </c>
      <c r="E1990" t="inlineStr">
        <is>
          <t>pet_shop</t>
        </is>
      </c>
      <c r="F1990" t="n">
        <v>2</v>
      </c>
      <c r="G1990" t="n">
        <v>91.8</v>
      </c>
      <c r="H1990" t="n">
        <v>26.16</v>
      </c>
      <c r="I1990" t="inlineStr">
        <is>
          <t>boleto</t>
        </is>
      </c>
      <c r="J1990" t="n">
        <v>13</v>
      </c>
      <c r="K1990" t="inlineStr">
        <is>
          <t>On Time</t>
        </is>
      </c>
      <c r="L1990" t="n">
        <v>4</v>
      </c>
      <c r="M1990">
        <f>VLOOKUP(D1990,State_Lookup!$A$2:$B$28,2,FALSE)</f>
        <v/>
      </c>
    </row>
    <row r="1991">
      <c r="A1991" t="inlineStr">
        <is>
          <t>64b5f5bed476f1c9f84b2fddb945ca48</t>
        </is>
      </c>
      <c r="B1991" t="inlineStr">
        <is>
          <t>2017-11-29</t>
        </is>
      </c>
      <c r="C1991" t="inlineStr">
        <is>
          <t>2017-11</t>
        </is>
      </c>
      <c r="D1991" t="inlineStr">
        <is>
          <t>PI</t>
        </is>
      </c>
      <c r="E1991" t="inlineStr">
        <is>
          <t>watches_gifts</t>
        </is>
      </c>
      <c r="F1991" t="n">
        <v>1</v>
      </c>
      <c r="G1991" t="n">
        <v>49</v>
      </c>
      <c r="H1991" t="n">
        <v>34.15</v>
      </c>
      <c r="I1991" t="inlineStr">
        <is>
          <t>credit_card</t>
        </is>
      </c>
      <c r="J1991" t="n">
        <v>29</v>
      </c>
      <c r="K1991" t="inlineStr">
        <is>
          <t>Late</t>
        </is>
      </c>
      <c r="L1991" t="n">
        <v>2</v>
      </c>
      <c r="M1991">
        <f>VLOOKUP(D1991,State_Lookup!$A$2:$B$28,2,FALSE)</f>
        <v/>
      </c>
    </row>
    <row r="1992">
      <c r="A1992" t="inlineStr">
        <is>
          <t>0901f97cdb91762c043d2330c81919a4</t>
        </is>
      </c>
      <c r="B1992" t="inlineStr">
        <is>
          <t>2017-11-29</t>
        </is>
      </c>
      <c r="C1992" t="inlineStr">
        <is>
          <t>2017-11</t>
        </is>
      </c>
      <c r="D1992" t="inlineStr">
        <is>
          <t>SP</t>
        </is>
      </c>
      <c r="E1992" t="inlineStr">
        <is>
          <t>watches_gifts</t>
        </is>
      </c>
      <c r="F1992" t="n">
        <v>1</v>
      </c>
      <c r="G1992" t="n">
        <v>399</v>
      </c>
      <c r="H1992" t="n">
        <v>11.61</v>
      </c>
      <c r="I1992" t="inlineStr">
        <is>
          <t>boleto</t>
        </is>
      </c>
      <c r="J1992" t="n">
        <v>8</v>
      </c>
      <c r="K1992" t="inlineStr">
        <is>
          <t>On Time</t>
        </is>
      </c>
      <c r="L1992" t="n">
        <v>5</v>
      </c>
      <c r="M1992">
        <f>VLOOKUP(D1992,State_Lookup!$A$2:$B$28,2,FALSE)</f>
        <v/>
      </c>
    </row>
    <row r="1993">
      <c r="A1993" t="inlineStr">
        <is>
          <t>e1d9e9bb816ce0bdfaf1cd02b96c6d10</t>
        </is>
      </c>
      <c r="B1993" t="inlineStr">
        <is>
          <t>2017-11-29</t>
        </is>
      </c>
      <c r="C1993" t="inlineStr">
        <is>
          <t>2017-11</t>
        </is>
      </c>
      <c r="D1993" t="inlineStr">
        <is>
          <t>SP</t>
        </is>
      </c>
      <c r="E1993" t="inlineStr">
        <is>
          <t>fashion_bags_accessories</t>
        </is>
      </c>
      <c r="F1993" t="n">
        <v>1</v>
      </c>
      <c r="G1993" t="n">
        <v>20.3</v>
      </c>
      <c r="H1993" t="n">
        <v>8.27</v>
      </c>
      <c r="I1993" t="inlineStr">
        <is>
          <t>voucher</t>
        </is>
      </c>
      <c r="J1993" t="n">
        <v>12</v>
      </c>
      <c r="K1993" t="inlineStr">
        <is>
          <t>On Time</t>
        </is>
      </c>
      <c r="L1993" t="n">
        <v>5</v>
      </c>
      <c r="M1993">
        <f>VLOOKUP(D1993,State_Lookup!$A$2:$B$28,2,FALSE)</f>
        <v/>
      </c>
    </row>
    <row r="1994">
      <c r="A1994" t="inlineStr">
        <is>
          <t>06d7e8cde0488b6d0b67852d2295368e</t>
        </is>
      </c>
      <c r="B1994" t="inlineStr">
        <is>
          <t>2017-11-30</t>
        </is>
      </c>
      <c r="C1994" t="inlineStr">
        <is>
          <t>2017-11</t>
        </is>
      </c>
      <c r="D1994" t="inlineStr">
        <is>
          <t>SP</t>
        </is>
      </c>
      <c r="E1994" t="inlineStr">
        <is>
          <t>housewares</t>
        </is>
      </c>
      <c r="F1994" t="n">
        <v>2</v>
      </c>
      <c r="G1994" t="n">
        <v>99.8</v>
      </c>
      <c r="H1994" t="n">
        <v>18.68</v>
      </c>
      <c r="I1994" t="inlineStr">
        <is>
          <t>credit_card</t>
        </is>
      </c>
      <c r="J1994" t="n">
        <v>9</v>
      </c>
      <c r="K1994" t="inlineStr">
        <is>
          <t>On Time</t>
        </is>
      </c>
      <c r="L1994" t="n">
        <v>5</v>
      </c>
      <c r="M1994">
        <f>VLOOKUP(D1994,State_Lookup!$A$2:$B$28,2,FALSE)</f>
        <v/>
      </c>
    </row>
    <row r="1995">
      <c r="A1995" t="inlineStr">
        <is>
          <t>2fa74b22c65ece27ba1edf1f40354e19</t>
        </is>
      </c>
      <c r="B1995" t="inlineStr">
        <is>
          <t>2017-11-30</t>
        </is>
      </c>
      <c r="C1995" t="inlineStr">
        <is>
          <t>2017-11</t>
        </is>
      </c>
      <c r="D1995" t="inlineStr">
        <is>
          <t>BA</t>
        </is>
      </c>
      <c r="E1995" t="inlineStr">
        <is>
          <t>bed_bath_table</t>
        </is>
      </c>
      <c r="F1995" t="n">
        <v>1</v>
      </c>
      <c r="G1995" t="n">
        <v>61</v>
      </c>
      <c r="H1995" t="n">
        <v>18</v>
      </c>
      <c r="I1995" t="inlineStr">
        <is>
          <t>boleto</t>
        </is>
      </c>
      <c r="J1995" t="n">
        <v>18</v>
      </c>
      <c r="K1995" t="inlineStr">
        <is>
          <t>On Time</t>
        </is>
      </c>
      <c r="L1995" t="n">
        <v>5</v>
      </c>
      <c r="M1995">
        <f>VLOOKUP(D1995,State_Lookup!$A$2:$B$28,2,FALSE)</f>
        <v/>
      </c>
    </row>
    <row r="1996">
      <c r="A1996" t="inlineStr">
        <is>
          <t>8fc5d9ce2b81773eab28cea379428e6c</t>
        </is>
      </c>
      <c r="B1996" t="inlineStr">
        <is>
          <t>2017-11-30</t>
        </is>
      </c>
      <c r="C1996" t="inlineStr">
        <is>
          <t>2017-11</t>
        </is>
      </c>
      <c r="D1996" t="inlineStr">
        <is>
          <t>MG</t>
        </is>
      </c>
      <c r="E1996" t="inlineStr">
        <is>
          <t>perfumery</t>
        </is>
      </c>
      <c r="F1996" t="n">
        <v>1</v>
      </c>
      <c r="G1996" t="n">
        <v>56</v>
      </c>
      <c r="H1996" t="n">
        <v>15.14</v>
      </c>
      <c r="I1996" t="inlineStr">
        <is>
          <t>credit_card</t>
        </is>
      </c>
      <c r="J1996" t="n">
        <v>11</v>
      </c>
      <c r="K1996" t="inlineStr">
        <is>
          <t>On Time</t>
        </is>
      </c>
      <c r="L1996" t="n">
        <v>5</v>
      </c>
      <c r="M1996">
        <f>VLOOKUP(D1996,State_Lookup!$A$2:$B$28,2,FALSE)</f>
        <v/>
      </c>
    </row>
    <row r="1997">
      <c r="A1997" t="inlineStr">
        <is>
          <t>8277c9870ca20fd07d7d1a77992dc20d</t>
        </is>
      </c>
      <c r="B1997" t="inlineStr">
        <is>
          <t>2017-11-30</t>
        </is>
      </c>
      <c r="C1997" t="inlineStr">
        <is>
          <t>2017-11</t>
        </is>
      </c>
      <c r="D1997" t="inlineStr">
        <is>
          <t>PR</t>
        </is>
      </c>
      <c r="E1997" t="inlineStr">
        <is>
          <t>auto</t>
        </is>
      </c>
      <c r="F1997" t="n">
        <v>1</v>
      </c>
      <c r="G1997" t="n">
        <v>140.5</v>
      </c>
      <c r="H1997" t="n">
        <v>23.3</v>
      </c>
      <c r="I1997" t="inlineStr">
        <is>
          <t>credit_card</t>
        </is>
      </c>
      <c r="J1997" t="n">
        <v>13</v>
      </c>
      <c r="K1997" t="inlineStr">
        <is>
          <t>On Time</t>
        </is>
      </c>
      <c r="L1997" t="n">
        <v>5</v>
      </c>
      <c r="M1997">
        <f>VLOOKUP(D1997,State_Lookup!$A$2:$B$28,2,FALSE)</f>
        <v/>
      </c>
    </row>
    <row r="1998">
      <c r="A1998" t="inlineStr">
        <is>
          <t>554e0040525310e842d969553ab5b594</t>
        </is>
      </c>
      <c r="B1998" t="inlineStr">
        <is>
          <t>2017-11-30</t>
        </is>
      </c>
      <c r="C1998" t="inlineStr">
        <is>
          <t>2017-11</t>
        </is>
      </c>
      <c r="D1998" t="inlineStr">
        <is>
          <t>ES</t>
        </is>
      </c>
      <c r="E1998" t="inlineStr">
        <is>
          <t>electronics</t>
        </is>
      </c>
      <c r="F1998" t="n">
        <v>2</v>
      </c>
      <c r="G1998" t="n">
        <v>27.3</v>
      </c>
      <c r="H1998" t="n">
        <v>30.2</v>
      </c>
      <c r="I1998" t="inlineStr">
        <is>
          <t>boleto</t>
        </is>
      </c>
      <c r="J1998" t="n">
        <v>18</v>
      </c>
      <c r="K1998" t="inlineStr">
        <is>
          <t>On Time</t>
        </is>
      </c>
      <c r="L1998" t="n">
        <v>5</v>
      </c>
      <c r="M1998">
        <f>VLOOKUP(D1998,State_Lookup!$A$2:$B$28,2,FALSE)</f>
        <v/>
      </c>
    </row>
    <row r="1999">
      <c r="A1999" t="inlineStr">
        <is>
          <t>29d0a6fb5e4342bc5bd0cd7ac3bb98f3</t>
        </is>
      </c>
      <c r="B1999" t="inlineStr">
        <is>
          <t>2017-11-30</t>
        </is>
      </c>
      <c r="C1999" t="inlineStr">
        <is>
          <t>2017-11</t>
        </is>
      </c>
      <c r="D1999" t="inlineStr">
        <is>
          <t>BA</t>
        </is>
      </c>
      <c r="E1999" t="inlineStr">
        <is>
          <t>electronics</t>
        </is>
      </c>
      <c r="F1999" t="n">
        <v>1</v>
      </c>
      <c r="G1999" t="n">
        <v>189.9</v>
      </c>
      <c r="H1999" t="n">
        <v>29.85</v>
      </c>
      <c r="I1999" t="inlineStr">
        <is>
          <t>boleto</t>
        </is>
      </c>
      <c r="J1999" t="n">
        <v>43</v>
      </c>
      <c r="K1999" t="inlineStr">
        <is>
          <t>Late</t>
        </is>
      </c>
      <c r="L1999" t="n">
        <v>1</v>
      </c>
      <c r="M1999">
        <f>VLOOKUP(D1999,State_Lookup!$A$2:$B$28,2,FALSE)</f>
        <v/>
      </c>
    </row>
    <row r="2000">
      <c r="A2000" t="inlineStr">
        <is>
          <t>c2b1c0fcdd5d03ed47f2b02494cdbc63</t>
        </is>
      </c>
      <c r="B2000" t="inlineStr">
        <is>
          <t>2017-11-30</t>
        </is>
      </c>
      <c r="C2000" t="inlineStr">
        <is>
          <t>2017-11</t>
        </is>
      </c>
      <c r="D2000" t="inlineStr">
        <is>
          <t>SP</t>
        </is>
      </c>
      <c r="E2000" t="inlineStr">
        <is>
          <t>computers_accessories</t>
        </is>
      </c>
      <c r="F2000" t="n">
        <v>1</v>
      </c>
      <c r="G2000" t="n">
        <v>189</v>
      </c>
      <c r="H2000" t="n">
        <v>22.12</v>
      </c>
      <c r="I2000" t="inlineStr">
        <is>
          <t>credit_card</t>
        </is>
      </c>
      <c r="J2000" t="n">
        <v>12</v>
      </c>
      <c r="K2000" t="inlineStr">
        <is>
          <t>On Time</t>
        </is>
      </c>
      <c r="L2000" t="n">
        <v>5</v>
      </c>
      <c r="M2000">
        <f>VLOOKUP(D2000,State_Lookup!$A$2:$B$28,2,FALSE)</f>
        <v/>
      </c>
    </row>
    <row r="2001">
      <c r="A2001" t="inlineStr">
        <is>
          <t>25e460c20f54821a96f7570fe5b22934</t>
        </is>
      </c>
      <c r="B2001" t="inlineStr">
        <is>
          <t>2017-11-30</t>
        </is>
      </c>
      <c r="C2001" t="inlineStr">
        <is>
          <t>2017-11</t>
        </is>
      </c>
      <c r="D2001" t="inlineStr">
        <is>
          <t>SP</t>
        </is>
      </c>
      <c r="E2001" t="inlineStr">
        <is>
          <t>garden_tools</t>
        </is>
      </c>
      <c r="F2001" t="n">
        <v>1</v>
      </c>
      <c r="G2001" t="n">
        <v>10</v>
      </c>
      <c r="H2001" t="n">
        <v>14.1</v>
      </c>
      <c r="I2001" t="inlineStr">
        <is>
          <t>credit_card</t>
        </is>
      </c>
      <c r="J2001" t="n">
        <v>15</v>
      </c>
      <c r="K2001" t="inlineStr">
        <is>
          <t>On Time</t>
        </is>
      </c>
      <c r="L2001" t="n">
        <v>5</v>
      </c>
      <c r="M2001">
        <f>VLOOKUP(D2001,State_Lookup!$A$2:$B$28,2,FALSE)</f>
        <v/>
      </c>
    </row>
    <row r="2002">
      <c r="A2002" t="inlineStr">
        <is>
          <t>afe207b8795179c5b29bc4c2f0052178</t>
        </is>
      </c>
      <c r="B2002" t="inlineStr">
        <is>
          <t>2017-11-30</t>
        </is>
      </c>
      <c r="C2002" t="inlineStr">
        <is>
          <t>2017-11</t>
        </is>
      </c>
      <c r="D2002" t="inlineStr">
        <is>
          <t>SP</t>
        </is>
      </c>
      <c r="E2002" t="inlineStr">
        <is>
          <t>baby</t>
        </is>
      </c>
      <c r="F2002" t="n">
        <v>1</v>
      </c>
      <c r="G2002" t="n">
        <v>110</v>
      </c>
      <c r="H2002" t="n">
        <v>14.5</v>
      </c>
      <c r="I2002" t="inlineStr">
        <is>
          <t>boleto</t>
        </is>
      </c>
      <c r="J2002" t="n">
        <v>7</v>
      </c>
      <c r="K2002" t="inlineStr">
        <is>
          <t>On Time</t>
        </is>
      </c>
      <c r="L2002" t="n">
        <v>5</v>
      </c>
      <c r="M2002">
        <f>VLOOKUP(D2002,State_Lookup!$A$2:$B$28,2,FALSE)</f>
        <v/>
      </c>
    </row>
    <row r="2003">
      <c r="A2003" t="inlineStr">
        <is>
          <t>81c625b19905554b5b5fd2277f4e5a0a</t>
        </is>
      </c>
      <c r="B2003" t="inlineStr">
        <is>
          <t>2017-11-30</t>
        </is>
      </c>
      <c r="C2003" t="inlineStr">
        <is>
          <t>2017-11</t>
        </is>
      </c>
      <c r="D2003" t="inlineStr">
        <is>
          <t>PR</t>
        </is>
      </c>
      <c r="E2003" t="inlineStr">
        <is>
          <t>telephony</t>
        </is>
      </c>
      <c r="F2003" t="n">
        <v>1</v>
      </c>
      <c r="G2003" t="n">
        <v>39.9</v>
      </c>
      <c r="H2003" t="n">
        <v>15.1</v>
      </c>
      <c r="I2003" t="inlineStr">
        <is>
          <t>credit_card</t>
        </is>
      </c>
      <c r="J2003" t="n">
        <v>15</v>
      </c>
      <c r="K2003" t="inlineStr">
        <is>
          <t>On Time</t>
        </is>
      </c>
      <c r="L2003" t="n">
        <v>4</v>
      </c>
      <c r="M2003">
        <f>VLOOKUP(D2003,State_Lookup!$A$2:$B$28,2,FALSE)</f>
        <v/>
      </c>
    </row>
    <row r="2004">
      <c r="A2004" t="inlineStr">
        <is>
          <t>8b0f296c3900fc6945e8536812a789c0</t>
        </is>
      </c>
      <c r="B2004" t="inlineStr">
        <is>
          <t>2017-11-30</t>
        </is>
      </c>
      <c r="C2004" t="inlineStr">
        <is>
          <t>2017-11</t>
        </is>
      </c>
      <c r="D2004" t="inlineStr">
        <is>
          <t>SP</t>
        </is>
      </c>
      <c r="E2004" t="inlineStr">
        <is>
          <t>construction_tools_safety</t>
        </is>
      </c>
      <c r="F2004" t="n">
        <v>1</v>
      </c>
      <c r="G2004" t="n">
        <v>29.9</v>
      </c>
      <c r="H2004" t="n">
        <v>11.85</v>
      </c>
      <c r="I2004" t="inlineStr">
        <is>
          <t>credit_card</t>
        </is>
      </c>
      <c r="J2004" t="n">
        <v>6</v>
      </c>
      <c r="K2004" t="inlineStr">
        <is>
          <t>On Time</t>
        </is>
      </c>
      <c r="L2004" t="n">
        <v>5</v>
      </c>
      <c r="M2004">
        <f>VLOOKUP(D2004,State_Lookup!$A$2:$B$28,2,FALSE)</f>
        <v/>
      </c>
    </row>
    <row r="2005">
      <c r="A2005" t="inlineStr">
        <is>
          <t>eabb26aeb1ce1147b26952c40f719f0f</t>
        </is>
      </c>
      <c r="B2005" t="inlineStr">
        <is>
          <t>2017-11-30</t>
        </is>
      </c>
      <c r="C2005" t="inlineStr">
        <is>
          <t>2017-11</t>
        </is>
      </c>
      <c r="D2005" t="inlineStr">
        <is>
          <t>SP</t>
        </is>
      </c>
      <c r="E2005" t="inlineStr">
        <is>
          <t>drinks</t>
        </is>
      </c>
      <c r="F2005" t="n">
        <v>1</v>
      </c>
      <c r="G2005" t="n">
        <v>45</v>
      </c>
      <c r="H2005" t="n">
        <v>9.27</v>
      </c>
      <c r="I2005" t="inlineStr">
        <is>
          <t>credit_card</t>
        </is>
      </c>
      <c r="J2005" t="n">
        <v>5</v>
      </c>
      <c r="K2005" t="inlineStr">
        <is>
          <t>On Time</t>
        </is>
      </c>
      <c r="L2005" t="n">
        <v>5</v>
      </c>
      <c r="M2005">
        <f>VLOOKUP(D2005,State_Lookup!$A$2:$B$28,2,FALSE)</f>
        <v/>
      </c>
    </row>
    <row r="2006">
      <c r="A2006" t="inlineStr">
        <is>
          <t>80b430d0029bb33110ac31d60e87e0b8</t>
        </is>
      </c>
      <c r="B2006" t="inlineStr">
        <is>
          <t>2017-11-30</t>
        </is>
      </c>
      <c r="C2006" t="inlineStr">
        <is>
          <t>2017-11</t>
        </is>
      </c>
      <c r="D2006" t="inlineStr">
        <is>
          <t>PR</t>
        </is>
      </c>
      <c r="E2006" t="inlineStr">
        <is>
          <t>auto</t>
        </is>
      </c>
      <c r="F2006" t="n">
        <v>1</v>
      </c>
      <c r="G2006" t="n">
        <v>139</v>
      </c>
      <c r="H2006" t="n">
        <v>15.73</v>
      </c>
      <c r="I2006" t="inlineStr">
        <is>
          <t>credit_card</t>
        </is>
      </c>
      <c r="J2006" t="n">
        <v>7</v>
      </c>
      <c r="K2006" t="inlineStr">
        <is>
          <t>On Time</t>
        </is>
      </c>
      <c r="L2006" t="n">
        <v>5</v>
      </c>
      <c r="M2006">
        <f>VLOOKUP(D2006,State_Lookup!$A$2:$B$28,2,FALSE)</f>
        <v/>
      </c>
    </row>
    <row r="2007">
      <c r="A2007" t="inlineStr">
        <is>
          <t>c1742783834afde8109d74422e9a4bca</t>
        </is>
      </c>
      <c r="B2007" t="inlineStr">
        <is>
          <t>2017-11-30</t>
        </is>
      </c>
      <c r="C2007" t="inlineStr">
        <is>
          <t>2017-11</t>
        </is>
      </c>
      <c r="D2007" t="inlineStr">
        <is>
          <t>RS</t>
        </is>
      </c>
      <c r="E2007" t="inlineStr">
        <is>
          <t>toys</t>
        </is>
      </c>
      <c r="F2007" t="n">
        <v>1</v>
      </c>
      <c r="G2007" t="n">
        <v>199.9</v>
      </c>
      <c r="H2007" t="n">
        <v>17.65</v>
      </c>
      <c r="I2007" t="inlineStr">
        <is>
          <t>credit_card</t>
        </is>
      </c>
      <c r="J2007" t="n">
        <v>13</v>
      </c>
      <c r="K2007" t="inlineStr">
        <is>
          <t>On Time</t>
        </is>
      </c>
      <c r="L2007" t="n">
        <v>5</v>
      </c>
      <c r="M2007">
        <f>VLOOKUP(D2007,State_Lookup!$A$2:$B$28,2,FALSE)</f>
        <v/>
      </c>
    </row>
    <row r="2008">
      <c r="A2008" t="inlineStr">
        <is>
          <t>c73c7b94754de2363ea55ba35902321d</t>
        </is>
      </c>
      <c r="B2008" t="inlineStr">
        <is>
          <t>2017-11-30</t>
        </is>
      </c>
      <c r="C2008" t="inlineStr">
        <is>
          <t>2017-11</t>
        </is>
      </c>
      <c r="D2008" t="inlineStr">
        <is>
          <t>SP</t>
        </is>
      </c>
      <c r="E2008" t="inlineStr">
        <is>
          <t>consoles_games</t>
        </is>
      </c>
      <c r="F2008" t="n">
        <v>1</v>
      </c>
      <c r="G2008" t="n">
        <v>24.5</v>
      </c>
      <c r="H2008" t="n">
        <v>11.85</v>
      </c>
      <c r="I2008" t="inlineStr">
        <is>
          <t>boleto</t>
        </is>
      </c>
      <c r="J2008" t="n">
        <v>18</v>
      </c>
      <c r="K2008" t="inlineStr">
        <is>
          <t>On Time</t>
        </is>
      </c>
      <c r="L2008" t="n">
        <v>5</v>
      </c>
      <c r="M2008">
        <f>VLOOKUP(D2008,State_Lookup!$A$2:$B$28,2,FALSE)</f>
        <v/>
      </c>
    </row>
    <row r="2009">
      <c r="A2009" t="inlineStr">
        <is>
          <t>c9db7e953006c9303b92dea9d91878bc</t>
        </is>
      </c>
      <c r="B2009" t="inlineStr">
        <is>
          <t>2017-11-30</t>
        </is>
      </c>
      <c r="C2009" t="inlineStr">
        <is>
          <t>2017-11</t>
        </is>
      </c>
      <c r="D2009" t="inlineStr">
        <is>
          <t>SP</t>
        </is>
      </c>
      <c r="E2009" t="inlineStr">
        <is>
          <t>pet_shop</t>
        </is>
      </c>
      <c r="F2009" t="n">
        <v>1</v>
      </c>
      <c r="G2009" t="n">
        <v>94.90000000000001</v>
      </c>
      <c r="H2009" t="n">
        <v>16.42</v>
      </c>
      <c r="I2009" t="inlineStr">
        <is>
          <t>credit_card</t>
        </is>
      </c>
      <c r="J2009" t="n">
        <v>15</v>
      </c>
      <c r="K2009" t="inlineStr">
        <is>
          <t>On Time</t>
        </is>
      </c>
      <c r="L2009" t="n">
        <v>5</v>
      </c>
      <c r="M2009">
        <f>VLOOKUP(D2009,State_Lookup!$A$2:$B$28,2,FALSE)</f>
        <v/>
      </c>
    </row>
    <row r="2010">
      <c r="A2010" t="inlineStr">
        <is>
          <t>54369f1e37831273ce26f463ca306881</t>
        </is>
      </c>
      <c r="B2010" t="inlineStr">
        <is>
          <t>2017-11-30</t>
        </is>
      </c>
      <c r="C2010" t="inlineStr">
        <is>
          <t>2017-11</t>
        </is>
      </c>
      <c r="D2010" t="inlineStr">
        <is>
          <t>SP</t>
        </is>
      </c>
      <c r="E2010" t="inlineStr">
        <is>
          <t>bed_bath_table</t>
        </is>
      </c>
      <c r="F2010" t="n">
        <v>2</v>
      </c>
      <c r="G2010" t="n">
        <v>199.8</v>
      </c>
      <c r="H2010" t="n">
        <v>26.08</v>
      </c>
      <c r="I2010" t="inlineStr">
        <is>
          <t>credit_card</t>
        </is>
      </c>
      <c r="J2010" t="n">
        <v>13</v>
      </c>
      <c r="K2010" t="inlineStr">
        <is>
          <t>On Time</t>
        </is>
      </c>
      <c r="L2010" t="n">
        <v>4</v>
      </c>
      <c r="M2010">
        <f>VLOOKUP(D2010,State_Lookup!$A$2:$B$28,2,FALSE)</f>
        <v/>
      </c>
    </row>
    <row r="2011">
      <c r="A2011" t="inlineStr">
        <is>
          <t>2bdb1ceae8421ac97f2d12683e1bd495</t>
        </is>
      </c>
      <c r="B2011" t="inlineStr">
        <is>
          <t>2017-11-30</t>
        </is>
      </c>
      <c r="C2011" t="inlineStr">
        <is>
          <t>2017-11</t>
        </is>
      </c>
      <c r="D2011" t="inlineStr">
        <is>
          <t>SE</t>
        </is>
      </c>
      <c r="E2011" t="inlineStr">
        <is>
          <t>food_drink</t>
        </is>
      </c>
      <c r="F2011" t="n">
        <v>1</v>
      </c>
      <c r="G2011" t="n">
        <v>119.9</v>
      </c>
      <c r="H2011" t="n">
        <v>15.6</v>
      </c>
      <c r="I2011" t="inlineStr">
        <is>
          <t>credit_card</t>
        </is>
      </c>
      <c r="J2011" t="n">
        <v>18</v>
      </c>
      <c r="K2011" t="inlineStr">
        <is>
          <t>On Time</t>
        </is>
      </c>
      <c r="L2011" t="n">
        <v>4</v>
      </c>
      <c r="M2011">
        <f>VLOOKUP(D2011,State_Lookup!$A$2:$B$28,2,FALSE)</f>
        <v/>
      </c>
    </row>
    <row r="2012">
      <c r="A2012" t="inlineStr">
        <is>
          <t>33862e8df33c7f4ce5d1c0142de3cf0e</t>
        </is>
      </c>
      <c r="B2012" t="inlineStr">
        <is>
          <t>2017-11-30</t>
        </is>
      </c>
      <c r="C2012" t="inlineStr">
        <is>
          <t>2017-11</t>
        </is>
      </c>
      <c r="D2012" t="inlineStr">
        <is>
          <t>SP</t>
        </is>
      </c>
      <c r="E2012" t="inlineStr">
        <is>
          <t>musical_instruments</t>
        </is>
      </c>
      <c r="F2012" t="n">
        <v>1</v>
      </c>
      <c r="G2012" t="n">
        <v>199</v>
      </c>
      <c r="H2012" t="n">
        <v>10.21</v>
      </c>
      <c r="I2012" t="inlineStr">
        <is>
          <t>credit_card</t>
        </is>
      </c>
      <c r="J2012" t="n">
        <v>5</v>
      </c>
      <c r="K2012" t="inlineStr">
        <is>
          <t>On Time</t>
        </is>
      </c>
      <c r="L2012" t="n">
        <v>1</v>
      </c>
      <c r="M2012">
        <f>VLOOKUP(D2012,State_Lookup!$A$2:$B$28,2,FALSE)</f>
        <v/>
      </c>
    </row>
    <row r="2013">
      <c r="A2013" t="inlineStr">
        <is>
          <t>15e2d9eb38b0fecf6c2bb792d11bfb93</t>
        </is>
      </c>
      <c r="B2013" t="inlineStr">
        <is>
          <t>2017-11-30</t>
        </is>
      </c>
      <c r="C2013" t="inlineStr">
        <is>
          <t>2017-11</t>
        </is>
      </c>
      <c r="D2013" t="inlineStr">
        <is>
          <t>SP</t>
        </is>
      </c>
      <c r="E2013" t="inlineStr">
        <is>
          <t>sports_leisure</t>
        </is>
      </c>
      <c r="F2013" t="n">
        <v>1</v>
      </c>
      <c r="G2013" t="n">
        <v>55</v>
      </c>
      <c r="H2013" t="n">
        <v>25.67</v>
      </c>
      <c r="I2013" t="inlineStr">
        <is>
          <t>boleto</t>
        </is>
      </c>
      <c r="J2013" t="n">
        <v>7</v>
      </c>
      <c r="K2013" t="inlineStr">
        <is>
          <t>On Time</t>
        </is>
      </c>
      <c r="L2013" t="n">
        <v>5</v>
      </c>
      <c r="M2013">
        <f>VLOOKUP(D2013,State_Lookup!$A$2:$B$28,2,FALSE)</f>
        <v/>
      </c>
    </row>
    <row r="2014">
      <c r="A2014" t="inlineStr">
        <is>
          <t>7ea79c5a0a141e742e9369fba0899043</t>
        </is>
      </c>
      <c r="B2014" t="inlineStr">
        <is>
          <t>2017-11-30</t>
        </is>
      </c>
      <c r="C2014" t="inlineStr">
        <is>
          <t>2017-11</t>
        </is>
      </c>
      <c r="D2014" t="inlineStr">
        <is>
          <t>RJ</t>
        </is>
      </c>
      <c r="E2014" t="inlineStr">
        <is>
          <t>bed_bath_table</t>
        </is>
      </c>
      <c r="F2014" t="n">
        <v>1</v>
      </c>
      <c r="G2014" t="n">
        <v>119.99</v>
      </c>
      <c r="H2014" t="n">
        <v>21.33</v>
      </c>
      <c r="I2014" t="inlineStr">
        <is>
          <t>credit_card</t>
        </is>
      </c>
      <c r="J2014" t="n">
        <v>27</v>
      </c>
      <c r="K2014" t="inlineStr">
        <is>
          <t>On Time</t>
        </is>
      </c>
      <c r="L2014" t="n">
        <v>4</v>
      </c>
      <c r="M2014">
        <f>VLOOKUP(D2014,State_Lookup!$A$2:$B$28,2,FALSE)</f>
        <v/>
      </c>
    </row>
    <row r="2015">
      <c r="A2015" t="inlineStr">
        <is>
          <t>50b254ace467cbdb9e5181a487f569dd</t>
        </is>
      </c>
      <c r="B2015" t="inlineStr">
        <is>
          <t>2017-11-30</t>
        </is>
      </c>
      <c r="C2015" t="inlineStr">
        <is>
          <t>2017-11</t>
        </is>
      </c>
      <c r="D2015" t="inlineStr">
        <is>
          <t>RJ</t>
        </is>
      </c>
      <c r="E2015" t="inlineStr">
        <is>
          <t>stationery</t>
        </is>
      </c>
      <c r="F2015" t="n">
        <v>1</v>
      </c>
      <c r="G2015" t="n">
        <v>45</v>
      </c>
      <c r="H2015" t="n">
        <v>15.1</v>
      </c>
      <c r="I2015" t="inlineStr">
        <is>
          <t>boleto</t>
        </is>
      </c>
      <c r="J2015" t="n">
        <v>12</v>
      </c>
      <c r="K2015" t="inlineStr">
        <is>
          <t>On Time</t>
        </is>
      </c>
      <c r="L2015" t="n">
        <v>5</v>
      </c>
      <c r="M2015">
        <f>VLOOKUP(D2015,State_Lookup!$A$2:$B$28,2,FALSE)</f>
        <v/>
      </c>
    </row>
    <row r="2016">
      <c r="A2016" t="inlineStr">
        <is>
          <t>3bc383f96dded5aa5e75309ecab074c5</t>
        </is>
      </c>
      <c r="B2016" t="inlineStr">
        <is>
          <t>2017-11-30</t>
        </is>
      </c>
      <c r="C2016" t="inlineStr">
        <is>
          <t>2017-11</t>
        </is>
      </c>
      <c r="D2016" t="inlineStr">
        <is>
          <t>MG</t>
        </is>
      </c>
      <c r="E2016" t="inlineStr">
        <is>
          <t>health_beauty</t>
        </is>
      </c>
      <c r="F2016" t="n">
        <v>1</v>
      </c>
      <c r="G2016" t="n">
        <v>84.98999999999999</v>
      </c>
      <c r="H2016" t="n">
        <v>21.08</v>
      </c>
      <c r="I2016" t="inlineStr">
        <is>
          <t>credit_card</t>
        </is>
      </c>
      <c r="J2016" t="n">
        <v>9</v>
      </c>
      <c r="K2016" t="inlineStr">
        <is>
          <t>On Time</t>
        </is>
      </c>
      <c r="L2016" t="n">
        <v>5</v>
      </c>
      <c r="M2016">
        <f>VLOOKUP(D2016,State_Lookup!$A$2:$B$28,2,FALSE)</f>
        <v/>
      </c>
    </row>
    <row r="2017">
      <c r="A2017" t="inlineStr">
        <is>
          <t>6c068d7c483fb0d3386092cb50b4efcb</t>
        </is>
      </c>
      <c r="B2017" t="inlineStr">
        <is>
          <t>2017-11-30</t>
        </is>
      </c>
      <c r="C2017" t="inlineStr">
        <is>
          <t>2017-11</t>
        </is>
      </c>
      <c r="D2017" t="inlineStr">
        <is>
          <t>PR</t>
        </is>
      </c>
      <c r="E2017" t="inlineStr">
        <is>
          <t>health_beauty</t>
        </is>
      </c>
      <c r="F2017" t="n">
        <v>1</v>
      </c>
      <c r="G2017" t="n">
        <v>46.49</v>
      </c>
      <c r="H2017" t="n">
        <v>15.1</v>
      </c>
      <c r="I2017" t="inlineStr">
        <is>
          <t>credit_card</t>
        </is>
      </c>
      <c r="J2017" t="n">
        <v>25</v>
      </c>
      <c r="K2017" t="inlineStr">
        <is>
          <t>On Time</t>
        </is>
      </c>
      <c r="L2017" t="n">
        <v>3</v>
      </c>
      <c r="M2017">
        <f>VLOOKUP(D2017,State_Lookup!$A$2:$B$28,2,FALSE)</f>
        <v/>
      </c>
    </row>
    <row r="2018">
      <c r="A2018" t="inlineStr">
        <is>
          <t>c4f4e4d627be7a7e0ca6af0fe3dd08af</t>
        </is>
      </c>
      <c r="B2018" t="inlineStr">
        <is>
          <t>2017-11-30</t>
        </is>
      </c>
      <c r="C2018" t="inlineStr">
        <is>
          <t>2017-11</t>
        </is>
      </c>
      <c r="D2018" t="inlineStr">
        <is>
          <t>SP</t>
        </is>
      </c>
      <c r="E2018" t="inlineStr">
        <is>
          <t>sports_leisure</t>
        </is>
      </c>
      <c r="F2018" t="n">
        <v>1</v>
      </c>
      <c r="G2018" t="n">
        <v>1199</v>
      </c>
      <c r="H2018" t="n">
        <v>134.25</v>
      </c>
      <c r="I2018" t="inlineStr">
        <is>
          <t>credit_card</t>
        </is>
      </c>
      <c r="J2018" t="n">
        <v>11</v>
      </c>
      <c r="K2018" t="inlineStr">
        <is>
          <t>On Time</t>
        </is>
      </c>
      <c r="L2018" t="n">
        <v>5</v>
      </c>
      <c r="M2018">
        <f>VLOOKUP(D2018,State_Lookup!$A$2:$B$28,2,FALSE)</f>
        <v/>
      </c>
    </row>
    <row r="2019">
      <c r="A2019" t="inlineStr">
        <is>
          <t>99b1cf2d12de43d084557a08d0c448e4</t>
        </is>
      </c>
      <c r="B2019" t="inlineStr">
        <is>
          <t>2017-11-30</t>
        </is>
      </c>
      <c r="C2019" t="inlineStr">
        <is>
          <t>2017-11</t>
        </is>
      </c>
      <c r="D2019" t="inlineStr">
        <is>
          <t>ES</t>
        </is>
      </c>
      <c r="E2019" t="inlineStr">
        <is>
          <t>toys</t>
        </is>
      </c>
      <c r="F2019" t="n">
        <v>1</v>
      </c>
      <c r="G2019" t="n">
        <v>139.9</v>
      </c>
      <c r="H2019" t="n">
        <v>15.74</v>
      </c>
      <c r="I2019" t="inlineStr">
        <is>
          <t>boleto</t>
        </is>
      </c>
      <c r="J2019" t="n">
        <v>18</v>
      </c>
      <c r="K2019" t="inlineStr">
        <is>
          <t>On Time</t>
        </is>
      </c>
      <c r="L2019" t="n">
        <v>5</v>
      </c>
      <c r="M2019">
        <f>VLOOKUP(D2019,State_Lookup!$A$2:$B$28,2,FALSE)</f>
        <v/>
      </c>
    </row>
    <row r="2020">
      <c r="A2020" t="inlineStr">
        <is>
          <t>bcf9b1ea597cf15ce7c93eebfd3a915a</t>
        </is>
      </c>
      <c r="B2020" t="inlineStr">
        <is>
          <t>2017-11-30</t>
        </is>
      </c>
      <c r="C2020" t="inlineStr">
        <is>
          <t>2017-11</t>
        </is>
      </c>
      <c r="D2020" t="inlineStr">
        <is>
          <t>RJ</t>
        </is>
      </c>
      <c r="E2020" t="inlineStr">
        <is>
          <t>bed_bath_table</t>
        </is>
      </c>
      <c r="F2020" t="n">
        <v>1</v>
      </c>
      <c r="G2020" t="n">
        <v>21.99</v>
      </c>
      <c r="H2020" t="n">
        <v>15.1</v>
      </c>
      <c r="I2020" t="inlineStr">
        <is>
          <t>credit_card</t>
        </is>
      </c>
      <c r="J2020" t="n">
        <v>34</v>
      </c>
      <c r="K2020" t="inlineStr">
        <is>
          <t>Late</t>
        </is>
      </c>
      <c r="L2020" t="n">
        <v>2</v>
      </c>
      <c r="M2020">
        <f>VLOOKUP(D2020,State_Lookup!$A$2:$B$28,2,FALSE)</f>
        <v/>
      </c>
    </row>
    <row r="2021">
      <c r="A2021" t="inlineStr">
        <is>
          <t>7f2646b3858bd8c12613670a0da91593</t>
        </is>
      </c>
      <c r="B2021" t="inlineStr">
        <is>
          <t>2017-11-30</t>
        </is>
      </c>
      <c r="C2021" t="inlineStr">
        <is>
          <t>2017-11</t>
        </is>
      </c>
      <c r="D2021" t="inlineStr">
        <is>
          <t>RJ</t>
        </is>
      </c>
      <c r="E2021" t="inlineStr">
        <is>
          <t>bed_bath_table</t>
        </is>
      </c>
      <c r="F2021" t="n">
        <v>1</v>
      </c>
      <c r="G2021" t="n">
        <v>99.90000000000001</v>
      </c>
      <c r="H2021" t="n">
        <v>17.95</v>
      </c>
      <c r="I2021" t="inlineStr">
        <is>
          <t>credit_card</t>
        </is>
      </c>
      <c r="J2021" t="n">
        <v>20</v>
      </c>
      <c r="K2021" t="inlineStr">
        <is>
          <t>On Time</t>
        </is>
      </c>
      <c r="L2021" t="n">
        <v>4</v>
      </c>
      <c r="M2021">
        <f>VLOOKUP(D2021,State_Lookup!$A$2:$B$28,2,FALSE)</f>
        <v/>
      </c>
    </row>
    <row r="2022">
      <c r="A2022" t="inlineStr">
        <is>
          <t>281312c1f75aca1051527291272b4b46</t>
        </is>
      </c>
      <c r="B2022" t="inlineStr">
        <is>
          <t>2017-12-01</t>
        </is>
      </c>
      <c r="C2022" t="inlineStr">
        <is>
          <t>2017-12</t>
        </is>
      </c>
      <c r="D2022" t="inlineStr">
        <is>
          <t>RJ</t>
        </is>
      </c>
      <c r="E2022" t="inlineStr">
        <is>
          <t>computers_accessories</t>
        </is>
      </c>
      <c r="F2022" t="n">
        <v>1</v>
      </c>
      <c r="G2022" t="n">
        <v>31.9</v>
      </c>
      <c r="H2022" t="n">
        <v>14.1</v>
      </c>
      <c r="I2022" t="inlineStr">
        <is>
          <t>credit_card</t>
        </is>
      </c>
      <c r="J2022" t="n">
        <v>20</v>
      </c>
      <c r="K2022" t="inlineStr">
        <is>
          <t>On Time</t>
        </is>
      </c>
      <c r="L2022" t="n">
        <v>5</v>
      </c>
      <c r="M2022">
        <f>VLOOKUP(D2022,State_Lookup!$A$2:$B$28,2,FALSE)</f>
        <v/>
      </c>
    </row>
    <row r="2023">
      <c r="A2023" t="inlineStr">
        <is>
          <t>5278f92718cd6d3de89da59a99515b34</t>
        </is>
      </c>
      <c r="B2023" t="inlineStr">
        <is>
          <t>2017-12-01</t>
        </is>
      </c>
      <c r="C2023" t="inlineStr">
        <is>
          <t>2017-12</t>
        </is>
      </c>
      <c r="D2023" t="inlineStr">
        <is>
          <t>MT</t>
        </is>
      </c>
      <c r="E2023" t="inlineStr">
        <is>
          <t>health_beauty</t>
        </is>
      </c>
      <c r="F2023" t="n">
        <v>1</v>
      </c>
      <c r="G2023" t="n">
        <v>149.65</v>
      </c>
      <c r="H2023" t="n">
        <v>26.33</v>
      </c>
      <c r="I2023" t="inlineStr">
        <is>
          <t>credit_card</t>
        </is>
      </c>
      <c r="J2023" t="n">
        <v>32</v>
      </c>
      <c r="K2023" t="inlineStr">
        <is>
          <t>On Time</t>
        </is>
      </c>
      <c r="L2023" t="n">
        <v>5</v>
      </c>
      <c r="M2023">
        <f>VLOOKUP(D2023,State_Lookup!$A$2:$B$28,2,FALSE)</f>
        <v/>
      </c>
    </row>
    <row r="2024">
      <c r="A2024" t="inlineStr">
        <is>
          <t>a5d81ef92239f2dfe3b2aef1416077aa</t>
        </is>
      </c>
      <c r="B2024" t="inlineStr">
        <is>
          <t>2017-12-01</t>
        </is>
      </c>
      <c r="C2024" t="inlineStr">
        <is>
          <t>2017-12</t>
        </is>
      </c>
      <c r="D2024" t="inlineStr">
        <is>
          <t>RS</t>
        </is>
      </c>
      <c r="E2024" t="inlineStr">
        <is>
          <t>unknown</t>
        </is>
      </c>
      <c r="F2024" t="n">
        <v>1</v>
      </c>
      <c r="G2024" t="n">
        <v>122.99</v>
      </c>
      <c r="H2024" t="n">
        <v>15.61</v>
      </c>
      <c r="I2024" t="inlineStr">
        <is>
          <t>credit_card</t>
        </is>
      </c>
      <c r="J2024" t="n">
        <v>11</v>
      </c>
      <c r="K2024" t="inlineStr">
        <is>
          <t>On Time</t>
        </is>
      </c>
      <c r="L2024" t="n">
        <v>5</v>
      </c>
      <c r="M2024">
        <f>VLOOKUP(D2024,State_Lookup!$A$2:$B$28,2,FALSE)</f>
        <v/>
      </c>
    </row>
    <row r="2025">
      <c r="A2025" t="inlineStr">
        <is>
          <t>58a18ff759db7b6e8f84744c86b9b461</t>
        </is>
      </c>
      <c r="B2025" t="inlineStr">
        <is>
          <t>2017-12-01</t>
        </is>
      </c>
      <c r="C2025" t="inlineStr">
        <is>
          <t>2017-12</t>
        </is>
      </c>
      <c r="D2025" t="inlineStr">
        <is>
          <t>SP</t>
        </is>
      </c>
      <c r="E2025" t="inlineStr">
        <is>
          <t>bed_bath_table</t>
        </is>
      </c>
      <c r="F2025" t="n">
        <v>2</v>
      </c>
      <c r="G2025" t="n">
        <v>57.8</v>
      </c>
      <c r="H2025" t="n">
        <v>18.54</v>
      </c>
      <c r="I2025" t="inlineStr">
        <is>
          <t>boleto</t>
        </is>
      </c>
      <c r="J2025" t="n">
        <v>11</v>
      </c>
      <c r="K2025" t="inlineStr">
        <is>
          <t>On Time</t>
        </is>
      </c>
      <c r="L2025" t="n">
        <v>4</v>
      </c>
      <c r="M2025">
        <f>VLOOKUP(D2025,State_Lookup!$A$2:$B$28,2,FALSE)</f>
        <v/>
      </c>
    </row>
    <row r="2026">
      <c r="A2026" t="inlineStr">
        <is>
          <t>b28f406dacca37ff27d85f7982344d2f</t>
        </is>
      </c>
      <c r="B2026" t="inlineStr">
        <is>
          <t>2017-12-01</t>
        </is>
      </c>
      <c r="C2026" t="inlineStr">
        <is>
          <t>2017-12</t>
        </is>
      </c>
      <c r="D2026" t="inlineStr">
        <is>
          <t>SP</t>
        </is>
      </c>
      <c r="E2026" t="inlineStr">
        <is>
          <t>computers_accessories</t>
        </is>
      </c>
      <c r="F2026" t="n">
        <v>1</v>
      </c>
      <c r="G2026" t="n">
        <v>109.9</v>
      </c>
      <c r="H2026" t="n">
        <v>12.9</v>
      </c>
      <c r="I2026" t="inlineStr">
        <is>
          <t>boleto</t>
        </is>
      </c>
      <c r="J2026" t="n">
        <v>10</v>
      </c>
      <c r="K2026" t="inlineStr">
        <is>
          <t>On Time</t>
        </is>
      </c>
      <c r="L2026" t="n">
        <v>4</v>
      </c>
      <c r="M2026">
        <f>VLOOKUP(D2026,State_Lookup!$A$2:$B$28,2,FALSE)</f>
        <v/>
      </c>
    </row>
    <row r="2027">
      <c r="A2027" t="inlineStr">
        <is>
          <t>52993856cd387ab5a4dd553e66dbdc6c</t>
        </is>
      </c>
      <c r="B2027" t="inlineStr">
        <is>
          <t>2017-12-01</t>
        </is>
      </c>
      <c r="C2027" t="inlineStr">
        <is>
          <t>2017-12</t>
        </is>
      </c>
      <c r="D2027" t="inlineStr">
        <is>
          <t>RJ</t>
        </is>
      </c>
      <c r="E2027" t="inlineStr">
        <is>
          <t>watches_gifts</t>
        </is>
      </c>
      <c r="F2027" t="n">
        <v>1</v>
      </c>
      <c r="G2027" t="n">
        <v>348.8</v>
      </c>
      <c r="H2027" t="n">
        <v>16.19</v>
      </c>
      <c r="I2027" t="inlineStr">
        <is>
          <t>credit_card</t>
        </is>
      </c>
      <c r="J2027" t="n">
        <v>48</v>
      </c>
      <c r="K2027" t="inlineStr">
        <is>
          <t>Late</t>
        </is>
      </c>
      <c r="L2027" t="n">
        <v>2</v>
      </c>
      <c r="M2027">
        <f>VLOOKUP(D2027,State_Lookup!$A$2:$B$28,2,FALSE)</f>
        <v/>
      </c>
    </row>
    <row r="2028">
      <c r="A2028" t="inlineStr">
        <is>
          <t>50c561609b802ec8d508a9f48c669918</t>
        </is>
      </c>
      <c r="B2028" t="inlineStr">
        <is>
          <t>2017-12-01</t>
        </is>
      </c>
      <c r="C2028" t="inlineStr">
        <is>
          <t>2017-12</t>
        </is>
      </c>
      <c r="D2028" t="inlineStr">
        <is>
          <t>CE</t>
        </is>
      </c>
      <c r="E2028" t="inlineStr">
        <is>
          <t>toys</t>
        </is>
      </c>
      <c r="F2028" t="n">
        <v>1</v>
      </c>
      <c r="G2028" t="n">
        <v>86.98999999999999</v>
      </c>
      <c r="H2028" t="n">
        <v>29.01</v>
      </c>
      <c r="I2028" t="inlineStr">
        <is>
          <t>credit_card</t>
        </is>
      </c>
      <c r="J2028" t="n">
        <v>34</v>
      </c>
      <c r="K2028" t="inlineStr">
        <is>
          <t>Late</t>
        </is>
      </c>
      <c r="L2028" t="n">
        <v>3</v>
      </c>
      <c r="M2028">
        <f>VLOOKUP(D2028,State_Lookup!$A$2:$B$28,2,FALSE)</f>
        <v/>
      </c>
    </row>
    <row r="2029">
      <c r="A2029" t="inlineStr">
        <is>
          <t>cf27162439419d0179b62ebc5a6dccd1</t>
        </is>
      </c>
      <c r="B2029" t="inlineStr">
        <is>
          <t>2017-12-01</t>
        </is>
      </c>
      <c r="C2029" t="inlineStr">
        <is>
          <t>2017-12</t>
        </is>
      </c>
      <c r="D2029" t="inlineStr">
        <is>
          <t>SP</t>
        </is>
      </c>
      <c r="E2029" t="inlineStr">
        <is>
          <t>bed_bath_table</t>
        </is>
      </c>
      <c r="F2029" t="n">
        <v>1</v>
      </c>
      <c r="G2029" t="n">
        <v>54.9</v>
      </c>
      <c r="H2029" t="n">
        <v>13.08</v>
      </c>
      <c r="I2029" t="inlineStr">
        <is>
          <t>credit_card</t>
        </is>
      </c>
      <c r="J2029" t="n">
        <v>5</v>
      </c>
      <c r="K2029" t="inlineStr">
        <is>
          <t>On Time</t>
        </is>
      </c>
      <c r="L2029" t="n">
        <v>5</v>
      </c>
      <c r="M2029">
        <f>VLOOKUP(D2029,State_Lookup!$A$2:$B$28,2,FALSE)</f>
        <v/>
      </c>
    </row>
    <row r="2030">
      <c r="A2030" t="inlineStr">
        <is>
          <t>6fa1dd5611d4b380144fbe44fa788ad9</t>
        </is>
      </c>
      <c r="B2030" t="inlineStr">
        <is>
          <t>2017-12-01</t>
        </is>
      </c>
      <c r="C2030" t="inlineStr">
        <is>
          <t>2017-12</t>
        </is>
      </c>
      <c r="D2030" t="inlineStr">
        <is>
          <t>SP</t>
        </is>
      </c>
      <c r="E2030" t="inlineStr">
        <is>
          <t>computers_accessories</t>
        </is>
      </c>
      <c r="F2030" t="n">
        <v>1</v>
      </c>
      <c r="G2030" t="n">
        <v>215.5</v>
      </c>
      <c r="H2030" t="n">
        <v>14.53</v>
      </c>
      <c r="I2030" t="inlineStr">
        <is>
          <t>boleto</t>
        </is>
      </c>
      <c r="J2030" t="n">
        <v>11</v>
      </c>
      <c r="K2030" t="inlineStr">
        <is>
          <t>On Time</t>
        </is>
      </c>
      <c r="L2030" t="n">
        <v>4</v>
      </c>
      <c r="M2030">
        <f>VLOOKUP(D2030,State_Lookup!$A$2:$B$28,2,FALSE)</f>
        <v/>
      </c>
    </row>
    <row r="2031">
      <c r="A2031" t="inlineStr">
        <is>
          <t>6251915eca989de65a0d5bd949bb98fd</t>
        </is>
      </c>
      <c r="B2031" t="inlineStr">
        <is>
          <t>2017-12-01</t>
        </is>
      </c>
      <c r="C2031" t="inlineStr">
        <is>
          <t>2017-12</t>
        </is>
      </c>
      <c r="D2031" t="inlineStr">
        <is>
          <t>PR</t>
        </is>
      </c>
      <c r="E2031" t="inlineStr">
        <is>
          <t>garden_tools</t>
        </is>
      </c>
      <c r="F2031" t="n">
        <v>1</v>
      </c>
      <c r="G2031" t="n">
        <v>89.98999999999999</v>
      </c>
      <c r="H2031" t="n">
        <v>50.5</v>
      </c>
      <c r="I2031" t="inlineStr">
        <is>
          <t>credit_card</t>
        </is>
      </c>
      <c r="J2031" t="n">
        <v>17</v>
      </c>
      <c r="K2031" t="inlineStr">
        <is>
          <t>On Time</t>
        </is>
      </c>
      <c r="L2031" t="n">
        <v>5</v>
      </c>
      <c r="M2031">
        <f>VLOOKUP(D2031,State_Lookup!$A$2:$B$28,2,FALSE)</f>
        <v/>
      </c>
    </row>
    <row r="2032">
      <c r="A2032" t="inlineStr">
        <is>
          <t>c7792e68d2b059a30e1393cf164f9adf</t>
        </is>
      </c>
      <c r="B2032" t="inlineStr">
        <is>
          <t>2017-12-02</t>
        </is>
      </c>
      <c r="C2032" t="inlineStr">
        <is>
          <t>2017-12</t>
        </is>
      </c>
      <c r="D2032" t="inlineStr">
        <is>
          <t>RJ</t>
        </is>
      </c>
      <c r="E2032" t="inlineStr">
        <is>
          <t>cool_stuff</t>
        </is>
      </c>
      <c r="F2032" t="n">
        <v>1</v>
      </c>
      <c r="G2032" t="n">
        <v>64.98999999999999</v>
      </c>
      <c r="H2032" t="n">
        <v>16.21</v>
      </c>
      <c r="I2032" t="inlineStr">
        <is>
          <t>credit_card</t>
        </is>
      </c>
      <c r="J2032" t="n">
        <v>12</v>
      </c>
      <c r="K2032" t="inlineStr">
        <is>
          <t>On Time</t>
        </is>
      </c>
      <c r="L2032" t="n">
        <v>5</v>
      </c>
      <c r="M2032">
        <f>VLOOKUP(D2032,State_Lookup!$A$2:$B$28,2,FALSE)</f>
        <v/>
      </c>
    </row>
    <row r="2033">
      <c r="A2033" t="inlineStr">
        <is>
          <t>d664b2039deb4f567ef5367877766cf6</t>
        </is>
      </c>
      <c r="B2033" t="inlineStr">
        <is>
          <t>2017-12-02</t>
        </is>
      </c>
      <c r="C2033" t="inlineStr">
        <is>
          <t>2017-12</t>
        </is>
      </c>
      <c r="D2033" t="inlineStr">
        <is>
          <t>SP</t>
        </is>
      </c>
      <c r="E2033" t="inlineStr">
        <is>
          <t>toys</t>
        </is>
      </c>
      <c r="F2033" t="n">
        <v>2</v>
      </c>
      <c r="G2033" t="n">
        <v>119.98</v>
      </c>
      <c r="H2033" t="n">
        <v>18.68</v>
      </c>
      <c r="I2033" t="inlineStr">
        <is>
          <t>credit_card</t>
        </is>
      </c>
      <c r="J2033" t="n">
        <v>12</v>
      </c>
      <c r="K2033" t="inlineStr">
        <is>
          <t>On Time</t>
        </is>
      </c>
      <c r="L2033" t="n">
        <v>3</v>
      </c>
      <c r="M2033">
        <f>VLOOKUP(D2033,State_Lookup!$A$2:$B$28,2,FALSE)</f>
        <v/>
      </c>
    </row>
    <row r="2034">
      <c r="A2034" t="inlineStr">
        <is>
          <t>67118db7c6bb624924e2d3f7d1db78d9</t>
        </is>
      </c>
      <c r="B2034" t="inlineStr">
        <is>
          <t>2017-12-02</t>
        </is>
      </c>
      <c r="C2034" t="inlineStr">
        <is>
          <t>2017-12</t>
        </is>
      </c>
      <c r="D2034" t="inlineStr">
        <is>
          <t>SP</t>
        </is>
      </c>
      <c r="E2034" t="inlineStr">
        <is>
          <t>computers_accessories</t>
        </is>
      </c>
      <c r="F2034" t="n">
        <v>1</v>
      </c>
      <c r="G2034" t="n">
        <v>44.9</v>
      </c>
      <c r="H2034" t="n">
        <v>11.85</v>
      </c>
      <c r="I2034" t="inlineStr">
        <is>
          <t>credit_card</t>
        </is>
      </c>
      <c r="J2034" t="n">
        <v>13</v>
      </c>
      <c r="K2034" t="inlineStr">
        <is>
          <t>On Time</t>
        </is>
      </c>
      <c r="L2034" t="n">
        <v>5</v>
      </c>
      <c r="M2034">
        <f>VLOOKUP(D2034,State_Lookup!$A$2:$B$28,2,FALSE)</f>
        <v/>
      </c>
    </row>
    <row r="2035">
      <c r="A2035" t="inlineStr">
        <is>
          <t>17aee91466443df022e04e60326597b7</t>
        </is>
      </c>
      <c r="B2035" t="inlineStr">
        <is>
          <t>2017-12-02</t>
        </is>
      </c>
      <c r="C2035" t="inlineStr">
        <is>
          <t>2017-12</t>
        </is>
      </c>
      <c r="D2035" t="inlineStr">
        <is>
          <t>RJ</t>
        </is>
      </c>
      <c r="E2035" t="inlineStr">
        <is>
          <t>toys</t>
        </is>
      </c>
      <c r="F2035" t="n">
        <v>1</v>
      </c>
      <c r="G2035" t="n">
        <v>299.99</v>
      </c>
      <c r="H2035" t="n">
        <v>11.11</v>
      </c>
      <c r="I2035" t="inlineStr">
        <is>
          <t>credit_card</t>
        </is>
      </c>
      <c r="J2035" t="n">
        <v>3</v>
      </c>
      <c r="K2035" t="inlineStr">
        <is>
          <t>On Time</t>
        </is>
      </c>
      <c r="L2035" t="n">
        <v>5</v>
      </c>
      <c r="M2035">
        <f>VLOOKUP(D2035,State_Lookup!$A$2:$B$28,2,FALSE)</f>
        <v/>
      </c>
    </row>
    <row r="2036">
      <c r="A2036" t="inlineStr">
        <is>
          <t>1a15666c4d5cfc217337ceebd70c3884</t>
        </is>
      </c>
      <c r="B2036" t="inlineStr">
        <is>
          <t>2017-12-02</t>
        </is>
      </c>
      <c r="C2036" t="inlineStr">
        <is>
          <t>2017-12</t>
        </is>
      </c>
      <c r="D2036" t="inlineStr">
        <is>
          <t>SP</t>
        </is>
      </c>
      <c r="E2036" t="inlineStr">
        <is>
          <t>furniture_decor</t>
        </is>
      </c>
      <c r="F2036" t="n">
        <v>1</v>
      </c>
      <c r="G2036" t="n">
        <v>50.9</v>
      </c>
      <c r="H2036" t="n">
        <v>12.7</v>
      </c>
      <c r="I2036" t="inlineStr">
        <is>
          <t>credit_card</t>
        </is>
      </c>
      <c r="J2036" t="n">
        <v>12</v>
      </c>
      <c r="K2036" t="inlineStr">
        <is>
          <t>On Time</t>
        </is>
      </c>
      <c r="L2036" t="n">
        <v>5</v>
      </c>
      <c r="M2036">
        <f>VLOOKUP(D2036,State_Lookup!$A$2:$B$28,2,FALSE)</f>
        <v/>
      </c>
    </row>
    <row r="2037">
      <c r="A2037" t="inlineStr">
        <is>
          <t>62a084114b1d8e549fbf1e0d9ebf4da6</t>
        </is>
      </c>
      <c r="B2037" t="inlineStr">
        <is>
          <t>2017-12-02</t>
        </is>
      </c>
      <c r="C2037" t="inlineStr">
        <is>
          <t>2017-12</t>
        </is>
      </c>
      <c r="D2037" t="inlineStr">
        <is>
          <t>SC</t>
        </is>
      </c>
      <c r="E2037" t="inlineStr">
        <is>
          <t>stationery</t>
        </is>
      </c>
      <c r="F2037" t="n">
        <v>1</v>
      </c>
      <c r="G2037" t="n">
        <v>37.5</v>
      </c>
      <c r="H2037" t="n">
        <v>16.11</v>
      </c>
      <c r="I2037" t="inlineStr">
        <is>
          <t>credit_card</t>
        </is>
      </c>
      <c r="J2037" t="n">
        <v>16</v>
      </c>
      <c r="K2037" t="inlineStr">
        <is>
          <t>On Time</t>
        </is>
      </c>
      <c r="L2037" t="n">
        <v>5</v>
      </c>
      <c r="M2037">
        <f>VLOOKUP(D2037,State_Lookup!$A$2:$B$28,2,FALSE)</f>
        <v/>
      </c>
    </row>
    <row r="2038">
      <c r="A2038" t="inlineStr">
        <is>
          <t>ed6a309651e25df1caf213ebeaf1067b</t>
        </is>
      </c>
      <c r="B2038" t="inlineStr">
        <is>
          <t>2017-12-02</t>
        </is>
      </c>
      <c r="C2038" t="inlineStr">
        <is>
          <t>2017-12</t>
        </is>
      </c>
      <c r="D2038" t="inlineStr">
        <is>
          <t>DF</t>
        </is>
      </c>
      <c r="E2038" t="inlineStr">
        <is>
          <t>bed_bath_table</t>
        </is>
      </c>
      <c r="F2038" t="n">
        <v>1</v>
      </c>
      <c r="G2038" t="n">
        <v>99.90000000000001</v>
      </c>
      <c r="H2038" t="n">
        <v>21.19</v>
      </c>
      <c r="I2038" t="inlineStr">
        <is>
          <t>credit_card</t>
        </is>
      </c>
      <c r="J2038" t="n">
        <v>17</v>
      </c>
      <c r="K2038" t="inlineStr">
        <is>
          <t>On Time</t>
        </is>
      </c>
      <c r="L2038" t="n">
        <v>3</v>
      </c>
      <c r="M2038">
        <f>VLOOKUP(D2038,State_Lookup!$A$2:$B$28,2,FALSE)</f>
        <v/>
      </c>
    </row>
    <row r="2039">
      <c r="A2039" t="inlineStr">
        <is>
          <t>6f0c6747db38e540068010194f8249e5</t>
        </is>
      </c>
      <c r="B2039" t="inlineStr">
        <is>
          <t>2017-12-02</t>
        </is>
      </c>
      <c r="C2039" t="inlineStr">
        <is>
          <t>2017-12</t>
        </is>
      </c>
      <c r="D2039" t="inlineStr">
        <is>
          <t>SP</t>
        </is>
      </c>
      <c r="E2039" t="inlineStr">
        <is>
          <t>health_beauty</t>
        </is>
      </c>
      <c r="F2039" t="n">
        <v>1</v>
      </c>
      <c r="G2039" t="n">
        <v>34.99</v>
      </c>
      <c r="H2039" t="n">
        <v>7.78</v>
      </c>
      <c r="I2039" t="inlineStr">
        <is>
          <t>boleto</t>
        </is>
      </c>
      <c r="J2039" t="n">
        <v>6</v>
      </c>
      <c r="K2039" t="inlineStr">
        <is>
          <t>On Time</t>
        </is>
      </c>
      <c r="L2039" t="n">
        <v>1</v>
      </c>
      <c r="M2039">
        <f>VLOOKUP(D2039,State_Lookup!$A$2:$B$28,2,FALSE)</f>
        <v/>
      </c>
    </row>
    <row r="2040">
      <c r="A2040" t="inlineStr">
        <is>
          <t>f0dbbeed3a0b658b884893bcdde5e4d4</t>
        </is>
      </c>
      <c r="B2040" t="inlineStr">
        <is>
          <t>2017-12-02</t>
        </is>
      </c>
      <c r="C2040" t="inlineStr">
        <is>
          <t>2017-12</t>
        </is>
      </c>
      <c r="D2040" t="inlineStr">
        <is>
          <t>SP</t>
        </is>
      </c>
      <c r="E2040" t="inlineStr">
        <is>
          <t>furniture_decor</t>
        </is>
      </c>
      <c r="F2040" t="n">
        <v>1</v>
      </c>
      <c r="G2040" t="n">
        <v>148</v>
      </c>
      <c r="H2040" t="n">
        <v>18.29</v>
      </c>
      <c r="I2040" t="inlineStr">
        <is>
          <t>credit_card</t>
        </is>
      </c>
      <c r="J2040" t="n">
        <v>19</v>
      </c>
      <c r="K2040" t="inlineStr">
        <is>
          <t>On Time</t>
        </is>
      </c>
      <c r="L2040" t="n">
        <v>5</v>
      </c>
      <c r="M2040">
        <f>VLOOKUP(D2040,State_Lookup!$A$2:$B$28,2,FALSE)</f>
        <v/>
      </c>
    </row>
    <row r="2041">
      <c r="A2041" t="inlineStr">
        <is>
          <t>e9fecd900cce6b52424121bf98911932</t>
        </is>
      </c>
      <c r="B2041" t="inlineStr">
        <is>
          <t>2017-12-02</t>
        </is>
      </c>
      <c r="C2041" t="inlineStr">
        <is>
          <t>2017-12</t>
        </is>
      </c>
      <c r="D2041" t="inlineStr">
        <is>
          <t>RJ</t>
        </is>
      </c>
      <c r="E2041" t="inlineStr">
        <is>
          <t>bed_bath_table</t>
        </is>
      </c>
      <c r="F2041" t="n">
        <v>1</v>
      </c>
      <c r="G2041" t="n">
        <v>39.99</v>
      </c>
      <c r="H2041" t="n">
        <v>15.1</v>
      </c>
      <c r="I2041" t="inlineStr">
        <is>
          <t>boleto</t>
        </is>
      </c>
      <c r="J2041" t="n">
        <v>36</v>
      </c>
      <c r="K2041" t="inlineStr">
        <is>
          <t>Late</t>
        </is>
      </c>
      <c r="L2041" t="n">
        <v>1</v>
      </c>
      <c r="M2041">
        <f>VLOOKUP(D2041,State_Lookup!$A$2:$B$28,2,FALSE)</f>
        <v/>
      </c>
    </row>
    <row r="2042">
      <c r="A2042" t="inlineStr">
        <is>
          <t>99564fb7290396571ca59529ad9e71f3</t>
        </is>
      </c>
      <c r="B2042" t="inlineStr">
        <is>
          <t>2017-12-03</t>
        </is>
      </c>
      <c r="C2042" t="inlineStr">
        <is>
          <t>2017-12</t>
        </is>
      </c>
      <c r="D2042" t="inlineStr">
        <is>
          <t>SP</t>
        </is>
      </c>
      <c r="E2042" t="inlineStr">
        <is>
          <t>furniture_decor</t>
        </is>
      </c>
      <c r="F2042" t="n">
        <v>1</v>
      </c>
      <c r="G2042" t="n">
        <v>89.90000000000001</v>
      </c>
      <c r="H2042" t="n">
        <v>13.65</v>
      </c>
      <c r="I2042" t="inlineStr">
        <is>
          <t>boleto</t>
        </is>
      </c>
      <c r="J2042" t="n">
        <v>5</v>
      </c>
      <c r="K2042" t="inlineStr">
        <is>
          <t>On Time</t>
        </is>
      </c>
      <c r="L2042" t="n">
        <v>5</v>
      </c>
      <c r="M2042">
        <f>VLOOKUP(D2042,State_Lookup!$A$2:$B$28,2,FALSE)</f>
        <v/>
      </c>
    </row>
    <row r="2043">
      <c r="A2043" t="inlineStr">
        <is>
          <t>4a34ebaf9dad918de4b5201d02bd7289</t>
        </is>
      </c>
      <c r="B2043" t="inlineStr">
        <is>
          <t>2017-12-03</t>
        </is>
      </c>
      <c r="C2043" t="inlineStr">
        <is>
          <t>2017-12</t>
        </is>
      </c>
      <c r="D2043" t="inlineStr">
        <is>
          <t>SP</t>
        </is>
      </c>
      <c r="E2043" t="inlineStr">
        <is>
          <t>bed_bath_table</t>
        </is>
      </c>
      <c r="F2043" t="n">
        <v>1</v>
      </c>
      <c r="G2043" t="n">
        <v>140</v>
      </c>
      <c r="H2043" t="n">
        <v>25.5</v>
      </c>
      <c r="I2043" t="inlineStr">
        <is>
          <t>credit_card</t>
        </is>
      </c>
      <c r="J2043" t="n">
        <v>3</v>
      </c>
      <c r="K2043" t="inlineStr">
        <is>
          <t>On Time</t>
        </is>
      </c>
      <c r="L2043" t="n">
        <v>2</v>
      </c>
      <c r="M2043">
        <f>VLOOKUP(D2043,State_Lookup!$A$2:$B$28,2,FALSE)</f>
        <v/>
      </c>
    </row>
    <row r="2044">
      <c r="A2044" t="inlineStr">
        <is>
          <t>fa0705d5bfc72c07badff6fcffd697f6</t>
        </is>
      </c>
      <c r="B2044" t="inlineStr">
        <is>
          <t>2017-12-03</t>
        </is>
      </c>
      <c r="C2044" t="inlineStr">
        <is>
          <t>2017-12</t>
        </is>
      </c>
      <c r="D2044" t="inlineStr">
        <is>
          <t>PR</t>
        </is>
      </c>
      <c r="E2044" t="inlineStr">
        <is>
          <t>toys</t>
        </is>
      </c>
      <c r="F2044" t="n">
        <v>1</v>
      </c>
      <c r="G2044" t="n">
        <v>86.98999999999999</v>
      </c>
      <c r="H2044" t="n">
        <v>17.86</v>
      </c>
      <c r="I2044" t="inlineStr">
        <is>
          <t>credit_card</t>
        </is>
      </c>
      <c r="J2044" t="n">
        <v>31</v>
      </c>
      <c r="K2044" t="inlineStr">
        <is>
          <t>On Time</t>
        </is>
      </c>
      <c r="L2044" t="n">
        <v>2</v>
      </c>
      <c r="M2044">
        <f>VLOOKUP(D2044,State_Lookup!$A$2:$B$28,2,FALSE)</f>
        <v/>
      </c>
    </row>
    <row r="2045">
      <c r="A2045" t="inlineStr">
        <is>
          <t>3335f13449d5b75804a0a49611cf11a4</t>
        </is>
      </c>
      <c r="B2045" t="inlineStr">
        <is>
          <t>2017-12-03</t>
        </is>
      </c>
      <c r="C2045" t="inlineStr">
        <is>
          <t>2017-12</t>
        </is>
      </c>
      <c r="D2045" t="inlineStr">
        <is>
          <t>RS</t>
        </is>
      </c>
      <c r="E2045" t="inlineStr">
        <is>
          <t>drinks</t>
        </is>
      </c>
      <c r="F2045" t="n">
        <v>1</v>
      </c>
      <c r="G2045" t="n">
        <v>40</v>
      </c>
      <c r="H2045" t="n">
        <v>17.6</v>
      </c>
      <c r="I2045" t="inlineStr">
        <is>
          <t>credit_card</t>
        </is>
      </c>
      <c r="J2045" t="n">
        <v>18</v>
      </c>
      <c r="K2045" t="inlineStr">
        <is>
          <t>On Time</t>
        </is>
      </c>
      <c r="L2045" t="n">
        <v>5</v>
      </c>
      <c r="M2045">
        <f>VLOOKUP(D2045,State_Lookup!$A$2:$B$28,2,FALSE)</f>
        <v/>
      </c>
    </row>
    <row r="2046">
      <c r="A2046" t="inlineStr">
        <is>
          <t>e2fbbd87fea5a8b236b00e5b274b143d</t>
        </is>
      </c>
      <c r="B2046" t="inlineStr">
        <is>
          <t>2017-12-03</t>
        </is>
      </c>
      <c r="C2046" t="inlineStr">
        <is>
          <t>2017-12</t>
        </is>
      </c>
      <c r="D2046" t="inlineStr">
        <is>
          <t>RJ</t>
        </is>
      </c>
      <c r="E2046" t="inlineStr">
        <is>
          <t>office_furniture</t>
        </is>
      </c>
      <c r="F2046" t="n">
        <v>1</v>
      </c>
      <c r="G2046" t="n">
        <v>196.99</v>
      </c>
      <c r="H2046" t="n">
        <v>59.93</v>
      </c>
      <c r="I2046" t="inlineStr">
        <is>
          <t>credit_card</t>
        </is>
      </c>
      <c r="J2046" t="n">
        <v>30</v>
      </c>
      <c r="K2046" t="inlineStr">
        <is>
          <t>On Time</t>
        </is>
      </c>
      <c r="L2046" t="n">
        <v>1</v>
      </c>
      <c r="M2046">
        <f>VLOOKUP(D2046,State_Lookup!$A$2:$B$28,2,FALSE)</f>
        <v/>
      </c>
    </row>
    <row r="2047">
      <c r="A2047" t="inlineStr">
        <is>
          <t>13b18839db628ad38aab7490078a213e</t>
        </is>
      </c>
      <c r="B2047" t="inlineStr">
        <is>
          <t>2017-12-03</t>
        </is>
      </c>
      <c r="C2047" t="inlineStr">
        <is>
          <t>2017-12</t>
        </is>
      </c>
      <c r="D2047" t="inlineStr">
        <is>
          <t>ES</t>
        </is>
      </c>
      <c r="E2047" t="inlineStr">
        <is>
          <t>bed_bath_table</t>
        </is>
      </c>
      <c r="F2047" t="n">
        <v>1</v>
      </c>
      <c r="G2047" t="n">
        <v>45.9</v>
      </c>
      <c r="H2047" t="n">
        <v>15.11</v>
      </c>
      <c r="I2047" t="inlineStr">
        <is>
          <t>credit_card</t>
        </is>
      </c>
      <c r="J2047" t="n">
        <v>15</v>
      </c>
      <c r="K2047" t="inlineStr">
        <is>
          <t>On Time</t>
        </is>
      </c>
      <c r="L2047" t="n">
        <v>5</v>
      </c>
      <c r="M2047">
        <f>VLOOKUP(D2047,State_Lookup!$A$2:$B$28,2,FALSE)</f>
        <v/>
      </c>
    </row>
    <row r="2048">
      <c r="A2048" t="inlineStr">
        <is>
          <t>6653d3fc131c01e7e7fa96daf4aea451</t>
        </is>
      </c>
      <c r="B2048" t="inlineStr">
        <is>
          <t>2017-12-03</t>
        </is>
      </c>
      <c r="C2048" t="inlineStr">
        <is>
          <t>2017-12</t>
        </is>
      </c>
      <c r="D2048" t="inlineStr">
        <is>
          <t>RJ</t>
        </is>
      </c>
      <c r="E2048" t="inlineStr">
        <is>
          <t>watches_gifts</t>
        </is>
      </c>
      <c r="F2048" t="n">
        <v>1</v>
      </c>
      <c r="G2048" t="n">
        <v>170</v>
      </c>
      <c r="H2048" t="n">
        <v>15.94</v>
      </c>
      <c r="I2048" t="inlineStr">
        <is>
          <t>credit_card</t>
        </is>
      </c>
      <c r="J2048" t="n">
        <v>12</v>
      </c>
      <c r="K2048" t="inlineStr">
        <is>
          <t>On Time</t>
        </is>
      </c>
      <c r="L2048" t="n">
        <v>5</v>
      </c>
      <c r="M2048">
        <f>VLOOKUP(D2048,State_Lookup!$A$2:$B$28,2,FALSE)</f>
        <v/>
      </c>
    </row>
    <row r="2049">
      <c r="A2049" t="inlineStr">
        <is>
          <t>23f0043c61ae2348a350f3cc20762914</t>
        </is>
      </c>
      <c r="B2049" t="inlineStr">
        <is>
          <t>2017-12-03</t>
        </is>
      </c>
      <c r="C2049" t="inlineStr">
        <is>
          <t>2017-12</t>
        </is>
      </c>
      <c r="D2049" t="inlineStr">
        <is>
          <t>RJ</t>
        </is>
      </c>
      <c r="E2049" t="inlineStr">
        <is>
          <t>furniture_decor</t>
        </is>
      </c>
      <c r="F2049" t="n">
        <v>1</v>
      </c>
      <c r="G2049" t="n">
        <v>69.90000000000001</v>
      </c>
      <c r="H2049" t="n">
        <v>26.81</v>
      </c>
      <c r="I2049" t="inlineStr">
        <is>
          <t>credit_card</t>
        </is>
      </c>
      <c r="J2049" t="n">
        <v>11</v>
      </c>
      <c r="K2049" t="inlineStr">
        <is>
          <t>On Time</t>
        </is>
      </c>
      <c r="L2049" t="n">
        <v>5</v>
      </c>
      <c r="M2049">
        <f>VLOOKUP(D2049,State_Lookup!$A$2:$B$28,2,FALSE)</f>
        <v/>
      </c>
    </row>
    <row r="2050">
      <c r="A2050" t="inlineStr">
        <is>
          <t>8fdc42676c9c6c74c4f8f062b53ebafa</t>
        </is>
      </c>
      <c r="B2050" t="inlineStr">
        <is>
          <t>2017-12-03</t>
        </is>
      </c>
      <c r="C2050" t="inlineStr">
        <is>
          <t>2017-12</t>
        </is>
      </c>
      <c r="D2050" t="inlineStr">
        <is>
          <t>MG</t>
        </is>
      </c>
      <c r="E2050" t="inlineStr">
        <is>
          <t>health_beauty</t>
        </is>
      </c>
      <c r="F2050" t="n">
        <v>1</v>
      </c>
      <c r="G2050" t="n">
        <v>125.5</v>
      </c>
      <c r="H2050" t="n">
        <v>16.64</v>
      </c>
      <c r="I2050" t="inlineStr">
        <is>
          <t>credit_card</t>
        </is>
      </c>
      <c r="J2050" t="inlineStr"/>
      <c r="K2050" t="inlineStr">
        <is>
          <t>Not Delivered</t>
        </is>
      </c>
      <c r="L2050" t="n">
        <v>1</v>
      </c>
      <c r="M2050">
        <f>VLOOKUP(D2050,State_Lookup!$A$2:$B$28,2,FALSE)</f>
        <v/>
      </c>
    </row>
    <row r="2051">
      <c r="A2051" t="inlineStr">
        <is>
          <t>de0076b42a023f53b398ce9ab0d9009c</t>
        </is>
      </c>
      <c r="B2051" t="inlineStr">
        <is>
          <t>2017-12-04</t>
        </is>
      </c>
      <c r="C2051" t="inlineStr">
        <is>
          <t>2017-12</t>
        </is>
      </c>
      <c r="D2051" t="inlineStr">
        <is>
          <t>BA</t>
        </is>
      </c>
      <c r="E2051" t="inlineStr">
        <is>
          <t>furniture_decor</t>
        </is>
      </c>
      <c r="F2051" t="n">
        <v>1</v>
      </c>
      <c r="G2051" t="n">
        <v>17.9</v>
      </c>
      <c r="H2051" t="n">
        <v>16.79</v>
      </c>
      <c r="I2051" t="inlineStr">
        <is>
          <t>boleto</t>
        </is>
      </c>
      <c r="J2051" t="n">
        <v>36</v>
      </c>
      <c r="K2051" t="inlineStr">
        <is>
          <t>Late</t>
        </is>
      </c>
      <c r="L2051" t="n">
        <v>1</v>
      </c>
      <c r="M2051">
        <f>VLOOKUP(D2051,State_Lookup!$A$2:$B$28,2,FALSE)</f>
        <v/>
      </c>
    </row>
    <row r="2052">
      <c r="A2052" t="inlineStr">
        <is>
          <t>db37f3a504d63cd9e2fb6133c80e0219</t>
        </is>
      </c>
      <c r="B2052" t="inlineStr">
        <is>
          <t>2017-12-04</t>
        </is>
      </c>
      <c r="C2052" t="inlineStr">
        <is>
          <t>2017-12</t>
        </is>
      </c>
      <c r="D2052" t="inlineStr">
        <is>
          <t>SP</t>
        </is>
      </c>
      <c r="E2052" t="inlineStr">
        <is>
          <t>luggage_accessories</t>
        </is>
      </c>
      <c r="F2052" t="n">
        <v>1</v>
      </c>
      <c r="G2052" t="n">
        <v>129.99</v>
      </c>
      <c r="H2052" t="n">
        <v>17.16</v>
      </c>
      <c r="I2052" t="inlineStr">
        <is>
          <t>credit_card</t>
        </is>
      </c>
      <c r="J2052" t="n">
        <v>14</v>
      </c>
      <c r="K2052" t="inlineStr">
        <is>
          <t>On Time</t>
        </is>
      </c>
      <c r="L2052" t="n">
        <v>5</v>
      </c>
      <c r="M2052">
        <f>VLOOKUP(D2052,State_Lookup!$A$2:$B$28,2,FALSE)</f>
        <v/>
      </c>
    </row>
    <row r="2053">
      <c r="A2053" t="inlineStr">
        <is>
          <t>a2774eabce91067c32cfb2813ac902ad</t>
        </is>
      </c>
      <c r="B2053" t="inlineStr">
        <is>
          <t>2017-12-04</t>
        </is>
      </c>
      <c r="C2053" t="inlineStr">
        <is>
          <t>2017-12</t>
        </is>
      </c>
      <c r="D2053" t="inlineStr">
        <is>
          <t>RS</t>
        </is>
      </c>
      <c r="E2053" t="inlineStr">
        <is>
          <t>telephony</t>
        </is>
      </c>
      <c r="F2053" t="n">
        <v>2</v>
      </c>
      <c r="G2053" t="n">
        <v>398</v>
      </c>
      <c r="H2053" t="n">
        <v>32.28</v>
      </c>
      <c r="I2053" t="inlineStr">
        <is>
          <t>credit_card</t>
        </is>
      </c>
      <c r="J2053" t="n">
        <v>9</v>
      </c>
      <c r="K2053" t="inlineStr">
        <is>
          <t>On Time</t>
        </is>
      </c>
      <c r="L2053" t="n">
        <v>1</v>
      </c>
      <c r="M2053">
        <f>VLOOKUP(D2053,State_Lookup!$A$2:$B$28,2,FALSE)</f>
        <v/>
      </c>
    </row>
    <row r="2054">
      <c r="A2054" t="inlineStr">
        <is>
          <t>7da78752e9ddd817f22933c2763db33c</t>
        </is>
      </c>
      <c r="B2054" t="inlineStr">
        <is>
          <t>2017-12-04</t>
        </is>
      </c>
      <c r="C2054" t="inlineStr">
        <is>
          <t>2017-12</t>
        </is>
      </c>
      <c r="D2054" t="inlineStr">
        <is>
          <t>RJ</t>
        </is>
      </c>
      <c r="E2054" t="inlineStr">
        <is>
          <t>bed_bath_table</t>
        </is>
      </c>
      <c r="F2054" t="n">
        <v>1</v>
      </c>
      <c r="G2054" t="n">
        <v>69.90000000000001</v>
      </c>
      <c r="H2054" t="n">
        <v>18.06</v>
      </c>
      <c r="I2054" t="inlineStr">
        <is>
          <t>boleto</t>
        </is>
      </c>
      <c r="J2054" t="n">
        <v>16</v>
      </c>
      <c r="K2054" t="inlineStr">
        <is>
          <t>On Time</t>
        </is>
      </c>
      <c r="L2054" t="n">
        <v>5</v>
      </c>
      <c r="M2054">
        <f>VLOOKUP(D2054,State_Lookup!$A$2:$B$28,2,FALSE)</f>
        <v/>
      </c>
    </row>
    <row r="2055">
      <c r="A2055" t="inlineStr">
        <is>
          <t>0ec373cccbb9d0a08243467c9d81a0c5</t>
        </is>
      </c>
      <c r="B2055" t="inlineStr">
        <is>
          <t>2017-12-04</t>
        </is>
      </c>
      <c r="C2055" t="inlineStr">
        <is>
          <t>2017-12</t>
        </is>
      </c>
      <c r="D2055" t="inlineStr">
        <is>
          <t>BA</t>
        </is>
      </c>
      <c r="E2055" t="inlineStr">
        <is>
          <t>furniture_decor</t>
        </is>
      </c>
      <c r="F2055" t="n">
        <v>1</v>
      </c>
      <c r="G2055" t="n">
        <v>89.90000000000001</v>
      </c>
      <c r="H2055" t="n">
        <v>28.01</v>
      </c>
      <c r="I2055" t="inlineStr">
        <is>
          <t>boleto</t>
        </is>
      </c>
      <c r="J2055" t="n">
        <v>16</v>
      </c>
      <c r="K2055" t="inlineStr">
        <is>
          <t>On Time</t>
        </is>
      </c>
      <c r="L2055" t="n">
        <v>5</v>
      </c>
      <c r="M2055">
        <f>VLOOKUP(D2055,State_Lookup!$A$2:$B$28,2,FALSE)</f>
        <v/>
      </c>
    </row>
    <row r="2056">
      <c r="A2056" t="inlineStr">
        <is>
          <t>8c535ee262be59eb38411054b7365ca2</t>
        </is>
      </c>
      <c r="B2056" t="inlineStr">
        <is>
          <t>2017-12-04</t>
        </is>
      </c>
      <c r="C2056" t="inlineStr">
        <is>
          <t>2017-12</t>
        </is>
      </c>
      <c r="D2056" t="inlineStr">
        <is>
          <t>MG</t>
        </is>
      </c>
      <c r="E2056" t="inlineStr">
        <is>
          <t>sports_leisure</t>
        </is>
      </c>
      <c r="F2056" t="n">
        <v>1</v>
      </c>
      <c r="G2056" t="n">
        <v>239.99</v>
      </c>
      <c r="H2056" t="n">
        <v>18.93</v>
      </c>
      <c r="I2056" t="inlineStr">
        <is>
          <t>credit_card</t>
        </is>
      </c>
      <c r="J2056" t="n">
        <v>21</v>
      </c>
      <c r="K2056" t="inlineStr">
        <is>
          <t>On Time</t>
        </is>
      </c>
      <c r="L2056" t="n">
        <v>4</v>
      </c>
      <c r="M2056">
        <f>VLOOKUP(D2056,State_Lookup!$A$2:$B$28,2,FALSE)</f>
        <v/>
      </c>
    </row>
    <row r="2057">
      <c r="A2057" t="inlineStr">
        <is>
          <t>adc51b6b60ec7fe71a757fdf57f0e3b2</t>
        </is>
      </c>
      <c r="B2057" t="inlineStr">
        <is>
          <t>2017-12-04</t>
        </is>
      </c>
      <c r="C2057" t="inlineStr">
        <is>
          <t>2017-12</t>
        </is>
      </c>
      <c r="D2057" t="inlineStr">
        <is>
          <t>MG</t>
        </is>
      </c>
      <c r="E2057" t="inlineStr">
        <is>
          <t>health_beauty</t>
        </is>
      </c>
      <c r="F2057" t="n">
        <v>1</v>
      </c>
      <c r="G2057" t="n">
        <v>394.65</v>
      </c>
      <c r="H2057" t="n">
        <v>17.51</v>
      </c>
      <c r="I2057" t="inlineStr">
        <is>
          <t>credit_card</t>
        </is>
      </c>
      <c r="J2057" t="n">
        <v>24</v>
      </c>
      <c r="K2057" t="inlineStr">
        <is>
          <t>Late</t>
        </is>
      </c>
      <c r="L2057" t="n">
        <v>4</v>
      </c>
      <c r="M2057">
        <f>VLOOKUP(D2057,State_Lookup!$A$2:$B$28,2,FALSE)</f>
        <v/>
      </c>
    </row>
    <row r="2058">
      <c r="A2058" t="inlineStr">
        <is>
          <t>06ba91cdc30ac6c7181e933cf2135932</t>
        </is>
      </c>
      <c r="B2058" t="inlineStr">
        <is>
          <t>2017-12-04</t>
        </is>
      </c>
      <c r="C2058" t="inlineStr">
        <is>
          <t>2017-12</t>
        </is>
      </c>
      <c r="D2058" t="inlineStr">
        <is>
          <t>RJ</t>
        </is>
      </c>
      <c r="E2058" t="inlineStr">
        <is>
          <t>home_appliances_2</t>
        </is>
      </c>
      <c r="F2058" t="n">
        <v>1</v>
      </c>
      <c r="G2058" t="n">
        <v>206.9</v>
      </c>
      <c r="H2058" t="n">
        <v>34.81</v>
      </c>
      <c r="I2058" t="inlineStr">
        <is>
          <t>boleto</t>
        </is>
      </c>
      <c r="J2058" t="n">
        <v>22</v>
      </c>
      <c r="K2058" t="inlineStr">
        <is>
          <t>On Time</t>
        </is>
      </c>
      <c r="L2058" t="n">
        <v>3</v>
      </c>
      <c r="M2058">
        <f>VLOOKUP(D2058,State_Lookup!$A$2:$B$28,2,FALSE)</f>
        <v/>
      </c>
    </row>
    <row r="2059">
      <c r="A2059" t="inlineStr">
        <is>
          <t>396ca10a49401efb99c1e55716800936</t>
        </is>
      </c>
      <c r="B2059" t="inlineStr">
        <is>
          <t>2017-12-04</t>
        </is>
      </c>
      <c r="C2059" t="inlineStr">
        <is>
          <t>2017-12</t>
        </is>
      </c>
      <c r="D2059" t="inlineStr">
        <is>
          <t>MG</t>
        </is>
      </c>
      <c r="E2059" t="inlineStr">
        <is>
          <t>watches_gifts</t>
        </is>
      </c>
      <c r="F2059" t="n">
        <v>1</v>
      </c>
      <c r="G2059" t="n">
        <v>49.99</v>
      </c>
      <c r="H2059" t="n">
        <v>15.1</v>
      </c>
      <c r="I2059" t="inlineStr">
        <is>
          <t>boleto</t>
        </is>
      </c>
      <c r="J2059" t="n">
        <v>16</v>
      </c>
      <c r="K2059" t="inlineStr">
        <is>
          <t>On Time</t>
        </is>
      </c>
      <c r="L2059" t="n">
        <v>4</v>
      </c>
      <c r="M2059">
        <f>VLOOKUP(D2059,State_Lookup!$A$2:$B$28,2,FALSE)</f>
        <v/>
      </c>
    </row>
    <row r="2060">
      <c r="A2060" t="inlineStr">
        <is>
          <t>fdce8dd7bb4b3a3424b42b3dd0e844da</t>
        </is>
      </c>
      <c r="B2060" t="inlineStr">
        <is>
          <t>2017-12-04</t>
        </is>
      </c>
      <c r="C2060" t="inlineStr">
        <is>
          <t>2017-12</t>
        </is>
      </c>
      <c r="D2060" t="inlineStr">
        <is>
          <t>SP</t>
        </is>
      </c>
      <c r="E2060" t="inlineStr">
        <is>
          <t>computers_accessories</t>
        </is>
      </c>
      <c r="F2060" t="n">
        <v>1</v>
      </c>
      <c r="G2060" t="n">
        <v>140</v>
      </c>
      <c r="H2060" t="n">
        <v>12.48</v>
      </c>
      <c r="I2060" t="inlineStr">
        <is>
          <t>boleto</t>
        </is>
      </c>
      <c r="J2060" t="n">
        <v>9</v>
      </c>
      <c r="K2060" t="inlineStr">
        <is>
          <t>On Time</t>
        </is>
      </c>
      <c r="L2060" t="n">
        <v>5</v>
      </c>
      <c r="M2060">
        <f>VLOOKUP(D2060,State_Lookup!$A$2:$B$28,2,FALSE)</f>
        <v/>
      </c>
    </row>
    <row r="2061">
      <c r="A2061" t="inlineStr">
        <is>
          <t>cfe5649887c20d8a27d7a9a2302a9d9b</t>
        </is>
      </c>
      <c r="B2061" t="inlineStr">
        <is>
          <t>2017-12-04</t>
        </is>
      </c>
      <c r="C2061" t="inlineStr">
        <is>
          <t>2017-12</t>
        </is>
      </c>
      <c r="D2061" t="inlineStr">
        <is>
          <t>PE</t>
        </is>
      </c>
      <c r="E2061" t="inlineStr">
        <is>
          <t>toys</t>
        </is>
      </c>
      <c r="F2061" t="n">
        <v>2</v>
      </c>
      <c r="G2061" t="n">
        <v>179.8</v>
      </c>
      <c r="H2061" t="n">
        <v>42.06</v>
      </c>
      <c r="I2061" t="inlineStr">
        <is>
          <t>credit_card</t>
        </is>
      </c>
      <c r="J2061" t="n">
        <v>22</v>
      </c>
      <c r="K2061" t="inlineStr">
        <is>
          <t>On Time</t>
        </is>
      </c>
      <c r="L2061" t="n">
        <v>4</v>
      </c>
      <c r="M2061">
        <f>VLOOKUP(D2061,State_Lookup!$A$2:$B$28,2,FALSE)</f>
        <v/>
      </c>
    </row>
    <row r="2062">
      <c r="A2062" t="inlineStr">
        <is>
          <t>da2473475b308a32775353337f5c3c6d</t>
        </is>
      </c>
      <c r="B2062" t="inlineStr">
        <is>
          <t>2017-12-04</t>
        </is>
      </c>
      <c r="C2062" t="inlineStr">
        <is>
          <t>2017-12</t>
        </is>
      </c>
      <c r="D2062" t="inlineStr">
        <is>
          <t>RJ</t>
        </is>
      </c>
      <c r="E2062" t="inlineStr">
        <is>
          <t>watches_gifts</t>
        </is>
      </c>
      <c r="F2062" t="n">
        <v>1</v>
      </c>
      <c r="G2062" t="n">
        <v>348.8</v>
      </c>
      <c r="H2062" t="n">
        <v>17.19</v>
      </c>
      <c r="I2062" t="inlineStr">
        <is>
          <t>credit_card</t>
        </is>
      </c>
      <c r="J2062" t="n">
        <v>37</v>
      </c>
      <c r="K2062" t="inlineStr">
        <is>
          <t>Late</t>
        </is>
      </c>
      <c r="L2062" t="n">
        <v>1</v>
      </c>
      <c r="M2062">
        <f>VLOOKUP(D2062,State_Lookup!$A$2:$B$28,2,FALSE)</f>
        <v/>
      </c>
    </row>
    <row r="2063">
      <c r="A2063" t="inlineStr">
        <is>
          <t>fa464e66c13ab4ea69b7fb3c7888ea0c</t>
        </is>
      </c>
      <c r="B2063" t="inlineStr">
        <is>
          <t>2017-12-04</t>
        </is>
      </c>
      <c r="C2063" t="inlineStr">
        <is>
          <t>2017-12</t>
        </is>
      </c>
      <c r="D2063" t="inlineStr">
        <is>
          <t>RJ</t>
        </is>
      </c>
      <c r="E2063" t="inlineStr">
        <is>
          <t>health_beauty</t>
        </is>
      </c>
      <c r="F2063" t="n">
        <v>1</v>
      </c>
      <c r="G2063" t="n">
        <v>29.9</v>
      </c>
      <c r="H2063" t="n">
        <v>15.1</v>
      </c>
      <c r="I2063" t="inlineStr">
        <is>
          <t>boleto</t>
        </is>
      </c>
      <c r="J2063" t="n">
        <v>30</v>
      </c>
      <c r="K2063" t="inlineStr">
        <is>
          <t>Late</t>
        </is>
      </c>
      <c r="L2063" t="n">
        <v>5</v>
      </c>
      <c r="M2063">
        <f>VLOOKUP(D2063,State_Lookup!$A$2:$B$28,2,FALSE)</f>
        <v/>
      </c>
    </row>
    <row r="2064">
      <c r="A2064" t="inlineStr">
        <is>
          <t>4e9ff1cf3de62fe0f78482fb03f190f1</t>
        </is>
      </c>
      <c r="B2064" t="inlineStr">
        <is>
          <t>2017-12-04</t>
        </is>
      </c>
      <c r="C2064" t="inlineStr">
        <is>
          <t>2017-12</t>
        </is>
      </c>
      <c r="D2064" t="inlineStr">
        <is>
          <t>SP</t>
        </is>
      </c>
      <c r="E2064" t="inlineStr">
        <is>
          <t>agro_industry_and_commerce</t>
        </is>
      </c>
      <c r="F2064" t="n">
        <v>1</v>
      </c>
      <c r="G2064" t="n">
        <v>412</v>
      </c>
      <c r="H2064" t="n">
        <v>23.72</v>
      </c>
      <c r="I2064" t="inlineStr">
        <is>
          <t>boleto</t>
        </is>
      </c>
      <c r="J2064" t="n">
        <v>9</v>
      </c>
      <c r="K2064" t="inlineStr">
        <is>
          <t>On Time</t>
        </is>
      </c>
      <c r="L2064" t="n">
        <v>5</v>
      </c>
      <c r="M2064">
        <f>VLOOKUP(D2064,State_Lookup!$A$2:$B$28,2,FALSE)</f>
        <v/>
      </c>
    </row>
    <row r="2065">
      <c r="A2065" t="inlineStr">
        <is>
          <t>b0a3fa56d2d1b7e51873562656c0a796</t>
        </is>
      </c>
      <c r="B2065" t="inlineStr">
        <is>
          <t>2017-12-04</t>
        </is>
      </c>
      <c r="C2065" t="inlineStr">
        <is>
          <t>2017-12</t>
        </is>
      </c>
      <c r="D2065" t="inlineStr">
        <is>
          <t>BA</t>
        </is>
      </c>
      <c r="E2065" t="inlineStr">
        <is>
          <t>auto</t>
        </is>
      </c>
      <c r="F2065" t="n">
        <v>1</v>
      </c>
      <c r="G2065" t="n">
        <v>79.90000000000001</v>
      </c>
      <c r="H2065" t="n">
        <v>19.8</v>
      </c>
      <c r="I2065" t="inlineStr">
        <is>
          <t>credit_card</t>
        </is>
      </c>
      <c r="J2065" t="n">
        <v>14</v>
      </c>
      <c r="K2065" t="inlineStr">
        <is>
          <t>On Time</t>
        </is>
      </c>
      <c r="L2065" t="n">
        <v>5</v>
      </c>
      <c r="M2065">
        <f>VLOOKUP(D2065,State_Lookup!$A$2:$B$28,2,FALSE)</f>
        <v/>
      </c>
    </row>
    <row r="2066">
      <c r="A2066" t="inlineStr">
        <is>
          <t>03d5b9a74ff46435640f8bd737ac2237</t>
        </is>
      </c>
      <c r="B2066" t="inlineStr">
        <is>
          <t>2017-12-04</t>
        </is>
      </c>
      <c r="C2066" t="inlineStr">
        <is>
          <t>2017-12</t>
        </is>
      </c>
      <c r="D2066" t="inlineStr">
        <is>
          <t>SP</t>
        </is>
      </c>
      <c r="E2066" t="inlineStr">
        <is>
          <t>pet_shop</t>
        </is>
      </c>
      <c r="F2066" t="n">
        <v>1</v>
      </c>
      <c r="G2066" t="n">
        <v>110</v>
      </c>
      <c r="H2066" t="n">
        <v>36.43</v>
      </c>
      <c r="I2066" t="inlineStr">
        <is>
          <t>credit_card</t>
        </is>
      </c>
      <c r="J2066" t="n">
        <v>7</v>
      </c>
      <c r="K2066" t="inlineStr">
        <is>
          <t>On Time</t>
        </is>
      </c>
      <c r="L2066" t="n">
        <v>5</v>
      </c>
      <c r="M2066">
        <f>VLOOKUP(D2066,State_Lookup!$A$2:$B$28,2,FALSE)</f>
        <v/>
      </c>
    </row>
    <row r="2067">
      <c r="A2067" t="inlineStr">
        <is>
          <t>0f4ace47be2863cb7e7e547f32afbe2a</t>
        </is>
      </c>
      <c r="B2067" t="inlineStr">
        <is>
          <t>2017-12-04</t>
        </is>
      </c>
      <c r="C2067" t="inlineStr">
        <is>
          <t>2017-12</t>
        </is>
      </c>
      <c r="D2067" t="inlineStr">
        <is>
          <t>SP</t>
        </is>
      </c>
      <c r="E2067" t="inlineStr">
        <is>
          <t>sports_leisure</t>
        </is>
      </c>
      <c r="F2067" t="n">
        <v>1</v>
      </c>
      <c r="G2067" t="n">
        <v>36.99</v>
      </c>
      <c r="H2067" t="n">
        <v>15.11</v>
      </c>
      <c r="I2067" t="inlineStr">
        <is>
          <t>credit_card</t>
        </is>
      </c>
      <c r="J2067" t="inlineStr"/>
      <c r="K2067" t="inlineStr">
        <is>
          <t>Not Delivered</t>
        </is>
      </c>
      <c r="L2067" t="n">
        <v>1</v>
      </c>
      <c r="M2067">
        <f>VLOOKUP(D2067,State_Lookup!$A$2:$B$28,2,FALSE)</f>
        <v/>
      </c>
    </row>
    <row r="2068">
      <c r="A2068" t="inlineStr">
        <is>
          <t>12ddc48a9deaa5607f5fe6dacbb1e436</t>
        </is>
      </c>
      <c r="B2068" t="inlineStr">
        <is>
          <t>2017-12-04</t>
        </is>
      </c>
      <c r="C2068" t="inlineStr">
        <is>
          <t>2017-12</t>
        </is>
      </c>
      <c r="D2068" t="inlineStr">
        <is>
          <t>SP</t>
        </is>
      </c>
      <c r="E2068" t="inlineStr">
        <is>
          <t>bed_bath_table</t>
        </is>
      </c>
      <c r="F2068" t="n">
        <v>1</v>
      </c>
      <c r="G2068" t="n">
        <v>89.90000000000001</v>
      </c>
      <c r="H2068" t="n">
        <v>16.26</v>
      </c>
      <c r="I2068" t="inlineStr">
        <is>
          <t>credit_card</t>
        </is>
      </c>
      <c r="J2068" t="n">
        <v>11</v>
      </c>
      <c r="K2068" t="inlineStr">
        <is>
          <t>On Time</t>
        </is>
      </c>
      <c r="L2068" t="n">
        <v>5</v>
      </c>
      <c r="M2068">
        <f>VLOOKUP(D2068,State_Lookup!$A$2:$B$28,2,FALSE)</f>
        <v/>
      </c>
    </row>
    <row r="2069">
      <c r="A2069" t="inlineStr">
        <is>
          <t>1cfb210fdaf81f98065605323fe31fa3</t>
        </is>
      </c>
      <c r="B2069" t="inlineStr">
        <is>
          <t>2017-12-04</t>
        </is>
      </c>
      <c r="C2069" t="inlineStr">
        <is>
          <t>2017-12</t>
        </is>
      </c>
      <c r="D2069" t="inlineStr">
        <is>
          <t>RJ</t>
        </is>
      </c>
      <c r="E2069" t="inlineStr">
        <is>
          <t>stationery</t>
        </is>
      </c>
      <c r="F2069" t="n">
        <v>1</v>
      </c>
      <c r="G2069" t="n">
        <v>79</v>
      </c>
      <c r="H2069" t="n">
        <v>17.8</v>
      </c>
      <c r="I2069" t="inlineStr">
        <is>
          <t>credit_card</t>
        </is>
      </c>
      <c r="J2069" t="n">
        <v>37</v>
      </c>
      <c r="K2069" t="inlineStr">
        <is>
          <t>Late</t>
        </is>
      </c>
      <c r="L2069" t="n">
        <v>1</v>
      </c>
      <c r="M2069">
        <f>VLOOKUP(D2069,State_Lookup!$A$2:$B$28,2,FALSE)</f>
        <v/>
      </c>
    </row>
    <row r="2070">
      <c r="A2070" t="inlineStr">
        <is>
          <t>977f75be9ecd1050220bf0c1ee226bda</t>
        </is>
      </c>
      <c r="B2070" t="inlineStr">
        <is>
          <t>2017-12-04</t>
        </is>
      </c>
      <c r="C2070" t="inlineStr">
        <is>
          <t>2017-12</t>
        </is>
      </c>
      <c r="D2070" t="inlineStr">
        <is>
          <t>BA</t>
        </is>
      </c>
      <c r="E2070" t="inlineStr">
        <is>
          <t>stationery</t>
        </is>
      </c>
      <c r="F2070" t="n">
        <v>1</v>
      </c>
      <c r="G2070" t="n">
        <v>120</v>
      </c>
      <c r="H2070" t="n">
        <v>20.08</v>
      </c>
      <c r="I2070" t="inlineStr">
        <is>
          <t>credit_card</t>
        </is>
      </c>
      <c r="J2070" t="n">
        <v>32</v>
      </c>
      <c r="K2070" t="inlineStr">
        <is>
          <t>Late</t>
        </is>
      </c>
      <c r="L2070" t="n">
        <v>4</v>
      </c>
      <c r="M2070">
        <f>VLOOKUP(D2070,State_Lookup!$A$2:$B$28,2,FALSE)</f>
        <v/>
      </c>
    </row>
    <row r="2071">
      <c r="A2071" t="inlineStr">
        <is>
          <t>8d0104be66d2f2828b6dd123117d7c22</t>
        </is>
      </c>
      <c r="B2071" t="inlineStr">
        <is>
          <t>2017-12-04</t>
        </is>
      </c>
      <c r="C2071" t="inlineStr">
        <is>
          <t>2017-12</t>
        </is>
      </c>
      <c r="D2071" t="inlineStr">
        <is>
          <t>ES</t>
        </is>
      </c>
      <c r="E2071" t="inlineStr">
        <is>
          <t>unknown</t>
        </is>
      </c>
      <c r="F2071" t="n">
        <v>1</v>
      </c>
      <c r="G2071" t="n">
        <v>259.77</v>
      </c>
      <c r="H2071" t="n">
        <v>15.57</v>
      </c>
      <c r="I2071" t="inlineStr">
        <is>
          <t>credit_card</t>
        </is>
      </c>
      <c r="J2071" t="n">
        <v>8</v>
      </c>
      <c r="K2071" t="inlineStr">
        <is>
          <t>On Time</t>
        </is>
      </c>
      <c r="L2071" t="n">
        <v>4</v>
      </c>
      <c r="M2071">
        <f>VLOOKUP(D2071,State_Lookup!$A$2:$B$28,2,FALSE)</f>
        <v/>
      </c>
    </row>
    <row r="2072">
      <c r="A2072" t="inlineStr">
        <is>
          <t>5e3729322319aad9409e9ca36aac26da</t>
        </is>
      </c>
      <c r="B2072" t="inlineStr">
        <is>
          <t>2017-12-04</t>
        </is>
      </c>
      <c r="C2072" t="inlineStr">
        <is>
          <t>2017-12</t>
        </is>
      </c>
      <c r="D2072" t="inlineStr">
        <is>
          <t>ES</t>
        </is>
      </c>
      <c r="E2072" t="inlineStr">
        <is>
          <t>computers_accessories</t>
        </is>
      </c>
      <c r="F2072" t="n">
        <v>1</v>
      </c>
      <c r="G2072" t="n">
        <v>42.79</v>
      </c>
      <c r="H2072" t="n">
        <v>15.79</v>
      </c>
      <c r="I2072" t="inlineStr">
        <is>
          <t>boleto</t>
        </is>
      </c>
      <c r="J2072" t="n">
        <v>8</v>
      </c>
      <c r="K2072" t="inlineStr">
        <is>
          <t>On Time</t>
        </is>
      </c>
      <c r="L2072" t="n">
        <v>5</v>
      </c>
      <c r="M2072">
        <f>VLOOKUP(D2072,State_Lookup!$A$2:$B$28,2,FALSE)</f>
        <v/>
      </c>
    </row>
    <row r="2073">
      <c r="A2073" t="inlineStr">
        <is>
          <t>95b1f6f56e1831a87c509debb79f3c52</t>
        </is>
      </c>
      <c r="B2073" t="inlineStr">
        <is>
          <t>2017-12-05</t>
        </is>
      </c>
      <c r="C2073" t="inlineStr">
        <is>
          <t>2017-12</t>
        </is>
      </c>
      <c r="D2073" t="inlineStr">
        <is>
          <t>BA</t>
        </is>
      </c>
      <c r="E2073" t="inlineStr">
        <is>
          <t>bed_bath_table</t>
        </is>
      </c>
      <c r="F2073" t="n">
        <v>1</v>
      </c>
      <c r="G2073" t="n">
        <v>59.99</v>
      </c>
      <c r="H2073" t="n">
        <v>17.99</v>
      </c>
      <c r="I2073" t="inlineStr">
        <is>
          <t>credit_card</t>
        </is>
      </c>
      <c r="J2073" t="n">
        <v>31</v>
      </c>
      <c r="K2073" t="inlineStr">
        <is>
          <t>Late</t>
        </is>
      </c>
      <c r="L2073" t="n">
        <v>5</v>
      </c>
      <c r="M2073">
        <f>VLOOKUP(D2073,State_Lookup!$A$2:$B$28,2,FALSE)</f>
        <v/>
      </c>
    </row>
    <row r="2074">
      <c r="A2074" t="inlineStr">
        <is>
          <t>924b9944de552a095cc8e4978ac8a518</t>
        </is>
      </c>
      <c r="B2074" t="inlineStr">
        <is>
          <t>2017-12-05</t>
        </is>
      </c>
      <c r="C2074" t="inlineStr">
        <is>
          <t>2017-12</t>
        </is>
      </c>
      <c r="D2074" t="inlineStr">
        <is>
          <t>MG</t>
        </is>
      </c>
      <c r="E2074" t="inlineStr">
        <is>
          <t>auto</t>
        </is>
      </c>
      <c r="F2074" t="n">
        <v>1</v>
      </c>
      <c r="G2074" t="n">
        <v>83.90000000000001</v>
      </c>
      <c r="H2074" t="n">
        <v>16.35</v>
      </c>
      <c r="I2074" t="inlineStr">
        <is>
          <t>credit_card</t>
        </is>
      </c>
      <c r="J2074" t="n">
        <v>6</v>
      </c>
      <c r="K2074" t="inlineStr">
        <is>
          <t>On Time</t>
        </is>
      </c>
      <c r="L2074" t="n">
        <v>4</v>
      </c>
      <c r="M2074">
        <f>VLOOKUP(D2074,State_Lookup!$A$2:$B$28,2,FALSE)</f>
        <v/>
      </c>
    </row>
    <row r="2075">
      <c r="A2075" t="inlineStr">
        <is>
          <t>321117f0a62b449963231d318a6320d2</t>
        </is>
      </c>
      <c r="B2075" t="inlineStr">
        <is>
          <t>2017-12-05</t>
        </is>
      </c>
      <c r="C2075" t="inlineStr">
        <is>
          <t>2017-12</t>
        </is>
      </c>
      <c r="D2075" t="inlineStr">
        <is>
          <t>RJ</t>
        </is>
      </c>
      <c r="E2075" t="inlineStr">
        <is>
          <t>watches_gifts</t>
        </is>
      </c>
      <c r="F2075" t="n">
        <v>1</v>
      </c>
      <c r="G2075" t="n">
        <v>79</v>
      </c>
      <c r="H2075" t="n">
        <v>14.3</v>
      </c>
      <c r="I2075" t="inlineStr">
        <is>
          <t>credit_card</t>
        </is>
      </c>
      <c r="J2075" t="inlineStr"/>
      <c r="K2075" t="inlineStr">
        <is>
          <t>Not Delivered</t>
        </is>
      </c>
      <c r="L2075" t="inlineStr"/>
      <c r="M2075">
        <f>VLOOKUP(D2075,State_Lookup!$A$2:$B$28,2,FALSE)</f>
        <v/>
      </c>
    </row>
    <row r="2076">
      <c r="A2076" t="inlineStr">
        <is>
          <t>0bcc4cc85c24f23e22013fd22f99728f</t>
        </is>
      </c>
      <c r="B2076" t="inlineStr">
        <is>
          <t>2017-12-05</t>
        </is>
      </c>
      <c r="C2076" t="inlineStr">
        <is>
          <t>2017-12</t>
        </is>
      </c>
      <c r="D2076" t="inlineStr">
        <is>
          <t>SP</t>
        </is>
      </c>
      <c r="E2076" t="inlineStr">
        <is>
          <t>housewares</t>
        </is>
      </c>
      <c r="F2076" t="n">
        <v>1</v>
      </c>
      <c r="G2076" t="n">
        <v>177.99</v>
      </c>
      <c r="H2076" t="n">
        <v>17.01</v>
      </c>
      <c r="I2076" t="inlineStr">
        <is>
          <t>credit_card</t>
        </is>
      </c>
      <c r="J2076" t="n">
        <v>15</v>
      </c>
      <c r="K2076" t="inlineStr">
        <is>
          <t>On Time</t>
        </is>
      </c>
      <c r="L2076" t="n">
        <v>5</v>
      </c>
      <c r="M2076">
        <f>VLOOKUP(D2076,State_Lookup!$A$2:$B$28,2,FALSE)</f>
        <v/>
      </c>
    </row>
    <row r="2077">
      <c r="A2077" t="inlineStr">
        <is>
          <t>c724a4299403a06db6a91f12801f845a</t>
        </is>
      </c>
      <c r="B2077" t="inlineStr">
        <is>
          <t>2017-12-05</t>
        </is>
      </c>
      <c r="C2077" t="inlineStr">
        <is>
          <t>2017-12</t>
        </is>
      </c>
      <c r="D2077" t="inlineStr">
        <is>
          <t>PR</t>
        </is>
      </c>
      <c r="E2077" t="inlineStr">
        <is>
          <t>health_beauty</t>
        </is>
      </c>
      <c r="F2077" t="n">
        <v>1</v>
      </c>
      <c r="G2077" t="n">
        <v>92.90000000000001</v>
      </c>
      <c r="H2077" t="n">
        <v>17.22</v>
      </c>
      <c r="I2077" t="inlineStr">
        <is>
          <t>credit_card</t>
        </is>
      </c>
      <c r="J2077" t="n">
        <v>13</v>
      </c>
      <c r="K2077" t="inlineStr">
        <is>
          <t>On Time</t>
        </is>
      </c>
      <c r="L2077" t="n">
        <v>5</v>
      </c>
      <c r="M2077">
        <f>VLOOKUP(D2077,State_Lookup!$A$2:$B$28,2,FALSE)</f>
        <v/>
      </c>
    </row>
    <row r="2078">
      <c r="A2078" t="inlineStr">
        <is>
          <t>07424cae1deed4169c2b56d1d150acf8</t>
        </is>
      </c>
      <c r="B2078" t="inlineStr">
        <is>
          <t>2017-12-05</t>
        </is>
      </c>
      <c r="C2078" t="inlineStr">
        <is>
          <t>2017-12</t>
        </is>
      </c>
      <c r="D2078" t="inlineStr">
        <is>
          <t>RJ</t>
        </is>
      </c>
      <c r="E2078" t="inlineStr">
        <is>
          <t>toys</t>
        </is>
      </c>
      <c r="F2078" t="n">
        <v>1</v>
      </c>
      <c r="G2078" t="n">
        <v>139.99</v>
      </c>
      <c r="H2078" t="n">
        <v>13.81</v>
      </c>
      <c r="I2078" t="inlineStr">
        <is>
          <t>credit_card</t>
        </is>
      </c>
      <c r="J2078" t="n">
        <v>8</v>
      </c>
      <c r="K2078" t="inlineStr">
        <is>
          <t>On Time</t>
        </is>
      </c>
      <c r="L2078" t="n">
        <v>4</v>
      </c>
      <c r="M2078">
        <f>VLOOKUP(D2078,State_Lookup!$A$2:$B$28,2,FALSE)</f>
        <v/>
      </c>
    </row>
    <row r="2079">
      <c r="A2079" t="inlineStr">
        <is>
          <t>7e40398e4b930885edc608594647816d</t>
        </is>
      </c>
      <c r="B2079" t="inlineStr">
        <is>
          <t>2017-12-05</t>
        </is>
      </c>
      <c r="C2079" t="inlineStr">
        <is>
          <t>2017-12</t>
        </is>
      </c>
      <c r="D2079" t="inlineStr">
        <is>
          <t>GO</t>
        </is>
      </c>
      <c r="E2079" t="inlineStr">
        <is>
          <t>health_beauty</t>
        </is>
      </c>
      <c r="F2079" t="n">
        <v>2</v>
      </c>
      <c r="G2079" t="n">
        <v>58.9</v>
      </c>
      <c r="H2079" t="n">
        <v>28.2</v>
      </c>
      <c r="I2079" t="inlineStr">
        <is>
          <t>voucher</t>
        </is>
      </c>
      <c r="J2079" t="n">
        <v>23</v>
      </c>
      <c r="K2079" t="inlineStr">
        <is>
          <t>On Time</t>
        </is>
      </c>
      <c r="L2079" t="n">
        <v>3</v>
      </c>
      <c r="M2079">
        <f>VLOOKUP(D2079,State_Lookup!$A$2:$B$28,2,FALSE)</f>
        <v/>
      </c>
    </row>
    <row r="2080">
      <c r="A2080" t="inlineStr">
        <is>
          <t>13d37da7780bd1fb1eca0512a3e75f00</t>
        </is>
      </c>
      <c r="B2080" t="inlineStr">
        <is>
          <t>2017-12-05</t>
        </is>
      </c>
      <c r="C2080" t="inlineStr">
        <is>
          <t>2017-12</t>
        </is>
      </c>
      <c r="D2080" t="inlineStr">
        <is>
          <t>RJ</t>
        </is>
      </c>
      <c r="E2080" t="inlineStr">
        <is>
          <t>pet_shop</t>
        </is>
      </c>
      <c r="F2080" t="n">
        <v>1</v>
      </c>
      <c r="G2080" t="n">
        <v>29.9</v>
      </c>
      <c r="H2080" t="n">
        <v>16.6</v>
      </c>
      <c r="I2080" t="inlineStr">
        <is>
          <t>voucher</t>
        </is>
      </c>
      <c r="J2080" t="n">
        <v>36</v>
      </c>
      <c r="K2080" t="inlineStr">
        <is>
          <t>Late</t>
        </is>
      </c>
      <c r="L2080" t="n">
        <v>1</v>
      </c>
      <c r="M2080">
        <f>VLOOKUP(D2080,State_Lookup!$A$2:$B$28,2,FALSE)</f>
        <v/>
      </c>
    </row>
    <row r="2081">
      <c r="A2081" t="inlineStr">
        <is>
          <t>ad192211a3b7e6018ffdea3e5fef1444</t>
        </is>
      </c>
      <c r="B2081" t="inlineStr">
        <is>
          <t>2017-12-05</t>
        </is>
      </c>
      <c r="C2081" t="inlineStr">
        <is>
          <t>2017-12</t>
        </is>
      </c>
      <c r="D2081" t="inlineStr">
        <is>
          <t>SP</t>
        </is>
      </c>
      <c r="E2081" t="inlineStr">
        <is>
          <t>sports_leisure</t>
        </is>
      </c>
      <c r="F2081" t="n">
        <v>1</v>
      </c>
      <c r="G2081" t="n">
        <v>67.90000000000001</v>
      </c>
      <c r="H2081" t="n">
        <v>11.98</v>
      </c>
      <c r="I2081" t="inlineStr">
        <is>
          <t>credit_card</t>
        </is>
      </c>
      <c r="J2081" t="n">
        <v>6</v>
      </c>
      <c r="K2081" t="inlineStr">
        <is>
          <t>On Time</t>
        </is>
      </c>
      <c r="L2081" t="n">
        <v>5</v>
      </c>
      <c r="M2081">
        <f>VLOOKUP(D2081,State_Lookup!$A$2:$B$28,2,FALSE)</f>
        <v/>
      </c>
    </row>
    <row r="2082">
      <c r="A2082" t="inlineStr">
        <is>
          <t>9d3496ddb05aea6b6b9a675bfa89e5ad</t>
        </is>
      </c>
      <c r="B2082" t="inlineStr">
        <is>
          <t>2017-12-05</t>
        </is>
      </c>
      <c r="C2082" t="inlineStr">
        <is>
          <t>2017-12</t>
        </is>
      </c>
      <c r="D2082" t="inlineStr">
        <is>
          <t>SP</t>
        </is>
      </c>
      <c r="E2082" t="inlineStr">
        <is>
          <t>housewares</t>
        </is>
      </c>
      <c r="F2082" t="n">
        <v>1</v>
      </c>
      <c r="G2082" t="n">
        <v>18.8</v>
      </c>
      <c r="H2082" t="n">
        <v>7.78</v>
      </c>
      <c r="I2082" t="inlineStr">
        <is>
          <t>credit_card</t>
        </is>
      </c>
      <c r="J2082" t="n">
        <v>6</v>
      </c>
      <c r="K2082" t="inlineStr">
        <is>
          <t>On Time</t>
        </is>
      </c>
      <c r="L2082" t="n">
        <v>5</v>
      </c>
      <c r="M2082">
        <f>VLOOKUP(D2082,State_Lookup!$A$2:$B$28,2,FALSE)</f>
        <v/>
      </c>
    </row>
    <row r="2083">
      <c r="A2083" t="inlineStr">
        <is>
          <t>eb270c4cbf3671961f3883e8b888571b</t>
        </is>
      </c>
      <c r="B2083" t="inlineStr">
        <is>
          <t>2017-12-06</t>
        </is>
      </c>
      <c r="C2083" t="inlineStr">
        <is>
          <t>2017-12</t>
        </is>
      </c>
      <c r="D2083" t="inlineStr">
        <is>
          <t>RJ</t>
        </is>
      </c>
      <c r="E2083" t="inlineStr">
        <is>
          <t>electronics</t>
        </is>
      </c>
      <c r="F2083" t="n">
        <v>1</v>
      </c>
      <c r="G2083" t="n">
        <v>89.90000000000001</v>
      </c>
      <c r="H2083" t="n">
        <v>17.07</v>
      </c>
      <c r="I2083" t="inlineStr">
        <is>
          <t>boleto</t>
        </is>
      </c>
      <c r="J2083" t="n">
        <v>16</v>
      </c>
      <c r="K2083" t="inlineStr">
        <is>
          <t>On Time</t>
        </is>
      </c>
      <c r="L2083" t="n">
        <v>3</v>
      </c>
      <c r="M2083">
        <f>VLOOKUP(D2083,State_Lookup!$A$2:$B$28,2,FALSE)</f>
        <v/>
      </c>
    </row>
    <row r="2084">
      <c r="A2084" t="inlineStr">
        <is>
          <t>a698eb7ffd8072c3664a4950b259ff0b</t>
        </is>
      </c>
      <c r="B2084" t="inlineStr">
        <is>
          <t>2017-12-06</t>
        </is>
      </c>
      <c r="C2084" t="inlineStr">
        <is>
          <t>2017-12</t>
        </is>
      </c>
      <c r="D2084" t="inlineStr">
        <is>
          <t>SP</t>
        </is>
      </c>
      <c r="E2084" t="inlineStr">
        <is>
          <t>health_beauty</t>
        </is>
      </c>
      <c r="F2084" t="n">
        <v>1</v>
      </c>
      <c r="G2084" t="n">
        <v>49</v>
      </c>
      <c r="H2084" t="n">
        <v>8.109999999999999</v>
      </c>
      <c r="I2084" t="inlineStr">
        <is>
          <t>boleto</t>
        </is>
      </c>
      <c r="J2084" t="n">
        <v>5</v>
      </c>
      <c r="K2084" t="inlineStr">
        <is>
          <t>On Time</t>
        </is>
      </c>
      <c r="L2084" t="n">
        <v>5</v>
      </c>
      <c r="M2084">
        <f>VLOOKUP(D2084,State_Lookup!$A$2:$B$28,2,FALSE)</f>
        <v/>
      </c>
    </row>
    <row r="2085">
      <c r="A2085" t="inlineStr">
        <is>
          <t>70607d8252a17da1eece85cc656be12f</t>
        </is>
      </c>
      <c r="B2085" t="inlineStr">
        <is>
          <t>2017-12-06</t>
        </is>
      </c>
      <c r="C2085" t="inlineStr">
        <is>
          <t>2017-12</t>
        </is>
      </c>
      <c r="D2085" t="inlineStr">
        <is>
          <t>SP</t>
        </is>
      </c>
      <c r="E2085" t="inlineStr">
        <is>
          <t>cool_stuff</t>
        </is>
      </c>
      <c r="F2085" t="n">
        <v>1</v>
      </c>
      <c r="G2085" t="n">
        <v>144.99</v>
      </c>
      <c r="H2085" t="n">
        <v>12.22</v>
      </c>
      <c r="I2085" t="inlineStr">
        <is>
          <t>credit_card</t>
        </is>
      </c>
      <c r="J2085" t="n">
        <v>5</v>
      </c>
      <c r="K2085" t="inlineStr">
        <is>
          <t>On Time</t>
        </is>
      </c>
      <c r="L2085" t="n">
        <v>5</v>
      </c>
      <c r="M2085">
        <f>VLOOKUP(D2085,State_Lookup!$A$2:$B$28,2,FALSE)</f>
        <v/>
      </c>
    </row>
    <row r="2086">
      <c r="A2086" t="inlineStr">
        <is>
          <t>969d261a3f4c639b3acdc0ba090fc039</t>
        </is>
      </c>
      <c r="B2086" t="inlineStr">
        <is>
          <t>2017-12-06</t>
        </is>
      </c>
      <c r="C2086" t="inlineStr">
        <is>
          <t>2017-12</t>
        </is>
      </c>
      <c r="D2086" t="inlineStr">
        <is>
          <t>BA</t>
        </is>
      </c>
      <c r="E2086" t="inlineStr">
        <is>
          <t>office_furniture</t>
        </is>
      </c>
      <c r="F2086" t="n">
        <v>1</v>
      </c>
      <c r="G2086" t="n">
        <v>139.99</v>
      </c>
      <c r="H2086" t="n">
        <v>38.5</v>
      </c>
      <c r="I2086" t="inlineStr">
        <is>
          <t>credit_card</t>
        </is>
      </c>
      <c r="J2086" t="n">
        <v>33</v>
      </c>
      <c r="K2086" t="inlineStr">
        <is>
          <t>On Time</t>
        </is>
      </c>
      <c r="L2086" t="n">
        <v>5</v>
      </c>
      <c r="M2086">
        <f>VLOOKUP(D2086,State_Lookup!$A$2:$B$28,2,FALSE)</f>
        <v/>
      </c>
    </row>
    <row r="2087">
      <c r="A2087" t="inlineStr">
        <is>
          <t>9526afac09af0c00e87b74eb7290b6ec</t>
        </is>
      </c>
      <c r="B2087" t="inlineStr">
        <is>
          <t>2017-12-06</t>
        </is>
      </c>
      <c r="C2087" t="inlineStr">
        <is>
          <t>2017-12</t>
        </is>
      </c>
      <c r="D2087" t="inlineStr">
        <is>
          <t>SP</t>
        </is>
      </c>
      <c r="E2087" t="inlineStr">
        <is>
          <t>baby</t>
        </is>
      </c>
      <c r="F2087" t="n">
        <v>1</v>
      </c>
      <c r="G2087" t="n">
        <v>14.9</v>
      </c>
      <c r="H2087" t="n">
        <v>16.11</v>
      </c>
      <c r="I2087" t="inlineStr">
        <is>
          <t>credit_card</t>
        </is>
      </c>
      <c r="J2087" t="n">
        <v>12</v>
      </c>
      <c r="K2087" t="inlineStr">
        <is>
          <t>On Time</t>
        </is>
      </c>
      <c r="L2087" t="n">
        <v>3</v>
      </c>
      <c r="M2087">
        <f>VLOOKUP(D2087,State_Lookup!$A$2:$B$28,2,FALSE)</f>
        <v/>
      </c>
    </row>
    <row r="2088">
      <c r="A2088" t="inlineStr">
        <is>
          <t>dd04e5bf2ed0f48d340eb1b2820dcb7b</t>
        </is>
      </c>
      <c r="B2088" t="inlineStr">
        <is>
          <t>2017-12-06</t>
        </is>
      </c>
      <c r="C2088" t="inlineStr">
        <is>
          <t>2017-12</t>
        </is>
      </c>
      <c r="D2088" t="inlineStr">
        <is>
          <t>RJ</t>
        </is>
      </c>
      <c r="E2088" t="inlineStr">
        <is>
          <t>health_beauty</t>
        </is>
      </c>
      <c r="F2088" t="n">
        <v>1</v>
      </c>
      <c r="G2088" t="n">
        <v>326.16</v>
      </c>
      <c r="H2088" t="n">
        <v>33.03</v>
      </c>
      <c r="I2088" t="inlineStr">
        <is>
          <t>credit_card</t>
        </is>
      </c>
      <c r="J2088" t="n">
        <v>37</v>
      </c>
      <c r="K2088" t="inlineStr">
        <is>
          <t>Late</t>
        </is>
      </c>
      <c r="L2088" t="n">
        <v>1</v>
      </c>
      <c r="M2088">
        <f>VLOOKUP(D2088,State_Lookup!$A$2:$B$28,2,FALSE)</f>
        <v/>
      </c>
    </row>
    <row r="2089">
      <c r="A2089" t="inlineStr">
        <is>
          <t>5b7906a5a90957b0020ae90b2d7caf1b</t>
        </is>
      </c>
      <c r="B2089" t="inlineStr">
        <is>
          <t>2017-12-06</t>
        </is>
      </c>
      <c r="C2089" t="inlineStr">
        <is>
          <t>2017-12</t>
        </is>
      </c>
      <c r="D2089" t="inlineStr">
        <is>
          <t>MG</t>
        </is>
      </c>
      <c r="E2089" t="inlineStr">
        <is>
          <t>cool_stuff</t>
        </is>
      </c>
      <c r="F2089" t="n">
        <v>5</v>
      </c>
      <c r="G2089" t="n">
        <v>59.95</v>
      </c>
      <c r="H2089" t="n">
        <v>70.48</v>
      </c>
      <c r="I2089" t="inlineStr">
        <is>
          <t>boleto</t>
        </is>
      </c>
      <c r="J2089" t="n">
        <v>5</v>
      </c>
      <c r="K2089" t="inlineStr">
        <is>
          <t>On Time</t>
        </is>
      </c>
      <c r="L2089" t="n">
        <v>5</v>
      </c>
      <c r="M2089">
        <f>VLOOKUP(D2089,State_Lookup!$A$2:$B$28,2,FALSE)</f>
        <v/>
      </c>
    </row>
    <row r="2090">
      <c r="A2090" t="inlineStr">
        <is>
          <t>58be29292eff76e98cd5063f83ed7c51</t>
        </is>
      </c>
      <c r="B2090" t="inlineStr">
        <is>
          <t>2017-12-06</t>
        </is>
      </c>
      <c r="C2090" t="inlineStr">
        <is>
          <t>2017-12</t>
        </is>
      </c>
      <c r="D2090" t="inlineStr">
        <is>
          <t>RS</t>
        </is>
      </c>
      <c r="E2090" t="inlineStr">
        <is>
          <t>auto</t>
        </is>
      </c>
      <c r="F2090" t="n">
        <v>1</v>
      </c>
      <c r="G2090" t="n">
        <v>559</v>
      </c>
      <c r="H2090" t="n">
        <v>37.27</v>
      </c>
      <c r="I2090" t="inlineStr">
        <is>
          <t>boleto</t>
        </is>
      </c>
      <c r="J2090" t="n">
        <v>34</v>
      </c>
      <c r="K2090" t="inlineStr">
        <is>
          <t>Late</t>
        </is>
      </c>
      <c r="L2090" t="n">
        <v>3</v>
      </c>
      <c r="M2090">
        <f>VLOOKUP(D2090,State_Lookup!$A$2:$B$28,2,FALSE)</f>
        <v/>
      </c>
    </row>
    <row r="2091">
      <c r="A2091" t="inlineStr">
        <is>
          <t>c4d21595038e045af516cfd9f1496c2d</t>
        </is>
      </c>
      <c r="B2091" t="inlineStr">
        <is>
          <t>2017-12-06</t>
        </is>
      </c>
      <c r="C2091" t="inlineStr">
        <is>
          <t>2017-12</t>
        </is>
      </c>
      <c r="D2091" t="inlineStr">
        <is>
          <t>RJ</t>
        </is>
      </c>
      <c r="E2091" t="inlineStr">
        <is>
          <t>cool_stuff</t>
        </is>
      </c>
      <c r="F2091" t="n">
        <v>1</v>
      </c>
      <c r="G2091" t="n">
        <v>599</v>
      </c>
      <c r="H2091" t="n">
        <v>20.44</v>
      </c>
      <c r="I2091" t="inlineStr">
        <is>
          <t>credit_card</t>
        </is>
      </c>
      <c r="J2091" t="n">
        <v>14</v>
      </c>
      <c r="K2091" t="inlineStr">
        <is>
          <t>On Time</t>
        </is>
      </c>
      <c r="L2091" t="n">
        <v>5</v>
      </c>
      <c r="M2091">
        <f>VLOOKUP(D2091,State_Lookup!$A$2:$B$28,2,FALSE)</f>
        <v/>
      </c>
    </row>
    <row r="2092">
      <c r="A2092" t="inlineStr">
        <is>
          <t>bd68fa144029a95327200fd368b4f4bb</t>
        </is>
      </c>
      <c r="B2092" t="inlineStr">
        <is>
          <t>2017-12-06</t>
        </is>
      </c>
      <c r="C2092" t="inlineStr">
        <is>
          <t>2017-12</t>
        </is>
      </c>
      <c r="D2092" t="inlineStr">
        <is>
          <t>SP</t>
        </is>
      </c>
      <c r="E2092" t="inlineStr">
        <is>
          <t>health_beauty</t>
        </is>
      </c>
      <c r="F2092" t="n">
        <v>1</v>
      </c>
      <c r="G2092" t="n">
        <v>449</v>
      </c>
      <c r="H2092" t="n">
        <v>19.39</v>
      </c>
      <c r="I2092" t="inlineStr">
        <is>
          <t>credit_card</t>
        </is>
      </c>
      <c r="J2092" t="n">
        <v>10</v>
      </c>
      <c r="K2092" t="inlineStr">
        <is>
          <t>On Time</t>
        </is>
      </c>
      <c r="L2092" t="n">
        <v>5</v>
      </c>
      <c r="M2092">
        <f>VLOOKUP(D2092,State_Lookup!$A$2:$B$28,2,FALSE)</f>
        <v/>
      </c>
    </row>
    <row r="2093">
      <c r="A2093" t="inlineStr">
        <is>
          <t>a8aeb93e160470d999c4ead1c7702124</t>
        </is>
      </c>
      <c r="B2093" t="inlineStr">
        <is>
          <t>2017-12-06</t>
        </is>
      </c>
      <c r="C2093" t="inlineStr">
        <is>
          <t>2017-12</t>
        </is>
      </c>
      <c r="D2093" t="inlineStr">
        <is>
          <t>SP</t>
        </is>
      </c>
      <c r="E2093" t="inlineStr">
        <is>
          <t>health_beauty</t>
        </is>
      </c>
      <c r="F2093" t="n">
        <v>1</v>
      </c>
      <c r="G2093" t="n">
        <v>39.9</v>
      </c>
      <c r="H2093" t="n">
        <v>11.85</v>
      </c>
      <c r="I2093" t="inlineStr">
        <is>
          <t>boleto</t>
        </is>
      </c>
      <c r="J2093" t="n">
        <v>7</v>
      </c>
      <c r="K2093" t="inlineStr">
        <is>
          <t>On Time</t>
        </is>
      </c>
      <c r="L2093" t="n">
        <v>5</v>
      </c>
      <c r="M2093">
        <f>VLOOKUP(D2093,State_Lookup!$A$2:$B$28,2,FALSE)</f>
        <v/>
      </c>
    </row>
    <row r="2094">
      <c r="A2094" t="inlineStr">
        <is>
          <t>68b12ff83359aac4ddb4bcf1244b3a66</t>
        </is>
      </c>
      <c r="B2094" t="inlineStr">
        <is>
          <t>2017-12-06</t>
        </is>
      </c>
      <c r="C2094" t="inlineStr">
        <is>
          <t>2017-12</t>
        </is>
      </c>
      <c r="D2094" t="inlineStr">
        <is>
          <t>SP</t>
        </is>
      </c>
      <c r="E2094" t="inlineStr">
        <is>
          <t>fashion_underwear_beach</t>
        </is>
      </c>
      <c r="F2094" t="n">
        <v>1</v>
      </c>
      <c r="G2094" t="n">
        <v>49.9</v>
      </c>
      <c r="H2094" t="n">
        <v>11.85</v>
      </c>
      <c r="I2094" t="inlineStr">
        <is>
          <t>boleto</t>
        </is>
      </c>
      <c r="J2094" t="n">
        <v>11</v>
      </c>
      <c r="K2094" t="inlineStr">
        <is>
          <t>On Time</t>
        </is>
      </c>
      <c r="L2094" t="n">
        <v>5</v>
      </c>
      <c r="M2094">
        <f>VLOOKUP(D2094,State_Lookup!$A$2:$B$28,2,FALSE)</f>
        <v/>
      </c>
    </row>
    <row r="2095">
      <c r="A2095" t="inlineStr">
        <is>
          <t>a57e5933aecc63699d3d4657af21b9ad</t>
        </is>
      </c>
      <c r="B2095" t="inlineStr">
        <is>
          <t>2017-12-07</t>
        </is>
      </c>
      <c r="C2095" t="inlineStr">
        <is>
          <t>2017-12</t>
        </is>
      </c>
      <c r="D2095" t="inlineStr">
        <is>
          <t>DF</t>
        </is>
      </c>
      <c r="E2095" t="inlineStr">
        <is>
          <t>sports_leisure</t>
        </is>
      </c>
      <c r="F2095" t="n">
        <v>1</v>
      </c>
      <c r="G2095" t="n">
        <v>45.9</v>
      </c>
      <c r="H2095" t="n">
        <v>14.1</v>
      </c>
      <c r="I2095" t="inlineStr">
        <is>
          <t>boleto</t>
        </is>
      </c>
      <c r="J2095" t="n">
        <v>13</v>
      </c>
      <c r="K2095" t="inlineStr">
        <is>
          <t>On Time</t>
        </is>
      </c>
      <c r="L2095" t="n">
        <v>5</v>
      </c>
      <c r="M2095">
        <f>VLOOKUP(D2095,State_Lookup!$A$2:$B$28,2,FALSE)</f>
        <v/>
      </c>
    </row>
    <row r="2096">
      <c r="A2096" t="inlineStr">
        <is>
          <t>196c08d79ccead358a5de691d9e86ffc</t>
        </is>
      </c>
      <c r="B2096" t="inlineStr">
        <is>
          <t>2017-12-07</t>
        </is>
      </c>
      <c r="C2096" t="inlineStr">
        <is>
          <t>2017-12</t>
        </is>
      </c>
      <c r="D2096" t="inlineStr">
        <is>
          <t>MG</t>
        </is>
      </c>
      <c r="E2096" t="inlineStr">
        <is>
          <t>health_beauty</t>
        </is>
      </c>
      <c r="F2096" t="n">
        <v>1</v>
      </c>
      <c r="G2096" t="n">
        <v>89.98999999999999</v>
      </c>
      <c r="H2096" t="n">
        <v>16.39</v>
      </c>
      <c r="I2096" t="inlineStr">
        <is>
          <t>credit_card</t>
        </is>
      </c>
      <c r="J2096" t="n">
        <v>7</v>
      </c>
      <c r="K2096" t="inlineStr">
        <is>
          <t>On Time</t>
        </is>
      </c>
      <c r="L2096" t="n">
        <v>5</v>
      </c>
      <c r="M2096">
        <f>VLOOKUP(D2096,State_Lookup!$A$2:$B$28,2,FALSE)</f>
        <v/>
      </c>
    </row>
    <row r="2097">
      <c r="A2097" t="inlineStr">
        <is>
          <t>413570abe3d3b2e99c63f5d9ceadb6b3</t>
        </is>
      </c>
      <c r="B2097" t="inlineStr">
        <is>
          <t>2017-12-07</t>
        </is>
      </c>
      <c r="C2097" t="inlineStr">
        <is>
          <t>2017-12</t>
        </is>
      </c>
      <c r="D2097" t="inlineStr">
        <is>
          <t>MS</t>
        </is>
      </c>
      <c r="E2097" t="inlineStr">
        <is>
          <t>toys</t>
        </is>
      </c>
      <c r="F2097" t="n">
        <v>3</v>
      </c>
      <c r="G2097" t="n">
        <v>212.91</v>
      </c>
      <c r="H2097" t="n">
        <v>53.25</v>
      </c>
      <c r="I2097" t="inlineStr">
        <is>
          <t>credit_card</t>
        </is>
      </c>
      <c r="J2097" t="n">
        <v>16</v>
      </c>
      <c r="K2097" t="inlineStr">
        <is>
          <t>On Time</t>
        </is>
      </c>
      <c r="L2097" t="n">
        <v>1</v>
      </c>
      <c r="M2097">
        <f>VLOOKUP(D2097,State_Lookup!$A$2:$B$28,2,FALSE)</f>
        <v/>
      </c>
    </row>
    <row r="2098">
      <c r="A2098" t="inlineStr">
        <is>
          <t>d931bcdb789d6460815d187628a45ea0</t>
        </is>
      </c>
      <c r="B2098" t="inlineStr">
        <is>
          <t>2017-12-07</t>
        </is>
      </c>
      <c r="C2098" t="inlineStr">
        <is>
          <t>2017-12</t>
        </is>
      </c>
      <c r="D2098" t="inlineStr">
        <is>
          <t>RJ</t>
        </is>
      </c>
      <c r="E2098" t="inlineStr">
        <is>
          <t>home_appliances</t>
        </is>
      </c>
      <c r="F2098" t="n">
        <v>1</v>
      </c>
      <c r="G2098" t="n">
        <v>15.75</v>
      </c>
      <c r="H2098" t="n">
        <v>15.1</v>
      </c>
      <c r="I2098" t="inlineStr">
        <is>
          <t>credit_card</t>
        </is>
      </c>
      <c r="J2098" t="n">
        <v>33</v>
      </c>
      <c r="K2098" t="inlineStr">
        <is>
          <t>On Time</t>
        </is>
      </c>
      <c r="L2098" t="n">
        <v>4</v>
      </c>
      <c r="M2098">
        <f>VLOOKUP(D2098,State_Lookup!$A$2:$B$28,2,FALSE)</f>
        <v/>
      </c>
    </row>
    <row r="2099">
      <c r="A2099" t="inlineStr">
        <is>
          <t>bca67f1d036be009d17824489da2f178</t>
        </is>
      </c>
      <c r="B2099" t="inlineStr">
        <is>
          <t>2017-12-07</t>
        </is>
      </c>
      <c r="C2099" t="inlineStr">
        <is>
          <t>2017-12</t>
        </is>
      </c>
      <c r="D2099" t="inlineStr">
        <is>
          <t>SP</t>
        </is>
      </c>
      <c r="E2099" t="inlineStr">
        <is>
          <t>baby</t>
        </is>
      </c>
      <c r="F2099" t="n">
        <v>1</v>
      </c>
      <c r="G2099" t="n">
        <v>134.9</v>
      </c>
      <c r="H2099" t="n">
        <v>10.16</v>
      </c>
      <c r="I2099" t="inlineStr">
        <is>
          <t>credit_card</t>
        </is>
      </c>
      <c r="J2099" t="n">
        <v>6</v>
      </c>
      <c r="K2099" t="inlineStr">
        <is>
          <t>On Time</t>
        </is>
      </c>
      <c r="L2099" t="n">
        <v>5</v>
      </c>
      <c r="M2099">
        <f>VLOOKUP(D2099,State_Lookup!$A$2:$B$28,2,FALSE)</f>
        <v/>
      </c>
    </row>
    <row r="2100">
      <c r="A2100" t="inlineStr">
        <is>
          <t>80b77c666e1dab43571417e42bc149e5</t>
        </is>
      </c>
      <c r="B2100" t="inlineStr">
        <is>
          <t>2017-12-07</t>
        </is>
      </c>
      <c r="C2100" t="inlineStr">
        <is>
          <t>2017-12</t>
        </is>
      </c>
      <c r="D2100" t="inlineStr">
        <is>
          <t>MG</t>
        </is>
      </c>
      <c r="E2100" t="inlineStr">
        <is>
          <t>telephony</t>
        </is>
      </c>
      <c r="F2100" t="n">
        <v>1</v>
      </c>
      <c r="G2100" t="n">
        <v>39.99</v>
      </c>
      <c r="H2100" t="n">
        <v>15.1</v>
      </c>
      <c r="I2100" t="inlineStr">
        <is>
          <t>credit_card</t>
        </is>
      </c>
      <c r="J2100" t="n">
        <v>12</v>
      </c>
      <c r="K2100" t="inlineStr">
        <is>
          <t>On Time</t>
        </is>
      </c>
      <c r="L2100" t="n">
        <v>1</v>
      </c>
      <c r="M2100">
        <f>VLOOKUP(D2100,State_Lookup!$A$2:$B$28,2,FALSE)</f>
        <v/>
      </c>
    </row>
    <row r="2101">
      <c r="A2101" t="inlineStr">
        <is>
          <t>857699cd8c2658e12a5870b9b54eadfb</t>
        </is>
      </c>
      <c r="B2101" t="inlineStr">
        <is>
          <t>2017-12-07</t>
        </is>
      </c>
      <c r="C2101" t="inlineStr">
        <is>
          <t>2017-12</t>
        </is>
      </c>
      <c r="D2101" t="inlineStr">
        <is>
          <t>BA</t>
        </is>
      </c>
      <c r="E2101" t="inlineStr">
        <is>
          <t>stationery</t>
        </is>
      </c>
      <c r="F2101" t="n">
        <v>1</v>
      </c>
      <c r="G2101" t="n">
        <v>189.99</v>
      </c>
      <c r="H2101" t="n">
        <v>20.57</v>
      </c>
      <c r="I2101" t="inlineStr">
        <is>
          <t>credit_card</t>
        </is>
      </c>
      <c r="J2101" t="n">
        <v>39</v>
      </c>
      <c r="K2101" t="inlineStr">
        <is>
          <t>Late</t>
        </is>
      </c>
      <c r="L2101" t="n">
        <v>3</v>
      </c>
      <c r="M2101">
        <f>VLOOKUP(D2101,State_Lookup!$A$2:$B$28,2,FALSE)</f>
        <v/>
      </c>
    </row>
    <row r="2102">
      <c r="A2102" t="inlineStr">
        <is>
          <t>df30936d84a3371e34e3180c4fa953e3</t>
        </is>
      </c>
      <c r="B2102" t="inlineStr">
        <is>
          <t>2017-12-07</t>
        </is>
      </c>
      <c r="C2102" t="inlineStr">
        <is>
          <t>2017-12</t>
        </is>
      </c>
      <c r="D2102" t="inlineStr">
        <is>
          <t>MG</t>
        </is>
      </c>
      <c r="E2102" t="inlineStr">
        <is>
          <t>electronics</t>
        </is>
      </c>
      <c r="F2102" t="n">
        <v>2</v>
      </c>
      <c r="G2102" t="n">
        <v>25.8</v>
      </c>
      <c r="H2102" t="n">
        <v>30.2</v>
      </c>
      <c r="I2102" t="inlineStr">
        <is>
          <t>credit_card</t>
        </is>
      </c>
      <c r="J2102" t="n">
        <v>21</v>
      </c>
      <c r="K2102" t="inlineStr">
        <is>
          <t>On Time</t>
        </is>
      </c>
      <c r="L2102" t="n">
        <v>1</v>
      </c>
      <c r="M2102">
        <f>VLOOKUP(D2102,State_Lookup!$A$2:$B$28,2,FALSE)</f>
        <v/>
      </c>
    </row>
    <row r="2103">
      <c r="A2103" t="inlineStr">
        <is>
          <t>5f944775bd47e27388f34caaac31649a</t>
        </is>
      </c>
      <c r="B2103" t="inlineStr">
        <is>
          <t>2017-12-07</t>
        </is>
      </c>
      <c r="C2103" t="inlineStr">
        <is>
          <t>2017-12</t>
        </is>
      </c>
      <c r="D2103" t="inlineStr">
        <is>
          <t>SP</t>
        </is>
      </c>
      <c r="E2103" t="inlineStr">
        <is>
          <t>toys</t>
        </is>
      </c>
      <c r="F2103" t="n">
        <v>1</v>
      </c>
      <c r="G2103" t="n">
        <v>69.98999999999999</v>
      </c>
      <c r="H2103" t="n">
        <v>12.83</v>
      </c>
      <c r="I2103" t="inlineStr">
        <is>
          <t>boleto</t>
        </is>
      </c>
      <c r="J2103" t="n">
        <v>20</v>
      </c>
      <c r="K2103" t="inlineStr">
        <is>
          <t>On Time</t>
        </is>
      </c>
      <c r="L2103" t="n">
        <v>5</v>
      </c>
      <c r="M2103">
        <f>VLOOKUP(D2103,State_Lookup!$A$2:$B$28,2,FALSE)</f>
        <v/>
      </c>
    </row>
    <row r="2104">
      <c r="A2104" t="inlineStr">
        <is>
          <t>66aa339665e1726ddd709618f3caf4ef</t>
        </is>
      </c>
      <c r="B2104" t="inlineStr">
        <is>
          <t>2017-12-07</t>
        </is>
      </c>
      <c r="C2104" t="inlineStr">
        <is>
          <t>2017-12</t>
        </is>
      </c>
      <c r="D2104" t="inlineStr">
        <is>
          <t>RJ</t>
        </is>
      </c>
      <c r="E2104" t="inlineStr">
        <is>
          <t>watches_gifts</t>
        </is>
      </c>
      <c r="F2104" t="n">
        <v>1</v>
      </c>
      <c r="G2104" t="n">
        <v>108</v>
      </c>
      <c r="H2104" t="n">
        <v>9.77</v>
      </c>
      <c r="I2104" t="inlineStr">
        <is>
          <t>boleto</t>
        </is>
      </c>
      <c r="J2104" t="n">
        <v>7</v>
      </c>
      <c r="K2104" t="inlineStr">
        <is>
          <t>On Time</t>
        </is>
      </c>
      <c r="L2104" t="n">
        <v>5</v>
      </c>
      <c r="M2104">
        <f>VLOOKUP(D2104,State_Lookup!$A$2:$B$28,2,FALSE)</f>
        <v/>
      </c>
    </row>
    <row r="2105">
      <c r="A2105" t="inlineStr">
        <is>
          <t>06c2f55902daa48386515225a766e7d1</t>
        </is>
      </c>
      <c r="B2105" t="inlineStr">
        <is>
          <t>2017-12-08</t>
        </is>
      </c>
      <c r="C2105" t="inlineStr">
        <is>
          <t>2017-12</t>
        </is>
      </c>
      <c r="D2105" t="inlineStr">
        <is>
          <t>SP</t>
        </is>
      </c>
      <c r="E2105" t="inlineStr">
        <is>
          <t>toys</t>
        </is>
      </c>
      <c r="F2105" t="n">
        <v>1</v>
      </c>
      <c r="G2105" t="n">
        <v>99.90000000000001</v>
      </c>
      <c r="H2105" t="n">
        <v>16.46</v>
      </c>
      <c r="I2105" t="inlineStr">
        <is>
          <t>credit_card</t>
        </is>
      </c>
      <c r="J2105" t="n">
        <v>19</v>
      </c>
      <c r="K2105" t="inlineStr">
        <is>
          <t>On Time</t>
        </is>
      </c>
      <c r="L2105" t="n">
        <v>1</v>
      </c>
      <c r="M2105">
        <f>VLOOKUP(D2105,State_Lookup!$A$2:$B$28,2,FALSE)</f>
        <v/>
      </c>
    </row>
    <row r="2106">
      <c r="A2106" t="inlineStr">
        <is>
          <t>7d111bfefec4ae36c7554a594fea3afa</t>
        </is>
      </c>
      <c r="B2106" t="inlineStr">
        <is>
          <t>2017-12-08</t>
        </is>
      </c>
      <c r="C2106" t="inlineStr">
        <is>
          <t>2017-12</t>
        </is>
      </c>
      <c r="D2106" t="inlineStr">
        <is>
          <t>SP</t>
        </is>
      </c>
      <c r="E2106" t="inlineStr">
        <is>
          <t>sports_leisure</t>
        </is>
      </c>
      <c r="F2106" t="n">
        <v>1</v>
      </c>
      <c r="G2106" t="n">
        <v>99</v>
      </c>
      <c r="H2106" t="n">
        <v>7.95</v>
      </c>
      <c r="I2106" t="inlineStr">
        <is>
          <t>boleto</t>
        </is>
      </c>
      <c r="J2106" t="n">
        <v>7</v>
      </c>
      <c r="K2106" t="inlineStr">
        <is>
          <t>On Time</t>
        </is>
      </c>
      <c r="L2106" t="n">
        <v>5</v>
      </c>
      <c r="M2106">
        <f>VLOOKUP(D2106,State_Lookup!$A$2:$B$28,2,FALSE)</f>
        <v/>
      </c>
    </row>
    <row r="2107">
      <c r="A2107" t="inlineStr">
        <is>
          <t>aa45e41799067f67755e2e4e41925aa3</t>
        </is>
      </c>
      <c r="B2107" t="inlineStr">
        <is>
          <t>2017-12-08</t>
        </is>
      </c>
      <c r="C2107" t="inlineStr">
        <is>
          <t>2017-12</t>
        </is>
      </c>
      <c r="D2107" t="inlineStr">
        <is>
          <t>SP</t>
        </is>
      </c>
      <c r="E2107" t="inlineStr">
        <is>
          <t>sports_leisure</t>
        </is>
      </c>
      <c r="F2107" t="n">
        <v>1</v>
      </c>
      <c r="G2107" t="n">
        <v>149.9</v>
      </c>
      <c r="H2107" t="n">
        <v>21.54</v>
      </c>
      <c r="I2107" t="inlineStr">
        <is>
          <t>credit_card</t>
        </is>
      </c>
      <c r="J2107" t="n">
        <v>9</v>
      </c>
      <c r="K2107" t="inlineStr">
        <is>
          <t>On Time</t>
        </is>
      </c>
      <c r="L2107" t="n">
        <v>5</v>
      </c>
      <c r="M2107">
        <f>VLOOKUP(D2107,State_Lookup!$A$2:$B$28,2,FALSE)</f>
        <v/>
      </c>
    </row>
    <row r="2108">
      <c r="A2108" t="inlineStr">
        <is>
          <t>38b7ab73ffe50166a40179ecf80bfdc9</t>
        </is>
      </c>
      <c r="B2108" t="inlineStr">
        <is>
          <t>2017-12-08</t>
        </is>
      </c>
      <c r="C2108" t="inlineStr">
        <is>
          <t>2017-12</t>
        </is>
      </c>
      <c r="D2108" t="inlineStr">
        <is>
          <t>SP</t>
        </is>
      </c>
      <c r="E2108" t="inlineStr">
        <is>
          <t>perfumery</t>
        </is>
      </c>
      <c r="F2108" t="n">
        <v>1</v>
      </c>
      <c r="G2108" t="n">
        <v>16.9</v>
      </c>
      <c r="H2108" t="n">
        <v>7.78</v>
      </c>
      <c r="I2108" t="inlineStr">
        <is>
          <t>debit_card</t>
        </is>
      </c>
      <c r="J2108" t="n">
        <v>7</v>
      </c>
      <c r="K2108" t="inlineStr">
        <is>
          <t>On Time</t>
        </is>
      </c>
      <c r="L2108" t="n">
        <v>5</v>
      </c>
      <c r="M2108">
        <f>VLOOKUP(D2108,State_Lookup!$A$2:$B$28,2,FALSE)</f>
        <v/>
      </c>
    </row>
    <row r="2109">
      <c r="A2109" t="inlineStr">
        <is>
          <t>1f19e6ce9fb04dda9ce82b2172a84d82</t>
        </is>
      </c>
      <c r="B2109" t="inlineStr">
        <is>
          <t>2017-12-08</t>
        </is>
      </c>
      <c r="C2109" t="inlineStr">
        <is>
          <t>2017-12</t>
        </is>
      </c>
      <c r="D2109" t="inlineStr">
        <is>
          <t>GO</t>
        </is>
      </c>
      <c r="E2109" t="inlineStr">
        <is>
          <t>stationery</t>
        </is>
      </c>
      <c r="F2109" t="n">
        <v>1</v>
      </c>
      <c r="G2109" t="n">
        <v>69</v>
      </c>
      <c r="H2109" t="n">
        <v>15.23</v>
      </c>
      <c r="I2109" t="inlineStr">
        <is>
          <t>credit_card</t>
        </is>
      </c>
      <c r="J2109" t="n">
        <v>34</v>
      </c>
      <c r="K2109" t="inlineStr">
        <is>
          <t>Late</t>
        </is>
      </c>
      <c r="L2109" t="n">
        <v>1</v>
      </c>
      <c r="M2109">
        <f>VLOOKUP(D2109,State_Lookup!$A$2:$B$28,2,FALSE)</f>
        <v/>
      </c>
    </row>
    <row r="2110">
      <c r="A2110" t="inlineStr">
        <is>
          <t>6c20d70e7c720f7895651a703e320b86</t>
        </is>
      </c>
      <c r="B2110" t="inlineStr">
        <is>
          <t>2017-12-08</t>
        </is>
      </c>
      <c r="C2110" t="inlineStr">
        <is>
          <t>2017-12</t>
        </is>
      </c>
      <c r="D2110" t="inlineStr">
        <is>
          <t>SP</t>
        </is>
      </c>
      <c r="E2110" t="inlineStr">
        <is>
          <t>housewares</t>
        </is>
      </c>
      <c r="F2110" t="n">
        <v>1</v>
      </c>
      <c r="G2110" t="n">
        <v>64.98999999999999</v>
      </c>
      <c r="H2110" t="n">
        <v>11.73</v>
      </c>
      <c r="I2110" t="inlineStr">
        <is>
          <t>credit_card</t>
        </is>
      </c>
      <c r="J2110" t="n">
        <v>5</v>
      </c>
      <c r="K2110" t="inlineStr">
        <is>
          <t>On Time</t>
        </is>
      </c>
      <c r="L2110" t="n">
        <v>5</v>
      </c>
      <c r="M2110">
        <f>VLOOKUP(D2110,State_Lookup!$A$2:$B$28,2,FALSE)</f>
        <v/>
      </c>
    </row>
    <row r="2111">
      <c r="A2111" t="inlineStr">
        <is>
          <t>71ffbe37a2e7ac438c81adb916832bba</t>
        </is>
      </c>
      <c r="B2111" t="inlineStr">
        <is>
          <t>2017-12-08</t>
        </is>
      </c>
      <c r="C2111" t="inlineStr">
        <is>
          <t>2017-12</t>
        </is>
      </c>
      <c r="D2111" t="inlineStr">
        <is>
          <t>RJ</t>
        </is>
      </c>
      <c r="E2111" t="inlineStr">
        <is>
          <t>housewares</t>
        </is>
      </c>
      <c r="F2111" t="n">
        <v>1</v>
      </c>
      <c r="G2111" t="n">
        <v>43</v>
      </c>
      <c r="H2111" t="n">
        <v>16.6</v>
      </c>
      <c r="I2111" t="inlineStr">
        <is>
          <t>boleto</t>
        </is>
      </c>
      <c r="J2111" t="n">
        <v>20</v>
      </c>
      <c r="K2111" t="inlineStr">
        <is>
          <t>On Time</t>
        </is>
      </c>
      <c r="L2111" t="n">
        <v>5</v>
      </c>
      <c r="M2111">
        <f>VLOOKUP(D2111,State_Lookup!$A$2:$B$28,2,FALSE)</f>
        <v/>
      </c>
    </row>
    <row r="2112">
      <c r="A2112" t="inlineStr">
        <is>
          <t>70ed97390f0c32ee36ebfb8a421ee1d5</t>
        </is>
      </c>
      <c r="B2112" t="inlineStr">
        <is>
          <t>2017-12-08</t>
        </is>
      </c>
      <c r="C2112" t="inlineStr">
        <is>
          <t>2017-12</t>
        </is>
      </c>
      <c r="D2112" t="inlineStr">
        <is>
          <t>SC</t>
        </is>
      </c>
      <c r="E2112" t="inlineStr">
        <is>
          <t>computers_accessories</t>
        </is>
      </c>
      <c r="F2112" t="n">
        <v>1</v>
      </c>
      <c r="G2112" t="n">
        <v>19.99</v>
      </c>
      <c r="H2112" t="n">
        <v>14.1</v>
      </c>
      <c r="I2112" t="inlineStr">
        <is>
          <t>credit_card</t>
        </is>
      </c>
      <c r="J2112" t="n">
        <v>14</v>
      </c>
      <c r="K2112" t="inlineStr">
        <is>
          <t>On Time</t>
        </is>
      </c>
      <c r="L2112" t="n">
        <v>5</v>
      </c>
      <c r="M2112">
        <f>VLOOKUP(D2112,State_Lookup!$A$2:$B$28,2,FALSE)</f>
        <v/>
      </c>
    </row>
    <row r="2113">
      <c r="A2113" t="inlineStr">
        <is>
          <t>898a25f87470b8e064878de16c52f6bc</t>
        </is>
      </c>
      <c r="B2113" t="inlineStr">
        <is>
          <t>2017-12-08</t>
        </is>
      </c>
      <c r="C2113" t="inlineStr">
        <is>
          <t>2017-12</t>
        </is>
      </c>
      <c r="D2113" t="inlineStr">
        <is>
          <t>SP</t>
        </is>
      </c>
      <c r="E2113" t="inlineStr">
        <is>
          <t>perfumery</t>
        </is>
      </c>
      <c r="F2113" t="n">
        <v>1</v>
      </c>
      <c r="G2113" t="n">
        <v>118</v>
      </c>
      <c r="H2113" t="n">
        <v>8.08</v>
      </c>
      <c r="I2113" t="inlineStr">
        <is>
          <t>credit_card</t>
        </is>
      </c>
      <c r="J2113" t="n">
        <v>3</v>
      </c>
      <c r="K2113" t="inlineStr">
        <is>
          <t>On Time</t>
        </is>
      </c>
      <c r="L2113" t="n">
        <v>4</v>
      </c>
      <c r="M2113">
        <f>VLOOKUP(D2113,State_Lookup!$A$2:$B$28,2,FALSE)</f>
        <v/>
      </c>
    </row>
    <row r="2114">
      <c r="A2114" t="inlineStr">
        <is>
          <t>b9189dcba2f5219bc348356dce47d124</t>
        </is>
      </c>
      <c r="B2114" t="inlineStr">
        <is>
          <t>2017-12-08</t>
        </is>
      </c>
      <c r="C2114" t="inlineStr">
        <is>
          <t>2017-12</t>
        </is>
      </c>
      <c r="D2114" t="inlineStr">
        <is>
          <t>MT</t>
        </is>
      </c>
      <c r="E2114" t="inlineStr">
        <is>
          <t>garden_tools</t>
        </is>
      </c>
      <c r="F2114" t="n">
        <v>1</v>
      </c>
      <c r="G2114" t="n">
        <v>89.98999999999999</v>
      </c>
      <c r="H2114" t="n">
        <v>64.05</v>
      </c>
      <c r="I2114" t="inlineStr">
        <is>
          <t>credit_card</t>
        </is>
      </c>
      <c r="J2114" t="n">
        <v>31</v>
      </c>
      <c r="K2114" t="inlineStr">
        <is>
          <t>On Time</t>
        </is>
      </c>
      <c r="L2114" t="n">
        <v>5</v>
      </c>
      <c r="M2114">
        <f>VLOOKUP(D2114,State_Lookup!$A$2:$B$28,2,FALSE)</f>
        <v/>
      </c>
    </row>
    <row r="2115">
      <c r="A2115" t="inlineStr">
        <is>
          <t>02dec5fbe189e3c2ccd9ba071c6bb78d</t>
        </is>
      </c>
      <c r="B2115" t="inlineStr">
        <is>
          <t>2017-12-08</t>
        </is>
      </c>
      <c r="C2115" t="inlineStr">
        <is>
          <t>2017-12</t>
        </is>
      </c>
      <c r="D2115" t="inlineStr">
        <is>
          <t>SP</t>
        </is>
      </c>
      <c r="E2115" t="inlineStr">
        <is>
          <t>bed_bath_table</t>
        </is>
      </c>
      <c r="F2115" t="n">
        <v>1</v>
      </c>
      <c r="G2115" t="n">
        <v>126</v>
      </c>
      <c r="H2115" t="n">
        <v>13.9</v>
      </c>
      <c r="I2115" t="inlineStr">
        <is>
          <t>credit_card</t>
        </is>
      </c>
      <c r="J2115" t="n">
        <v>20</v>
      </c>
      <c r="K2115" t="inlineStr">
        <is>
          <t>On Time</t>
        </is>
      </c>
      <c r="L2115" t="n">
        <v>5</v>
      </c>
      <c r="M2115">
        <f>VLOOKUP(D2115,State_Lookup!$A$2:$B$28,2,FALSE)</f>
        <v/>
      </c>
    </row>
    <row r="2116">
      <c r="A2116" t="inlineStr">
        <is>
          <t>9b7a83861460257909d451bdab55a720</t>
        </is>
      </c>
      <c r="B2116" t="inlineStr">
        <is>
          <t>2017-12-08</t>
        </is>
      </c>
      <c r="C2116" t="inlineStr">
        <is>
          <t>2017-12</t>
        </is>
      </c>
      <c r="D2116" t="inlineStr">
        <is>
          <t>SP</t>
        </is>
      </c>
      <c r="E2116" t="inlineStr">
        <is>
          <t>unknown</t>
        </is>
      </c>
      <c r="F2116" t="n">
        <v>1</v>
      </c>
      <c r="G2116" t="n">
        <v>169.76</v>
      </c>
      <c r="H2116" t="n">
        <v>12.69</v>
      </c>
      <c r="I2116" t="inlineStr">
        <is>
          <t>credit_card</t>
        </is>
      </c>
      <c r="J2116" t="n">
        <v>20</v>
      </c>
      <c r="K2116" t="inlineStr">
        <is>
          <t>On Time</t>
        </is>
      </c>
      <c r="L2116" t="n">
        <v>5</v>
      </c>
      <c r="M2116">
        <f>VLOOKUP(D2116,State_Lookup!$A$2:$B$28,2,FALSE)</f>
        <v/>
      </c>
    </row>
    <row r="2117">
      <c r="A2117" t="inlineStr">
        <is>
          <t>1eeef7bced6c37a113b31c503ba1cdc4</t>
        </is>
      </c>
      <c r="B2117" t="inlineStr">
        <is>
          <t>2017-12-08</t>
        </is>
      </c>
      <c r="C2117" t="inlineStr">
        <is>
          <t>2017-12</t>
        </is>
      </c>
      <c r="D2117" t="inlineStr">
        <is>
          <t>SP</t>
        </is>
      </c>
      <c r="E2117" t="inlineStr">
        <is>
          <t>perfumery</t>
        </is>
      </c>
      <c r="F2117" t="n">
        <v>1</v>
      </c>
      <c r="G2117" t="n">
        <v>339.9</v>
      </c>
      <c r="H2117" t="n">
        <v>18.14</v>
      </c>
      <c r="I2117" t="inlineStr">
        <is>
          <t>credit_card</t>
        </is>
      </c>
      <c r="J2117" t="n">
        <v>15</v>
      </c>
      <c r="K2117" t="inlineStr">
        <is>
          <t>On Time</t>
        </is>
      </c>
      <c r="L2117" t="n">
        <v>4</v>
      </c>
      <c r="M2117">
        <f>VLOOKUP(D2117,State_Lookup!$A$2:$B$28,2,FALSE)</f>
        <v/>
      </c>
    </row>
    <row r="2118">
      <c r="A2118" t="inlineStr">
        <is>
          <t>90ff532c672099e61c781421d7e8593f</t>
        </is>
      </c>
      <c r="B2118" t="inlineStr">
        <is>
          <t>2017-12-08</t>
        </is>
      </c>
      <c r="C2118" t="inlineStr">
        <is>
          <t>2017-12</t>
        </is>
      </c>
      <c r="D2118" t="inlineStr">
        <is>
          <t>SC</t>
        </is>
      </c>
      <c r="E2118" t="inlineStr">
        <is>
          <t>health_beauty</t>
        </is>
      </c>
      <c r="F2118" t="n">
        <v>1</v>
      </c>
      <c r="G2118" t="n">
        <v>23</v>
      </c>
      <c r="H2118" t="n">
        <v>15.1</v>
      </c>
      <c r="I2118" t="inlineStr">
        <is>
          <t>credit_card</t>
        </is>
      </c>
      <c r="J2118" t="n">
        <v>25</v>
      </c>
      <c r="K2118" t="inlineStr">
        <is>
          <t>On Time</t>
        </is>
      </c>
      <c r="L2118" t="n">
        <v>5</v>
      </c>
      <c r="M2118">
        <f>VLOOKUP(D2118,State_Lookup!$A$2:$B$28,2,FALSE)</f>
        <v/>
      </c>
    </row>
    <row r="2119">
      <c r="A2119" t="inlineStr">
        <is>
          <t>14385cf799c6efba6a9a6d51ea9a1a36</t>
        </is>
      </c>
      <c r="B2119" t="inlineStr">
        <is>
          <t>2017-12-08</t>
        </is>
      </c>
      <c r="C2119" t="inlineStr">
        <is>
          <t>2017-12</t>
        </is>
      </c>
      <c r="D2119" t="inlineStr">
        <is>
          <t>MG</t>
        </is>
      </c>
      <c r="E2119" t="inlineStr">
        <is>
          <t>health_beauty</t>
        </is>
      </c>
      <c r="F2119" t="n">
        <v>1</v>
      </c>
      <c r="G2119" t="n">
        <v>81.90000000000001</v>
      </c>
      <c r="H2119" t="n">
        <v>16.82</v>
      </c>
      <c r="I2119" t="inlineStr">
        <is>
          <t>debit_card</t>
        </is>
      </c>
      <c r="J2119" t="n">
        <v>14</v>
      </c>
      <c r="K2119" t="inlineStr">
        <is>
          <t>On Time</t>
        </is>
      </c>
      <c r="L2119" t="n">
        <v>4</v>
      </c>
      <c r="M2119">
        <f>VLOOKUP(D2119,State_Lookup!$A$2:$B$28,2,FALSE)</f>
        <v/>
      </c>
    </row>
    <row r="2120">
      <c r="A2120" t="inlineStr">
        <is>
          <t>d0c7cbf522cc8fd33f0eede7f124db41</t>
        </is>
      </c>
      <c r="B2120" t="inlineStr">
        <is>
          <t>2017-12-08</t>
        </is>
      </c>
      <c r="C2120" t="inlineStr">
        <is>
          <t>2017-12</t>
        </is>
      </c>
      <c r="D2120" t="inlineStr">
        <is>
          <t>SP</t>
        </is>
      </c>
      <c r="E2120" t="inlineStr">
        <is>
          <t>telephony</t>
        </is>
      </c>
      <c r="F2120" t="n">
        <v>1</v>
      </c>
      <c r="G2120" t="n">
        <v>29.99</v>
      </c>
      <c r="H2120" t="n">
        <v>7.78</v>
      </c>
      <c r="I2120" t="inlineStr">
        <is>
          <t>credit_card</t>
        </is>
      </c>
      <c r="J2120" t="n">
        <v>7</v>
      </c>
      <c r="K2120" t="inlineStr">
        <is>
          <t>On Time</t>
        </is>
      </c>
      <c r="L2120" t="n">
        <v>5</v>
      </c>
      <c r="M2120">
        <f>VLOOKUP(D2120,State_Lookup!$A$2:$B$28,2,FALSE)</f>
        <v/>
      </c>
    </row>
    <row r="2121">
      <c r="A2121" t="inlineStr">
        <is>
          <t>02905bba6aafd777542dacbfa8f4bc2d</t>
        </is>
      </c>
      <c r="B2121" t="inlineStr">
        <is>
          <t>2017-12-09</t>
        </is>
      </c>
      <c r="C2121" t="inlineStr">
        <is>
          <t>2017-12</t>
        </is>
      </c>
      <c r="D2121" t="inlineStr">
        <is>
          <t>SP</t>
        </is>
      </c>
      <c r="E2121" t="inlineStr">
        <is>
          <t>small_appliances</t>
        </is>
      </c>
      <c r="F2121" t="n">
        <v>1</v>
      </c>
      <c r="G2121" t="n">
        <v>48.9</v>
      </c>
      <c r="H2121" t="n">
        <v>17.6</v>
      </c>
      <c r="I2121" t="inlineStr">
        <is>
          <t>credit_card</t>
        </is>
      </c>
      <c r="J2121" t="n">
        <v>17</v>
      </c>
      <c r="K2121" t="inlineStr">
        <is>
          <t>On Time</t>
        </is>
      </c>
      <c r="L2121" t="n">
        <v>5</v>
      </c>
      <c r="M2121">
        <f>VLOOKUP(D2121,State_Lookup!$A$2:$B$28,2,FALSE)</f>
        <v/>
      </c>
    </row>
    <row r="2122">
      <c r="A2122" t="inlineStr">
        <is>
          <t>023af4b88d12c9f3f56bcb55da0450c5</t>
        </is>
      </c>
      <c r="B2122" t="inlineStr">
        <is>
          <t>2017-12-09</t>
        </is>
      </c>
      <c r="C2122" t="inlineStr">
        <is>
          <t>2017-12</t>
        </is>
      </c>
      <c r="D2122" t="inlineStr">
        <is>
          <t>RJ</t>
        </is>
      </c>
      <c r="E2122" t="inlineStr">
        <is>
          <t>stationery</t>
        </is>
      </c>
      <c r="F2122" t="n">
        <v>2</v>
      </c>
      <c r="G2122" t="n">
        <v>178</v>
      </c>
      <c r="H2122" t="n">
        <v>35.74</v>
      </c>
      <c r="I2122" t="inlineStr">
        <is>
          <t>credit_card</t>
        </is>
      </c>
      <c r="J2122" t="n">
        <v>30</v>
      </c>
      <c r="K2122" t="inlineStr">
        <is>
          <t>On Time</t>
        </is>
      </c>
      <c r="L2122" t="n">
        <v>4</v>
      </c>
      <c r="M2122">
        <f>VLOOKUP(D2122,State_Lookup!$A$2:$B$28,2,FALSE)</f>
        <v/>
      </c>
    </row>
    <row r="2123">
      <c r="A2123" t="inlineStr">
        <is>
          <t>e257fe6c043babc3b737247f4f2a88c9</t>
        </is>
      </c>
      <c r="B2123" t="inlineStr">
        <is>
          <t>2017-12-09</t>
        </is>
      </c>
      <c r="C2123" t="inlineStr">
        <is>
          <t>2017-12</t>
        </is>
      </c>
      <c r="D2123" t="inlineStr">
        <is>
          <t>SP</t>
        </is>
      </c>
      <c r="E2123" t="inlineStr">
        <is>
          <t>bed_bath_table</t>
        </is>
      </c>
      <c r="F2123" t="n">
        <v>1</v>
      </c>
      <c r="G2123" t="n">
        <v>119.9</v>
      </c>
      <c r="H2123" t="n">
        <v>13.86</v>
      </c>
      <c r="I2123" t="inlineStr">
        <is>
          <t>credit_card</t>
        </is>
      </c>
      <c r="J2123" t="n">
        <v>8</v>
      </c>
      <c r="K2123" t="inlineStr">
        <is>
          <t>On Time</t>
        </is>
      </c>
      <c r="L2123" t="n">
        <v>5</v>
      </c>
      <c r="M2123">
        <f>VLOOKUP(D2123,State_Lookup!$A$2:$B$28,2,FALSE)</f>
        <v/>
      </c>
    </row>
    <row r="2124">
      <c r="A2124" t="inlineStr">
        <is>
          <t>f3100bed66fcc67bf69111059a3aa4ac</t>
        </is>
      </c>
      <c r="B2124" t="inlineStr">
        <is>
          <t>2017-12-09</t>
        </is>
      </c>
      <c r="C2124" t="inlineStr">
        <is>
          <t>2017-12</t>
        </is>
      </c>
      <c r="D2124" t="inlineStr">
        <is>
          <t>SP</t>
        </is>
      </c>
      <c r="E2124" t="inlineStr">
        <is>
          <t>musical_instruments</t>
        </is>
      </c>
      <c r="F2124" t="n">
        <v>1</v>
      </c>
      <c r="G2124" t="n">
        <v>79.90000000000001</v>
      </c>
      <c r="H2124" t="n">
        <v>11.76</v>
      </c>
      <c r="I2124" t="inlineStr">
        <is>
          <t>credit_card</t>
        </is>
      </c>
      <c r="J2124" t="n">
        <v>3</v>
      </c>
      <c r="K2124" t="inlineStr">
        <is>
          <t>On Time</t>
        </is>
      </c>
      <c r="L2124" t="n">
        <v>2</v>
      </c>
      <c r="M2124">
        <f>VLOOKUP(D2124,State_Lookup!$A$2:$B$28,2,FALSE)</f>
        <v/>
      </c>
    </row>
    <row r="2125">
      <c r="A2125" t="inlineStr">
        <is>
          <t>9ecc7884797c901042fe3114f1e59f5f</t>
        </is>
      </c>
      <c r="B2125" t="inlineStr">
        <is>
          <t>2017-12-09</t>
        </is>
      </c>
      <c r="C2125" t="inlineStr">
        <is>
          <t>2017-12</t>
        </is>
      </c>
      <c r="D2125" t="inlineStr">
        <is>
          <t>ES</t>
        </is>
      </c>
      <c r="E2125" t="inlineStr">
        <is>
          <t>furniture_decor</t>
        </is>
      </c>
      <c r="F2125" t="n">
        <v>1</v>
      </c>
      <c r="G2125" t="n">
        <v>59.99</v>
      </c>
      <c r="H2125" t="n">
        <v>16.18</v>
      </c>
      <c r="I2125" t="inlineStr">
        <is>
          <t>boleto</t>
        </is>
      </c>
      <c r="J2125" t="n">
        <v>24</v>
      </c>
      <c r="K2125" t="inlineStr">
        <is>
          <t>On Time</t>
        </is>
      </c>
      <c r="L2125" t="n">
        <v>5</v>
      </c>
      <c r="M2125">
        <f>VLOOKUP(D2125,State_Lookup!$A$2:$B$28,2,FALSE)</f>
        <v/>
      </c>
    </row>
    <row r="2126">
      <c r="A2126" t="inlineStr">
        <is>
          <t>8ba268235fbb748f118500dc2f8f9781</t>
        </is>
      </c>
      <c r="B2126" t="inlineStr">
        <is>
          <t>2017-12-09</t>
        </is>
      </c>
      <c r="C2126" t="inlineStr">
        <is>
          <t>2017-12</t>
        </is>
      </c>
      <c r="D2126" t="inlineStr">
        <is>
          <t>PR</t>
        </is>
      </c>
      <c r="E2126" t="inlineStr">
        <is>
          <t>bed_bath_table</t>
        </is>
      </c>
      <c r="F2126" t="n">
        <v>1</v>
      </c>
      <c r="G2126" t="n">
        <v>220</v>
      </c>
      <c r="H2126" t="n">
        <v>26.38</v>
      </c>
      <c r="I2126" t="inlineStr">
        <is>
          <t>credit_card</t>
        </is>
      </c>
      <c r="J2126" t="n">
        <v>10</v>
      </c>
      <c r="K2126" t="inlineStr">
        <is>
          <t>On Time</t>
        </is>
      </c>
      <c r="L2126" t="n">
        <v>1</v>
      </c>
      <c r="M2126">
        <f>VLOOKUP(D2126,State_Lookup!$A$2:$B$28,2,FALSE)</f>
        <v/>
      </c>
    </row>
    <row r="2127">
      <c r="A2127" t="inlineStr">
        <is>
          <t>1b2da30f37813b73fff52c5d5f6cbcac</t>
        </is>
      </c>
      <c r="B2127" t="inlineStr">
        <is>
          <t>2017-12-09</t>
        </is>
      </c>
      <c r="C2127" t="inlineStr">
        <is>
          <t>2017-12</t>
        </is>
      </c>
      <c r="D2127" t="inlineStr">
        <is>
          <t>SP</t>
        </is>
      </c>
      <c r="E2127" t="inlineStr">
        <is>
          <t>unknown</t>
        </is>
      </c>
      <c r="F2127" t="n">
        <v>1</v>
      </c>
      <c r="G2127" t="n">
        <v>157.77</v>
      </c>
      <c r="H2127" t="n">
        <v>12.6</v>
      </c>
      <c r="I2127" t="inlineStr">
        <is>
          <t>credit_card</t>
        </is>
      </c>
      <c r="J2127" t="n">
        <v>11</v>
      </c>
      <c r="K2127" t="inlineStr">
        <is>
          <t>On Time</t>
        </is>
      </c>
      <c r="L2127" t="n">
        <v>5</v>
      </c>
      <c r="M2127">
        <f>VLOOKUP(D2127,State_Lookup!$A$2:$B$28,2,FALSE)</f>
        <v/>
      </c>
    </row>
    <row r="2128">
      <c r="A2128" t="inlineStr">
        <is>
          <t>c11daae957ee4447f2aa894fcdf28cac</t>
        </is>
      </c>
      <c r="B2128" t="inlineStr">
        <is>
          <t>2017-12-09</t>
        </is>
      </c>
      <c r="C2128" t="inlineStr">
        <is>
          <t>2017-12</t>
        </is>
      </c>
      <c r="D2128" t="inlineStr">
        <is>
          <t>MG</t>
        </is>
      </c>
      <c r="E2128" t="inlineStr">
        <is>
          <t>electronics</t>
        </is>
      </c>
      <c r="F2128" t="n">
        <v>1</v>
      </c>
      <c r="G2128" t="n">
        <v>13.65</v>
      </c>
      <c r="H2128" t="n">
        <v>15.1</v>
      </c>
      <c r="I2128" t="inlineStr">
        <is>
          <t>credit_card</t>
        </is>
      </c>
      <c r="J2128" t="n">
        <v>18</v>
      </c>
      <c r="K2128" t="inlineStr">
        <is>
          <t>On Time</t>
        </is>
      </c>
      <c r="L2128" t="n">
        <v>3</v>
      </c>
      <c r="M2128">
        <f>VLOOKUP(D2128,State_Lookup!$A$2:$B$28,2,FALSE)</f>
        <v/>
      </c>
    </row>
    <row r="2129">
      <c r="A2129" t="inlineStr">
        <is>
          <t>b96a1d2c7e7e18ae3bfbdfc43366a42d</t>
        </is>
      </c>
      <c r="B2129" t="inlineStr">
        <is>
          <t>2017-12-10</t>
        </is>
      </c>
      <c r="C2129" t="inlineStr">
        <is>
          <t>2017-12</t>
        </is>
      </c>
      <c r="D2129" t="inlineStr">
        <is>
          <t>RJ</t>
        </is>
      </c>
      <c r="E2129" t="inlineStr">
        <is>
          <t>watches_gifts</t>
        </is>
      </c>
      <c r="F2129" t="n">
        <v>1</v>
      </c>
      <c r="G2129" t="n">
        <v>124.9</v>
      </c>
      <c r="H2129" t="n">
        <v>14.62</v>
      </c>
      <c r="I2129" t="inlineStr">
        <is>
          <t>credit_card</t>
        </is>
      </c>
      <c r="J2129" t="n">
        <v>18</v>
      </c>
      <c r="K2129" t="inlineStr">
        <is>
          <t>On Time</t>
        </is>
      </c>
      <c r="L2129" t="n">
        <v>5</v>
      </c>
      <c r="M2129">
        <f>VLOOKUP(D2129,State_Lookup!$A$2:$B$28,2,FALSE)</f>
        <v/>
      </c>
    </row>
    <row r="2130">
      <c r="A2130" t="inlineStr">
        <is>
          <t>d68f3a6decbb8a868a1a87c33c9f50cd</t>
        </is>
      </c>
      <c r="B2130" t="inlineStr">
        <is>
          <t>2017-12-10</t>
        </is>
      </c>
      <c r="C2130" t="inlineStr">
        <is>
          <t>2017-12</t>
        </is>
      </c>
      <c r="D2130" t="inlineStr">
        <is>
          <t>SP</t>
        </is>
      </c>
      <c r="E2130" t="inlineStr">
        <is>
          <t>auto</t>
        </is>
      </c>
      <c r="F2130" t="n">
        <v>1</v>
      </c>
      <c r="G2130" t="n">
        <v>93.90000000000001</v>
      </c>
      <c r="H2130" t="n">
        <v>14.26</v>
      </c>
      <c r="I2130" t="inlineStr">
        <is>
          <t>credit_card</t>
        </is>
      </c>
      <c r="J2130" t="n">
        <v>4</v>
      </c>
      <c r="K2130" t="inlineStr">
        <is>
          <t>On Time</t>
        </is>
      </c>
      <c r="L2130" t="n">
        <v>5</v>
      </c>
      <c r="M2130">
        <f>VLOOKUP(D2130,State_Lookup!$A$2:$B$28,2,FALSE)</f>
        <v/>
      </c>
    </row>
    <row r="2131">
      <c r="A2131" t="inlineStr">
        <is>
          <t>ec3537b6b3607220dc74b6ca4f505e03</t>
        </is>
      </c>
      <c r="B2131" t="inlineStr">
        <is>
          <t>2017-12-10</t>
        </is>
      </c>
      <c r="C2131" t="inlineStr">
        <is>
          <t>2017-12</t>
        </is>
      </c>
      <c r="D2131" t="inlineStr">
        <is>
          <t>PR</t>
        </is>
      </c>
      <c r="E2131" t="inlineStr">
        <is>
          <t>books_technical</t>
        </is>
      </c>
      <c r="F2131" t="n">
        <v>1</v>
      </c>
      <c r="G2131" t="n">
        <v>130.8</v>
      </c>
      <c r="H2131" t="n">
        <v>15.67</v>
      </c>
      <c r="I2131" t="inlineStr">
        <is>
          <t>credit_card</t>
        </is>
      </c>
      <c r="J2131" t="n">
        <v>26</v>
      </c>
      <c r="K2131" t="inlineStr">
        <is>
          <t>On Time</t>
        </is>
      </c>
      <c r="L2131" t="n">
        <v>1</v>
      </c>
      <c r="M2131">
        <f>VLOOKUP(D2131,State_Lookup!$A$2:$B$28,2,FALSE)</f>
        <v/>
      </c>
    </row>
    <row r="2132">
      <c r="A2132" t="inlineStr">
        <is>
          <t>6811f439ad8873c28f8e1138e02229a5</t>
        </is>
      </c>
      <c r="B2132" t="inlineStr">
        <is>
          <t>2017-12-10</t>
        </is>
      </c>
      <c r="C2132" t="inlineStr">
        <is>
          <t>2017-12</t>
        </is>
      </c>
      <c r="D2132" t="inlineStr">
        <is>
          <t>MG</t>
        </is>
      </c>
      <c r="E2132" t="inlineStr">
        <is>
          <t>sports_leisure</t>
        </is>
      </c>
      <c r="F2132" t="n">
        <v>1</v>
      </c>
      <c r="G2132" t="n">
        <v>649</v>
      </c>
      <c r="H2132" t="n">
        <v>20.98</v>
      </c>
      <c r="I2132" t="inlineStr">
        <is>
          <t>credit_card</t>
        </is>
      </c>
      <c r="J2132" t="n">
        <v>9</v>
      </c>
      <c r="K2132" t="inlineStr">
        <is>
          <t>On Time</t>
        </is>
      </c>
      <c r="L2132" t="n">
        <v>5</v>
      </c>
      <c r="M2132">
        <f>VLOOKUP(D2132,State_Lookup!$A$2:$B$28,2,FALSE)</f>
        <v/>
      </c>
    </row>
    <row r="2133">
      <c r="A2133" t="inlineStr">
        <is>
          <t>a2ec8ff90a5ffced9e2d1853bf3cf609</t>
        </is>
      </c>
      <c r="B2133" t="inlineStr">
        <is>
          <t>2017-12-10</t>
        </is>
      </c>
      <c r="C2133" t="inlineStr">
        <is>
          <t>2017-12</t>
        </is>
      </c>
      <c r="D2133" t="inlineStr">
        <is>
          <t>RS</t>
        </is>
      </c>
      <c r="E2133" t="inlineStr">
        <is>
          <t>computers_accessories</t>
        </is>
      </c>
      <c r="F2133" t="n">
        <v>1</v>
      </c>
      <c r="G2133" t="n">
        <v>109.9</v>
      </c>
      <c r="H2133" t="n">
        <v>15.52</v>
      </c>
      <c r="I2133" t="inlineStr">
        <is>
          <t>credit_card</t>
        </is>
      </c>
      <c r="J2133" t="n">
        <v>24</v>
      </c>
      <c r="K2133" t="inlineStr">
        <is>
          <t>On Time</t>
        </is>
      </c>
      <c r="L2133" t="n">
        <v>5</v>
      </c>
      <c r="M2133">
        <f>VLOOKUP(D2133,State_Lookup!$A$2:$B$28,2,FALSE)</f>
        <v/>
      </c>
    </row>
    <row r="2134">
      <c r="A2134" t="inlineStr">
        <is>
          <t>4a7daecdbb69d275f72866f7f8d00448</t>
        </is>
      </c>
      <c r="B2134" t="inlineStr">
        <is>
          <t>2017-12-10</t>
        </is>
      </c>
      <c r="C2134" t="inlineStr">
        <is>
          <t>2017-12</t>
        </is>
      </c>
      <c r="D2134" t="inlineStr">
        <is>
          <t>RJ</t>
        </is>
      </c>
      <c r="E2134" t="inlineStr">
        <is>
          <t>furniture_living_room</t>
        </is>
      </c>
      <c r="F2134" t="n">
        <v>1</v>
      </c>
      <c r="G2134" t="n">
        <v>46.99</v>
      </c>
      <c r="H2134" t="n">
        <v>25.22</v>
      </c>
      <c r="I2134" t="inlineStr">
        <is>
          <t>credit_card</t>
        </is>
      </c>
      <c r="J2134" t="n">
        <v>16</v>
      </c>
      <c r="K2134" t="inlineStr">
        <is>
          <t>On Time</t>
        </is>
      </c>
      <c r="L2134" t="n">
        <v>4</v>
      </c>
      <c r="M2134">
        <f>VLOOKUP(D2134,State_Lookup!$A$2:$B$28,2,FALSE)</f>
        <v/>
      </c>
    </row>
    <row r="2135">
      <c r="A2135" t="inlineStr">
        <is>
          <t>c8bf388d81617b961b598bc9b8b30811</t>
        </is>
      </c>
      <c r="B2135" t="inlineStr">
        <is>
          <t>2017-12-10</t>
        </is>
      </c>
      <c r="C2135" t="inlineStr">
        <is>
          <t>2017-12</t>
        </is>
      </c>
      <c r="D2135" t="inlineStr">
        <is>
          <t>BA</t>
        </is>
      </c>
      <c r="E2135" t="inlineStr">
        <is>
          <t>telephony</t>
        </is>
      </c>
      <c r="F2135" t="n">
        <v>1</v>
      </c>
      <c r="G2135" t="n">
        <v>189.9</v>
      </c>
      <c r="H2135" t="n">
        <v>9.890000000000001</v>
      </c>
      <c r="I2135" t="inlineStr">
        <is>
          <t>credit_card</t>
        </is>
      </c>
      <c r="J2135" t="n">
        <v>3</v>
      </c>
      <c r="K2135" t="inlineStr">
        <is>
          <t>On Time</t>
        </is>
      </c>
      <c r="L2135" t="n">
        <v>5</v>
      </c>
      <c r="M2135">
        <f>VLOOKUP(D2135,State_Lookup!$A$2:$B$28,2,FALSE)</f>
        <v/>
      </c>
    </row>
    <row r="2136">
      <c r="A2136" t="inlineStr">
        <is>
          <t>223b2b4c06ffe3ced7307cad0ebd5e44</t>
        </is>
      </c>
      <c r="B2136" t="inlineStr">
        <is>
          <t>2017-12-11</t>
        </is>
      </c>
      <c r="C2136" t="inlineStr">
        <is>
          <t>2017-12</t>
        </is>
      </c>
      <c r="D2136" t="inlineStr">
        <is>
          <t>MS</t>
        </is>
      </c>
      <c r="E2136" t="inlineStr">
        <is>
          <t>health_beauty</t>
        </is>
      </c>
      <c r="F2136" t="n">
        <v>1</v>
      </c>
      <c r="G2136" t="n">
        <v>159.99</v>
      </c>
      <c r="H2136" t="n">
        <v>20.36</v>
      </c>
      <c r="I2136" t="inlineStr">
        <is>
          <t>credit_card</t>
        </is>
      </c>
      <c r="J2136" t="n">
        <v>16</v>
      </c>
      <c r="K2136" t="inlineStr">
        <is>
          <t>On Time</t>
        </is>
      </c>
      <c r="L2136" t="n">
        <v>5</v>
      </c>
      <c r="M2136">
        <f>VLOOKUP(D2136,State_Lookup!$A$2:$B$28,2,FALSE)</f>
        <v/>
      </c>
    </row>
    <row r="2137">
      <c r="A2137" t="inlineStr">
        <is>
          <t>b6bc67fe4d4fbc4307eafa56be5e4fdd</t>
        </is>
      </c>
      <c r="B2137" t="inlineStr">
        <is>
          <t>2017-12-11</t>
        </is>
      </c>
      <c r="C2137" t="inlineStr">
        <is>
          <t>2017-12</t>
        </is>
      </c>
      <c r="D2137" t="inlineStr">
        <is>
          <t>RJ</t>
        </is>
      </c>
      <c r="E2137" t="inlineStr">
        <is>
          <t>furniture_decor</t>
        </is>
      </c>
      <c r="F2137" t="n">
        <v>1</v>
      </c>
      <c r="G2137" t="n">
        <v>89.90000000000001</v>
      </c>
      <c r="H2137" t="n">
        <v>16.88</v>
      </c>
      <c r="I2137" t="inlineStr">
        <is>
          <t>credit_card</t>
        </is>
      </c>
      <c r="J2137" t="n">
        <v>24</v>
      </c>
      <c r="K2137" t="inlineStr">
        <is>
          <t>Late</t>
        </is>
      </c>
      <c r="L2137" t="n">
        <v>1</v>
      </c>
      <c r="M2137">
        <f>VLOOKUP(D2137,State_Lookup!$A$2:$B$28,2,FALSE)</f>
        <v/>
      </c>
    </row>
    <row r="2138">
      <c r="A2138" t="inlineStr">
        <is>
          <t>c7b1a19d2ae06ca24586ea3d67fb4f38</t>
        </is>
      </c>
      <c r="B2138" t="inlineStr">
        <is>
          <t>2017-12-11</t>
        </is>
      </c>
      <c r="C2138" t="inlineStr">
        <is>
          <t>2017-12</t>
        </is>
      </c>
      <c r="D2138" t="inlineStr">
        <is>
          <t>RJ</t>
        </is>
      </c>
      <c r="E2138" t="inlineStr">
        <is>
          <t>sports_leisure</t>
        </is>
      </c>
      <c r="F2138" t="n">
        <v>1</v>
      </c>
      <c r="G2138" t="n">
        <v>129.9</v>
      </c>
      <c r="H2138" t="n">
        <v>27.16</v>
      </c>
      <c r="I2138" t="inlineStr">
        <is>
          <t>credit_card</t>
        </is>
      </c>
      <c r="J2138" t="n">
        <v>11</v>
      </c>
      <c r="K2138" t="inlineStr">
        <is>
          <t>On Time</t>
        </is>
      </c>
      <c r="L2138" t="n">
        <v>4</v>
      </c>
      <c r="M2138">
        <f>VLOOKUP(D2138,State_Lookup!$A$2:$B$28,2,FALSE)</f>
        <v/>
      </c>
    </row>
    <row r="2139">
      <c r="A2139" t="inlineStr">
        <is>
          <t>beee47428ec6a6984d07930d75eb3c17</t>
        </is>
      </c>
      <c r="B2139" t="inlineStr">
        <is>
          <t>2017-12-11</t>
        </is>
      </c>
      <c r="C2139" t="inlineStr">
        <is>
          <t>2017-12</t>
        </is>
      </c>
      <c r="D2139" t="inlineStr">
        <is>
          <t>BA</t>
        </is>
      </c>
      <c r="E2139" t="inlineStr">
        <is>
          <t>bed_bath_table</t>
        </is>
      </c>
      <c r="F2139" t="n">
        <v>1</v>
      </c>
      <c r="G2139" t="n">
        <v>129.89</v>
      </c>
      <c r="H2139" t="n">
        <v>17.48</v>
      </c>
      <c r="I2139" t="inlineStr">
        <is>
          <t>credit_card</t>
        </is>
      </c>
      <c r="J2139" t="n">
        <v>16</v>
      </c>
      <c r="K2139" t="inlineStr">
        <is>
          <t>On Time</t>
        </is>
      </c>
      <c r="L2139" t="n">
        <v>1</v>
      </c>
      <c r="M2139">
        <f>VLOOKUP(D2139,State_Lookup!$A$2:$B$28,2,FALSE)</f>
        <v/>
      </c>
    </row>
    <row r="2140">
      <c r="A2140" t="inlineStr">
        <is>
          <t>529c6a63825f705864c027436f173560</t>
        </is>
      </c>
      <c r="B2140" t="inlineStr">
        <is>
          <t>2017-12-11</t>
        </is>
      </c>
      <c r="C2140" t="inlineStr">
        <is>
          <t>2017-12</t>
        </is>
      </c>
      <c r="D2140" t="inlineStr">
        <is>
          <t>BA</t>
        </is>
      </c>
      <c r="E2140" t="inlineStr">
        <is>
          <t>food_drink</t>
        </is>
      </c>
      <c r="F2140" t="n">
        <v>2</v>
      </c>
      <c r="G2140" t="n">
        <v>159.98</v>
      </c>
      <c r="H2140" t="n">
        <v>34</v>
      </c>
      <c r="I2140" t="inlineStr">
        <is>
          <t>credit_card</t>
        </is>
      </c>
      <c r="J2140" t="n">
        <v>22</v>
      </c>
      <c r="K2140" t="inlineStr">
        <is>
          <t>On Time</t>
        </is>
      </c>
      <c r="L2140" t="n">
        <v>5</v>
      </c>
      <c r="M2140">
        <f>VLOOKUP(D2140,State_Lookup!$A$2:$B$28,2,FALSE)</f>
        <v/>
      </c>
    </row>
    <row r="2141">
      <c r="A2141" t="inlineStr">
        <is>
          <t>3169ea0ca9e7b527454873b4aa6e6583</t>
        </is>
      </c>
      <c r="B2141" t="inlineStr">
        <is>
          <t>2017-12-11</t>
        </is>
      </c>
      <c r="C2141" t="inlineStr">
        <is>
          <t>2017-12</t>
        </is>
      </c>
      <c r="D2141" t="inlineStr">
        <is>
          <t>SP</t>
        </is>
      </c>
      <c r="E2141" t="inlineStr">
        <is>
          <t>watches_gifts</t>
        </is>
      </c>
      <c r="F2141" t="n">
        <v>1</v>
      </c>
      <c r="G2141" t="n">
        <v>65</v>
      </c>
      <c r="H2141" t="n">
        <v>7.78</v>
      </c>
      <c r="I2141" t="inlineStr">
        <is>
          <t>credit_card</t>
        </is>
      </c>
      <c r="J2141" t="n">
        <v>1</v>
      </c>
      <c r="K2141" t="inlineStr">
        <is>
          <t>On Time</t>
        </is>
      </c>
      <c r="L2141" t="n">
        <v>5</v>
      </c>
      <c r="M2141">
        <f>VLOOKUP(D2141,State_Lookup!$A$2:$B$28,2,FALSE)</f>
        <v/>
      </c>
    </row>
    <row r="2142">
      <c r="A2142" t="inlineStr">
        <is>
          <t>698b838e230eef7b304ba798ecc3ac1c</t>
        </is>
      </c>
      <c r="B2142" t="inlineStr">
        <is>
          <t>2017-12-11</t>
        </is>
      </c>
      <c r="C2142" t="inlineStr">
        <is>
          <t>2017-12</t>
        </is>
      </c>
      <c r="D2142" t="inlineStr">
        <is>
          <t>MG</t>
        </is>
      </c>
      <c r="E2142" t="inlineStr">
        <is>
          <t>health_beauty</t>
        </is>
      </c>
      <c r="F2142" t="n">
        <v>1</v>
      </c>
      <c r="G2142" t="n">
        <v>58.99</v>
      </c>
      <c r="H2142" t="n">
        <v>17.66</v>
      </c>
      <c r="I2142" t="inlineStr">
        <is>
          <t>credit_card</t>
        </is>
      </c>
      <c r="J2142" t="n">
        <v>16</v>
      </c>
      <c r="K2142" t="inlineStr">
        <is>
          <t>On Time</t>
        </is>
      </c>
      <c r="L2142" t="n">
        <v>1</v>
      </c>
      <c r="M2142">
        <f>VLOOKUP(D2142,State_Lookup!$A$2:$B$28,2,FALSE)</f>
        <v/>
      </c>
    </row>
    <row r="2143">
      <c r="A2143" t="inlineStr">
        <is>
          <t>dc034558fc2acd4a0d55733dd55b3b9c</t>
        </is>
      </c>
      <c r="B2143" t="inlineStr">
        <is>
          <t>2017-12-11</t>
        </is>
      </c>
      <c r="C2143" t="inlineStr">
        <is>
          <t>2017-12</t>
        </is>
      </c>
      <c r="D2143" t="inlineStr">
        <is>
          <t>RJ</t>
        </is>
      </c>
      <c r="E2143" t="inlineStr">
        <is>
          <t>watches_gifts</t>
        </is>
      </c>
      <c r="F2143" t="n">
        <v>1</v>
      </c>
      <c r="G2143" t="n">
        <v>170</v>
      </c>
      <c r="H2143" t="n">
        <v>15.94</v>
      </c>
      <c r="I2143" t="inlineStr">
        <is>
          <t>credit_card</t>
        </is>
      </c>
      <c r="J2143" t="n">
        <v>23</v>
      </c>
      <c r="K2143" t="inlineStr">
        <is>
          <t>On Time</t>
        </is>
      </c>
      <c r="L2143" t="n">
        <v>5</v>
      </c>
      <c r="M2143">
        <f>VLOOKUP(D2143,State_Lookup!$A$2:$B$28,2,FALSE)</f>
        <v/>
      </c>
    </row>
    <row r="2144">
      <c r="A2144" t="inlineStr">
        <is>
          <t>e277f0c1ac75d1659d13888efd4ff042</t>
        </is>
      </c>
      <c r="B2144" t="inlineStr">
        <is>
          <t>2017-12-11</t>
        </is>
      </c>
      <c r="C2144" t="inlineStr">
        <is>
          <t>2017-12</t>
        </is>
      </c>
      <c r="D2144" t="inlineStr">
        <is>
          <t>SP</t>
        </is>
      </c>
      <c r="E2144" t="inlineStr">
        <is>
          <t>housewares</t>
        </is>
      </c>
      <c r="F2144" t="n">
        <v>1</v>
      </c>
      <c r="G2144" t="n">
        <v>57</v>
      </c>
      <c r="H2144" t="n">
        <v>22.72</v>
      </c>
      <c r="I2144" t="inlineStr">
        <is>
          <t>boleto</t>
        </is>
      </c>
      <c r="J2144" t="n">
        <v>11</v>
      </c>
      <c r="K2144" t="inlineStr">
        <is>
          <t>On Time</t>
        </is>
      </c>
      <c r="L2144" t="n">
        <v>5</v>
      </c>
      <c r="M2144">
        <f>VLOOKUP(D2144,State_Lookup!$A$2:$B$28,2,FALSE)</f>
        <v/>
      </c>
    </row>
    <row r="2145">
      <c r="A2145" t="inlineStr">
        <is>
          <t>9da6e3bacbae9dfb6f886b2fcdd80bcd</t>
        </is>
      </c>
      <c r="B2145" t="inlineStr">
        <is>
          <t>2017-12-12</t>
        </is>
      </c>
      <c r="C2145" t="inlineStr">
        <is>
          <t>2017-12</t>
        </is>
      </c>
      <c r="D2145" t="inlineStr">
        <is>
          <t>PR</t>
        </is>
      </c>
      <c r="E2145" t="inlineStr">
        <is>
          <t>toys</t>
        </is>
      </c>
      <c r="F2145" t="n">
        <v>1</v>
      </c>
      <c r="G2145" t="n">
        <v>239.9</v>
      </c>
      <c r="H2145" t="n">
        <v>14.83</v>
      </c>
      <c r="I2145" t="inlineStr">
        <is>
          <t>credit_card</t>
        </is>
      </c>
      <c r="J2145" t="n">
        <v>42</v>
      </c>
      <c r="K2145" t="inlineStr">
        <is>
          <t>Late</t>
        </is>
      </c>
      <c r="L2145" t="n">
        <v>2</v>
      </c>
      <c r="M2145">
        <f>VLOOKUP(D2145,State_Lookup!$A$2:$B$28,2,FALSE)</f>
        <v/>
      </c>
    </row>
    <row r="2146">
      <c r="A2146" t="inlineStr">
        <is>
          <t>b64f09a4cf903c5767f9f537158c24ee</t>
        </is>
      </c>
      <c r="B2146" t="inlineStr">
        <is>
          <t>2017-12-12</t>
        </is>
      </c>
      <c r="C2146" t="inlineStr">
        <is>
          <t>2017-12</t>
        </is>
      </c>
      <c r="D2146" t="inlineStr">
        <is>
          <t>PR</t>
        </is>
      </c>
      <c r="E2146" t="inlineStr">
        <is>
          <t>sports_leisure</t>
        </is>
      </c>
      <c r="F2146" t="n">
        <v>1</v>
      </c>
      <c r="G2146" t="n">
        <v>89.98999999999999</v>
      </c>
      <c r="H2146" t="n">
        <v>15.38</v>
      </c>
      <c r="I2146" t="inlineStr">
        <is>
          <t>credit_card</t>
        </is>
      </c>
      <c r="J2146" t="n">
        <v>51</v>
      </c>
      <c r="K2146" t="inlineStr">
        <is>
          <t>Late</t>
        </is>
      </c>
      <c r="L2146" t="n">
        <v>1</v>
      </c>
      <c r="M2146">
        <f>VLOOKUP(D2146,State_Lookup!$A$2:$B$28,2,FALSE)</f>
        <v/>
      </c>
    </row>
    <row r="2147">
      <c r="A2147" t="inlineStr">
        <is>
          <t>0e457aee274ec7e2e18d25ab6d212921</t>
        </is>
      </c>
      <c r="B2147" t="inlineStr">
        <is>
          <t>2017-12-12</t>
        </is>
      </c>
      <c r="C2147" t="inlineStr">
        <is>
          <t>2017-12</t>
        </is>
      </c>
      <c r="D2147" t="inlineStr">
        <is>
          <t>ES</t>
        </is>
      </c>
      <c r="E2147" t="inlineStr">
        <is>
          <t>furniture_decor</t>
        </is>
      </c>
      <c r="F2147" t="n">
        <v>1</v>
      </c>
      <c r="G2147" t="n">
        <v>148</v>
      </c>
      <c r="H2147" t="n">
        <v>21.44</v>
      </c>
      <c r="I2147" t="inlineStr">
        <is>
          <t>credit_card</t>
        </is>
      </c>
      <c r="J2147" t="n">
        <v>18</v>
      </c>
      <c r="K2147" t="inlineStr">
        <is>
          <t>On Time</t>
        </is>
      </c>
      <c r="L2147" t="n">
        <v>5</v>
      </c>
      <c r="M2147">
        <f>VLOOKUP(D2147,State_Lookup!$A$2:$B$28,2,FALSE)</f>
        <v/>
      </c>
    </row>
    <row r="2148">
      <c r="A2148" t="inlineStr">
        <is>
          <t>b47fa5a498bfce5bc5658eda28570768</t>
        </is>
      </c>
      <c r="B2148" t="inlineStr">
        <is>
          <t>2017-12-12</t>
        </is>
      </c>
      <c r="C2148" t="inlineStr">
        <is>
          <t>2017-12</t>
        </is>
      </c>
      <c r="D2148" t="inlineStr">
        <is>
          <t>PE</t>
        </is>
      </c>
      <c r="E2148" t="inlineStr">
        <is>
          <t>auto</t>
        </is>
      </c>
      <c r="F2148" t="n">
        <v>1</v>
      </c>
      <c r="G2148" t="n">
        <v>139</v>
      </c>
      <c r="H2148" t="n">
        <v>28.96</v>
      </c>
      <c r="I2148" t="inlineStr">
        <is>
          <t>credit_card</t>
        </is>
      </c>
      <c r="J2148" t="n">
        <v>16</v>
      </c>
      <c r="K2148" t="inlineStr">
        <is>
          <t>On Time</t>
        </is>
      </c>
      <c r="L2148" t="n">
        <v>4</v>
      </c>
      <c r="M2148">
        <f>VLOOKUP(D2148,State_Lookup!$A$2:$B$28,2,FALSE)</f>
        <v/>
      </c>
    </row>
    <row r="2149">
      <c r="A2149" t="inlineStr">
        <is>
          <t>b1501234c007ae50246518bde6945cf6</t>
        </is>
      </c>
      <c r="B2149" t="inlineStr">
        <is>
          <t>2017-12-12</t>
        </is>
      </c>
      <c r="C2149" t="inlineStr">
        <is>
          <t>2017-12</t>
        </is>
      </c>
      <c r="D2149" t="inlineStr">
        <is>
          <t>SP</t>
        </is>
      </c>
      <c r="E2149" t="inlineStr">
        <is>
          <t>toys</t>
        </is>
      </c>
      <c r="F2149" t="n">
        <v>1</v>
      </c>
      <c r="G2149" t="n">
        <v>479.9</v>
      </c>
      <c r="H2149" t="n">
        <v>68.13</v>
      </c>
      <c r="I2149" t="inlineStr">
        <is>
          <t>credit_card</t>
        </is>
      </c>
      <c r="J2149" t="n">
        <v>14</v>
      </c>
      <c r="K2149" t="inlineStr">
        <is>
          <t>On Time</t>
        </is>
      </c>
      <c r="L2149" t="n">
        <v>1</v>
      </c>
      <c r="M2149">
        <f>VLOOKUP(D2149,State_Lookup!$A$2:$B$28,2,FALSE)</f>
        <v/>
      </c>
    </row>
    <row r="2150">
      <c r="A2150" t="inlineStr">
        <is>
          <t>2affd5996127141118380e30fdd8964a</t>
        </is>
      </c>
      <c r="B2150" t="inlineStr">
        <is>
          <t>2017-12-12</t>
        </is>
      </c>
      <c r="C2150" t="inlineStr">
        <is>
          <t>2017-12</t>
        </is>
      </c>
      <c r="D2150" t="inlineStr">
        <is>
          <t>RJ</t>
        </is>
      </c>
      <c r="E2150" t="inlineStr">
        <is>
          <t>computers_accessories</t>
        </is>
      </c>
      <c r="F2150" t="n">
        <v>1</v>
      </c>
      <c r="G2150" t="n">
        <v>97.52</v>
      </c>
      <c r="H2150" t="n">
        <v>17.12</v>
      </c>
      <c r="I2150" t="inlineStr">
        <is>
          <t>boleto</t>
        </is>
      </c>
      <c r="J2150" t="n">
        <v>15</v>
      </c>
      <c r="K2150" t="inlineStr">
        <is>
          <t>On Time</t>
        </is>
      </c>
      <c r="L2150" t="n">
        <v>4</v>
      </c>
      <c r="M2150">
        <f>VLOOKUP(D2150,State_Lookup!$A$2:$B$28,2,FALSE)</f>
        <v/>
      </c>
    </row>
    <row r="2151">
      <c r="A2151" t="inlineStr">
        <is>
          <t>75d2d598319b1d4228d4ee4b82e61ff3</t>
        </is>
      </c>
      <c r="B2151" t="inlineStr">
        <is>
          <t>2017-12-12</t>
        </is>
      </c>
      <c r="C2151" t="inlineStr">
        <is>
          <t>2017-12</t>
        </is>
      </c>
      <c r="D2151" t="inlineStr">
        <is>
          <t>RJ</t>
        </is>
      </c>
      <c r="E2151" t="inlineStr">
        <is>
          <t>toys</t>
        </is>
      </c>
      <c r="F2151" t="n">
        <v>1</v>
      </c>
      <c r="G2151" t="n">
        <v>69.90000000000001</v>
      </c>
      <c r="H2151" t="n">
        <v>17.74</v>
      </c>
      <c r="I2151" t="inlineStr">
        <is>
          <t>credit_card</t>
        </is>
      </c>
      <c r="J2151" t="n">
        <v>15</v>
      </c>
      <c r="K2151" t="inlineStr">
        <is>
          <t>On Time</t>
        </is>
      </c>
      <c r="L2151" t="n">
        <v>5</v>
      </c>
      <c r="M2151">
        <f>VLOOKUP(D2151,State_Lookup!$A$2:$B$28,2,FALSE)</f>
        <v/>
      </c>
    </row>
    <row r="2152">
      <c r="A2152" t="inlineStr">
        <is>
          <t>e47bfd40dd32463a27120cccaaf5aad9</t>
        </is>
      </c>
      <c r="B2152" t="inlineStr">
        <is>
          <t>2017-12-12</t>
        </is>
      </c>
      <c r="C2152" t="inlineStr">
        <is>
          <t>2017-12</t>
        </is>
      </c>
      <c r="D2152" t="inlineStr">
        <is>
          <t>SP</t>
        </is>
      </c>
      <c r="E2152" t="inlineStr">
        <is>
          <t>cool_stuff</t>
        </is>
      </c>
      <c r="F2152" t="n">
        <v>1</v>
      </c>
      <c r="G2152" t="n">
        <v>139.9</v>
      </c>
      <c r="H2152" t="n">
        <v>9.789999999999999</v>
      </c>
      <c r="I2152" t="inlineStr">
        <is>
          <t>credit_card</t>
        </is>
      </c>
      <c r="J2152" t="n">
        <v>6</v>
      </c>
      <c r="K2152" t="inlineStr">
        <is>
          <t>On Time</t>
        </is>
      </c>
      <c r="L2152" t="n">
        <v>4</v>
      </c>
      <c r="M2152">
        <f>VLOOKUP(D2152,State_Lookup!$A$2:$B$28,2,FALSE)</f>
        <v/>
      </c>
    </row>
    <row r="2153">
      <c r="A2153" t="inlineStr">
        <is>
          <t>683bf306149bb869980b68d48a1bd6ab</t>
        </is>
      </c>
      <c r="B2153" t="inlineStr">
        <is>
          <t>2017-12-12</t>
        </is>
      </c>
      <c r="C2153" t="inlineStr">
        <is>
          <t>2017-12</t>
        </is>
      </c>
      <c r="D2153" t="inlineStr">
        <is>
          <t>BA</t>
        </is>
      </c>
      <c r="E2153" t="inlineStr">
        <is>
          <t>sports_leisure</t>
        </is>
      </c>
      <c r="F2153" t="n">
        <v>1</v>
      </c>
      <c r="G2153" t="n">
        <v>19.99</v>
      </c>
      <c r="H2153" t="n">
        <v>18.59</v>
      </c>
      <c r="I2153" t="inlineStr">
        <is>
          <t>voucher</t>
        </is>
      </c>
      <c r="J2153" t="n">
        <v>34</v>
      </c>
      <c r="K2153" t="inlineStr">
        <is>
          <t>Late</t>
        </is>
      </c>
      <c r="L2153" t="n">
        <v>5</v>
      </c>
      <c r="M2153">
        <f>VLOOKUP(D2153,State_Lookup!$A$2:$B$28,2,FALSE)</f>
        <v/>
      </c>
    </row>
    <row r="2154">
      <c r="A2154" t="inlineStr">
        <is>
          <t>657c1689361cce2eeaabea76ced5e30f</t>
        </is>
      </c>
      <c r="B2154" t="inlineStr">
        <is>
          <t>2017-12-12</t>
        </is>
      </c>
      <c r="C2154" t="inlineStr">
        <is>
          <t>2017-12</t>
        </is>
      </c>
      <c r="D2154" t="inlineStr">
        <is>
          <t>SP</t>
        </is>
      </c>
      <c r="E2154" t="inlineStr">
        <is>
          <t>furniture_decor</t>
        </is>
      </c>
      <c r="F2154" t="n">
        <v>1</v>
      </c>
      <c r="G2154" t="n">
        <v>75</v>
      </c>
      <c r="H2154" t="n">
        <v>13.08</v>
      </c>
      <c r="I2154" t="inlineStr">
        <is>
          <t>boleto</t>
        </is>
      </c>
      <c r="J2154" t="n">
        <v>5</v>
      </c>
      <c r="K2154" t="inlineStr">
        <is>
          <t>On Time</t>
        </is>
      </c>
      <c r="L2154" t="n">
        <v>5</v>
      </c>
      <c r="M2154">
        <f>VLOOKUP(D2154,State_Lookup!$A$2:$B$28,2,FALSE)</f>
        <v/>
      </c>
    </row>
    <row r="2155">
      <c r="A2155" t="inlineStr">
        <is>
          <t>ea967d0366237c813c6b152725ad11da</t>
        </is>
      </c>
      <c r="B2155" t="inlineStr">
        <is>
          <t>2017-12-12</t>
        </is>
      </c>
      <c r="C2155" t="inlineStr">
        <is>
          <t>2017-12</t>
        </is>
      </c>
      <c r="D2155" t="inlineStr">
        <is>
          <t>RJ</t>
        </is>
      </c>
      <c r="E2155" t="inlineStr">
        <is>
          <t>toys</t>
        </is>
      </c>
      <c r="F2155" t="n">
        <v>1</v>
      </c>
      <c r="G2155" t="n">
        <v>194</v>
      </c>
      <c r="H2155" t="n">
        <v>17.12</v>
      </c>
      <c r="I2155" t="inlineStr">
        <is>
          <t>credit_card</t>
        </is>
      </c>
      <c r="J2155" t="n">
        <v>28</v>
      </c>
      <c r="K2155" t="inlineStr">
        <is>
          <t>On Time</t>
        </is>
      </c>
      <c r="L2155" t="n">
        <v>3</v>
      </c>
      <c r="M2155">
        <f>VLOOKUP(D2155,State_Lookup!$A$2:$B$28,2,FALSE)</f>
        <v/>
      </c>
    </row>
    <row r="2156">
      <c r="A2156" t="inlineStr">
        <is>
          <t>38d1046513a150583e3f00f86212d3c9</t>
        </is>
      </c>
      <c r="B2156" t="inlineStr">
        <is>
          <t>2017-12-12</t>
        </is>
      </c>
      <c r="C2156" t="inlineStr">
        <is>
          <t>2017-12</t>
        </is>
      </c>
      <c r="D2156" t="inlineStr">
        <is>
          <t>DF</t>
        </is>
      </c>
      <c r="E2156" t="inlineStr">
        <is>
          <t>bed_bath_table</t>
        </is>
      </c>
      <c r="F2156" t="n">
        <v>1</v>
      </c>
      <c r="G2156" t="n">
        <v>79.90000000000001</v>
      </c>
      <c r="H2156" t="n">
        <v>16.32</v>
      </c>
      <c r="I2156" t="inlineStr">
        <is>
          <t>credit_card</t>
        </is>
      </c>
      <c r="J2156" t="n">
        <v>30</v>
      </c>
      <c r="K2156" t="inlineStr">
        <is>
          <t>Late</t>
        </is>
      </c>
      <c r="L2156" t="n">
        <v>1</v>
      </c>
      <c r="M2156">
        <f>VLOOKUP(D2156,State_Lookup!$A$2:$B$28,2,FALSE)</f>
        <v/>
      </c>
    </row>
    <row r="2157">
      <c r="A2157" t="inlineStr">
        <is>
          <t>2480f727e869fdeb397244a21b721b67</t>
        </is>
      </c>
      <c r="B2157" t="inlineStr">
        <is>
          <t>2017-12-13</t>
        </is>
      </c>
      <c r="C2157" t="inlineStr">
        <is>
          <t>2017-12</t>
        </is>
      </c>
      <c r="D2157" t="inlineStr">
        <is>
          <t>SP</t>
        </is>
      </c>
      <c r="E2157" t="inlineStr">
        <is>
          <t>garden_tools</t>
        </is>
      </c>
      <c r="F2157" t="n">
        <v>2</v>
      </c>
      <c r="G2157" t="n">
        <v>113.9</v>
      </c>
      <c r="H2157" t="n">
        <v>28</v>
      </c>
      <c r="I2157" t="inlineStr">
        <is>
          <t>credit_card</t>
        </is>
      </c>
      <c r="J2157" t="n">
        <v>5</v>
      </c>
      <c r="K2157" t="inlineStr">
        <is>
          <t>On Time</t>
        </is>
      </c>
      <c r="L2157" t="n">
        <v>5</v>
      </c>
      <c r="M2157">
        <f>VLOOKUP(D2157,State_Lookup!$A$2:$B$28,2,FALSE)</f>
        <v/>
      </c>
    </row>
    <row r="2158">
      <c r="A2158" t="inlineStr">
        <is>
          <t>0d4a6a514fd319d11eda911eda30da6a</t>
        </is>
      </c>
      <c r="B2158" t="inlineStr">
        <is>
          <t>2017-12-13</t>
        </is>
      </c>
      <c r="C2158" t="inlineStr">
        <is>
          <t>2017-12</t>
        </is>
      </c>
      <c r="D2158" t="inlineStr">
        <is>
          <t>CE</t>
        </is>
      </c>
      <c r="E2158" t="inlineStr">
        <is>
          <t>health_beauty</t>
        </is>
      </c>
      <c r="F2158" t="n">
        <v>1</v>
      </c>
      <c r="G2158" t="n">
        <v>84.98999999999999</v>
      </c>
      <c r="H2158" t="n">
        <v>19.13</v>
      </c>
      <c r="I2158" t="inlineStr">
        <is>
          <t>boleto</t>
        </is>
      </c>
      <c r="J2158" t="n">
        <v>16</v>
      </c>
      <c r="K2158" t="inlineStr">
        <is>
          <t>On Time</t>
        </is>
      </c>
      <c r="L2158" t="n">
        <v>4</v>
      </c>
      <c r="M2158">
        <f>VLOOKUP(D2158,State_Lookup!$A$2:$B$28,2,FALSE)</f>
        <v/>
      </c>
    </row>
    <row r="2159">
      <c r="A2159" t="inlineStr">
        <is>
          <t>356108ac93685d12f65fe827e25bb138</t>
        </is>
      </c>
      <c r="B2159" t="inlineStr">
        <is>
          <t>2017-12-13</t>
        </is>
      </c>
      <c r="C2159" t="inlineStr">
        <is>
          <t>2017-12</t>
        </is>
      </c>
      <c r="D2159" t="inlineStr">
        <is>
          <t>MG</t>
        </is>
      </c>
      <c r="E2159" t="inlineStr">
        <is>
          <t>health_beauty</t>
        </is>
      </c>
      <c r="F2159" t="n">
        <v>1</v>
      </c>
      <c r="G2159" t="n">
        <v>234.9</v>
      </c>
      <c r="H2159" t="n">
        <v>16.39</v>
      </c>
      <c r="I2159" t="inlineStr">
        <is>
          <t>boleto</t>
        </is>
      </c>
      <c r="J2159" t="n">
        <v>12</v>
      </c>
      <c r="K2159" t="inlineStr">
        <is>
          <t>On Time</t>
        </is>
      </c>
      <c r="L2159" t="n">
        <v>4</v>
      </c>
      <c r="M2159">
        <f>VLOOKUP(D2159,State_Lookup!$A$2:$B$28,2,FALSE)</f>
        <v/>
      </c>
    </row>
    <row r="2160">
      <c r="A2160" t="inlineStr">
        <is>
          <t>a8698bce49d9222fa1a1b4cfb3cba3ef</t>
        </is>
      </c>
      <c r="B2160" t="inlineStr">
        <is>
          <t>2017-12-13</t>
        </is>
      </c>
      <c r="C2160" t="inlineStr">
        <is>
          <t>2017-12</t>
        </is>
      </c>
      <c r="D2160" t="inlineStr">
        <is>
          <t>RN</t>
        </is>
      </c>
      <c r="E2160" t="inlineStr">
        <is>
          <t>cool_stuff</t>
        </is>
      </c>
      <c r="F2160" t="n">
        <v>1</v>
      </c>
      <c r="G2160" t="n">
        <v>89.90000000000001</v>
      </c>
      <c r="H2160" t="n">
        <v>27.48</v>
      </c>
      <c r="I2160" t="inlineStr">
        <is>
          <t>boleto</t>
        </is>
      </c>
      <c r="J2160" t="n">
        <v>13</v>
      </c>
      <c r="K2160" t="inlineStr">
        <is>
          <t>On Time</t>
        </is>
      </c>
      <c r="L2160" t="n">
        <v>5</v>
      </c>
      <c r="M2160">
        <f>VLOOKUP(D2160,State_Lookup!$A$2:$B$28,2,FALSE)</f>
        <v/>
      </c>
    </row>
    <row r="2161">
      <c r="A2161" t="inlineStr">
        <is>
          <t>e5535466d23681cc97013097a0644150</t>
        </is>
      </c>
      <c r="B2161" t="inlineStr">
        <is>
          <t>2017-12-13</t>
        </is>
      </c>
      <c r="C2161" t="inlineStr">
        <is>
          <t>2017-12</t>
        </is>
      </c>
      <c r="D2161" t="inlineStr">
        <is>
          <t>RJ</t>
        </is>
      </c>
      <c r="E2161" t="inlineStr">
        <is>
          <t>cool_stuff</t>
        </is>
      </c>
      <c r="F2161" t="n">
        <v>1</v>
      </c>
      <c r="G2161" t="n">
        <v>195.9</v>
      </c>
      <c r="H2161" t="n">
        <v>16.12</v>
      </c>
      <c r="I2161" t="inlineStr">
        <is>
          <t>credit_card</t>
        </is>
      </c>
      <c r="J2161" t="n">
        <v>42</v>
      </c>
      <c r="K2161" t="inlineStr">
        <is>
          <t>Late</t>
        </is>
      </c>
      <c r="L2161" t="n">
        <v>1</v>
      </c>
      <c r="M2161">
        <f>VLOOKUP(D2161,State_Lookup!$A$2:$B$28,2,FALSE)</f>
        <v/>
      </c>
    </row>
    <row r="2162">
      <c r="A2162" t="inlineStr">
        <is>
          <t>376e3ec5ba640fed451c34c6828c852e</t>
        </is>
      </c>
      <c r="B2162" t="inlineStr">
        <is>
          <t>2017-12-14</t>
        </is>
      </c>
      <c r="C2162" t="inlineStr">
        <is>
          <t>2017-12</t>
        </is>
      </c>
      <c r="D2162" t="inlineStr">
        <is>
          <t>SP</t>
        </is>
      </c>
      <c r="E2162" t="inlineStr">
        <is>
          <t>toys</t>
        </is>
      </c>
      <c r="F2162" t="n">
        <v>1</v>
      </c>
      <c r="G2162" t="n">
        <v>99.90000000000001</v>
      </c>
      <c r="H2162" t="n">
        <v>16.95</v>
      </c>
      <c r="I2162" t="inlineStr">
        <is>
          <t>credit_card</t>
        </is>
      </c>
      <c r="J2162" t="n">
        <v>20</v>
      </c>
      <c r="K2162" t="inlineStr">
        <is>
          <t>On Time</t>
        </is>
      </c>
      <c r="L2162" t="n">
        <v>4</v>
      </c>
      <c r="M2162">
        <f>VLOOKUP(D2162,State_Lookup!$A$2:$B$28,2,FALSE)</f>
        <v/>
      </c>
    </row>
    <row r="2163">
      <c r="A2163" t="inlineStr">
        <is>
          <t>52c8fe0f0dc37807e452b5f695c2eb77</t>
        </is>
      </c>
      <c r="B2163" t="inlineStr">
        <is>
          <t>2017-12-14</t>
        </is>
      </c>
      <c r="C2163" t="inlineStr">
        <is>
          <t>2017-12</t>
        </is>
      </c>
      <c r="D2163" t="inlineStr">
        <is>
          <t>SP</t>
        </is>
      </c>
      <c r="E2163" t="inlineStr">
        <is>
          <t>cool_stuff</t>
        </is>
      </c>
      <c r="F2163" t="n">
        <v>1</v>
      </c>
      <c r="G2163" t="n">
        <v>449.9</v>
      </c>
      <c r="H2163" t="n">
        <v>65.54000000000001</v>
      </c>
      <c r="I2163" t="inlineStr">
        <is>
          <t>credit_card</t>
        </is>
      </c>
      <c r="J2163" t="n">
        <v>8</v>
      </c>
      <c r="K2163" t="inlineStr">
        <is>
          <t>On Time</t>
        </is>
      </c>
      <c r="L2163" t="n">
        <v>5</v>
      </c>
      <c r="M2163">
        <f>VLOOKUP(D2163,State_Lookup!$A$2:$B$28,2,FALSE)</f>
        <v/>
      </c>
    </row>
    <row r="2164">
      <c r="A2164" t="inlineStr">
        <is>
          <t>d2b733c929342acefcd33572f8a1e3da</t>
        </is>
      </c>
      <c r="B2164" t="inlineStr">
        <is>
          <t>2017-12-14</t>
        </is>
      </c>
      <c r="C2164" t="inlineStr">
        <is>
          <t>2017-12</t>
        </is>
      </c>
      <c r="D2164" t="inlineStr">
        <is>
          <t>PR</t>
        </is>
      </c>
      <c r="E2164" t="inlineStr">
        <is>
          <t>auto</t>
        </is>
      </c>
      <c r="F2164" t="n">
        <v>1</v>
      </c>
      <c r="G2164" t="n">
        <v>59.9</v>
      </c>
      <c r="H2164" t="n">
        <v>26.74</v>
      </c>
      <c r="I2164" t="inlineStr">
        <is>
          <t>boleto</t>
        </is>
      </c>
      <c r="J2164" t="n">
        <v>13</v>
      </c>
      <c r="K2164" t="inlineStr">
        <is>
          <t>On Time</t>
        </is>
      </c>
      <c r="L2164" t="n">
        <v>1</v>
      </c>
      <c r="M2164">
        <f>VLOOKUP(D2164,State_Lookup!$A$2:$B$28,2,FALSE)</f>
        <v/>
      </c>
    </row>
    <row r="2165">
      <c r="A2165" t="inlineStr">
        <is>
          <t>0221d784b11a24077b3531e860b73434</t>
        </is>
      </c>
      <c r="B2165" t="inlineStr">
        <is>
          <t>2017-12-14</t>
        </is>
      </c>
      <c r="C2165" t="inlineStr">
        <is>
          <t>2017-12</t>
        </is>
      </c>
      <c r="D2165" t="inlineStr">
        <is>
          <t>CE</t>
        </is>
      </c>
      <c r="E2165" t="inlineStr">
        <is>
          <t>housewares</t>
        </is>
      </c>
      <c r="F2165" t="n">
        <v>1</v>
      </c>
      <c r="G2165" t="n">
        <v>32</v>
      </c>
      <c r="H2165" t="n">
        <v>17.63</v>
      </c>
      <c r="I2165" t="inlineStr">
        <is>
          <t>credit_card</t>
        </is>
      </c>
      <c r="J2165" t="n">
        <v>12</v>
      </c>
      <c r="K2165" t="inlineStr">
        <is>
          <t>On Time</t>
        </is>
      </c>
      <c r="L2165" t="n">
        <v>5</v>
      </c>
      <c r="M2165">
        <f>VLOOKUP(D2165,State_Lookup!$A$2:$B$28,2,FALSE)</f>
        <v/>
      </c>
    </row>
    <row r="2166">
      <c r="A2166" t="inlineStr">
        <is>
          <t>b6785f62f47a35b971f1353294849dff</t>
        </is>
      </c>
      <c r="B2166" t="inlineStr">
        <is>
          <t>2017-12-14</t>
        </is>
      </c>
      <c r="C2166" t="inlineStr">
        <is>
          <t>2017-12</t>
        </is>
      </c>
      <c r="D2166" t="inlineStr">
        <is>
          <t>PR</t>
        </is>
      </c>
      <c r="E2166" t="inlineStr">
        <is>
          <t>auto</t>
        </is>
      </c>
      <c r="F2166" t="n">
        <v>1</v>
      </c>
      <c r="G2166" t="n">
        <v>93.90000000000001</v>
      </c>
      <c r="H2166" t="n">
        <v>25.5</v>
      </c>
      <c r="I2166" t="inlineStr">
        <is>
          <t>credit_card</t>
        </is>
      </c>
      <c r="J2166" t="n">
        <v>20</v>
      </c>
      <c r="K2166" t="inlineStr">
        <is>
          <t>On Time</t>
        </is>
      </c>
      <c r="L2166" t="n">
        <v>5</v>
      </c>
      <c r="M2166">
        <f>VLOOKUP(D2166,State_Lookup!$A$2:$B$28,2,FALSE)</f>
        <v/>
      </c>
    </row>
    <row r="2167">
      <c r="A2167" t="inlineStr">
        <is>
          <t>252aabc5aca2bc51672fb4ded077dcd7</t>
        </is>
      </c>
      <c r="B2167" t="inlineStr">
        <is>
          <t>2017-12-14</t>
        </is>
      </c>
      <c r="C2167" t="inlineStr">
        <is>
          <t>2017-12</t>
        </is>
      </c>
      <c r="D2167" t="inlineStr">
        <is>
          <t>RS</t>
        </is>
      </c>
      <c r="E2167" t="inlineStr">
        <is>
          <t>furniture_decor</t>
        </is>
      </c>
      <c r="F2167" t="n">
        <v>1</v>
      </c>
      <c r="G2167" t="n">
        <v>45.9</v>
      </c>
      <c r="H2167" t="n">
        <v>16.11</v>
      </c>
      <c r="I2167" t="inlineStr">
        <is>
          <t>credit_card</t>
        </is>
      </c>
      <c r="J2167" t="n">
        <v>54</v>
      </c>
      <c r="K2167" t="inlineStr">
        <is>
          <t>Late</t>
        </is>
      </c>
      <c r="L2167" t="inlineStr"/>
      <c r="M2167">
        <f>VLOOKUP(D2167,State_Lookup!$A$2:$B$28,2,FALSE)</f>
        <v/>
      </c>
    </row>
    <row r="2168">
      <c r="A2168" t="inlineStr">
        <is>
          <t>829105b927ac0fb2b0b47fdd3ea440ac</t>
        </is>
      </c>
      <c r="B2168" t="inlineStr">
        <is>
          <t>2017-12-14</t>
        </is>
      </c>
      <c r="C2168" t="inlineStr">
        <is>
          <t>2017-12</t>
        </is>
      </c>
      <c r="D2168" t="inlineStr">
        <is>
          <t>SP</t>
        </is>
      </c>
      <c r="E2168" t="inlineStr">
        <is>
          <t>consoles_games</t>
        </is>
      </c>
      <c r="F2168" t="n">
        <v>1</v>
      </c>
      <c r="G2168" t="n">
        <v>50</v>
      </c>
      <c r="H2168" t="n">
        <v>8.720000000000001</v>
      </c>
      <c r="I2168" t="inlineStr">
        <is>
          <t>credit_card</t>
        </is>
      </c>
      <c r="J2168" t="n">
        <v>7</v>
      </c>
      <c r="K2168" t="inlineStr">
        <is>
          <t>On Time</t>
        </is>
      </c>
      <c r="L2168" t="n">
        <v>5</v>
      </c>
      <c r="M2168">
        <f>VLOOKUP(D2168,State_Lookup!$A$2:$B$28,2,FALSE)</f>
        <v/>
      </c>
    </row>
    <row r="2169">
      <c r="A2169" t="inlineStr">
        <is>
          <t>0ad0006728103ff08cda112f7940bcd1</t>
        </is>
      </c>
      <c r="B2169" t="inlineStr">
        <is>
          <t>2017-12-14</t>
        </is>
      </c>
      <c r="C2169" t="inlineStr">
        <is>
          <t>2017-12</t>
        </is>
      </c>
      <c r="D2169" t="inlineStr">
        <is>
          <t>MG</t>
        </is>
      </c>
      <c r="E2169" t="inlineStr">
        <is>
          <t>watches_gifts</t>
        </is>
      </c>
      <c r="F2169" t="n">
        <v>1</v>
      </c>
      <c r="G2169" t="n">
        <v>319.9</v>
      </c>
      <c r="H2169" t="n">
        <v>15.99</v>
      </c>
      <c r="I2169" t="inlineStr">
        <is>
          <t>credit_card</t>
        </is>
      </c>
      <c r="J2169" t="n">
        <v>13</v>
      </c>
      <c r="K2169" t="inlineStr">
        <is>
          <t>On Time</t>
        </is>
      </c>
      <c r="L2169" t="n">
        <v>5</v>
      </c>
      <c r="M2169">
        <f>VLOOKUP(D2169,State_Lookup!$A$2:$B$28,2,FALSE)</f>
        <v/>
      </c>
    </row>
    <row r="2170">
      <c r="A2170" t="inlineStr">
        <is>
          <t>bf794141e731463e42c59aac15cc5cd9</t>
        </is>
      </c>
      <c r="B2170" t="inlineStr">
        <is>
          <t>2017-12-14</t>
        </is>
      </c>
      <c r="C2170" t="inlineStr">
        <is>
          <t>2017-12</t>
        </is>
      </c>
      <c r="D2170" t="inlineStr">
        <is>
          <t>SP</t>
        </is>
      </c>
      <c r="E2170" t="inlineStr">
        <is>
          <t>telephony</t>
        </is>
      </c>
      <c r="F2170" t="n">
        <v>1</v>
      </c>
      <c r="G2170" t="n">
        <v>29.99</v>
      </c>
      <c r="H2170" t="n">
        <v>7.78</v>
      </c>
      <c r="I2170" t="inlineStr">
        <is>
          <t>credit_card</t>
        </is>
      </c>
      <c r="J2170" t="n">
        <v>5</v>
      </c>
      <c r="K2170" t="inlineStr">
        <is>
          <t>On Time</t>
        </is>
      </c>
      <c r="L2170" t="n">
        <v>5</v>
      </c>
      <c r="M2170">
        <f>VLOOKUP(D2170,State_Lookup!$A$2:$B$28,2,FALSE)</f>
        <v/>
      </c>
    </row>
    <row r="2171">
      <c r="A2171" t="inlineStr">
        <is>
          <t>8ecd4e086e06a6e3b98920c11b565fc8</t>
        </is>
      </c>
      <c r="B2171" t="inlineStr">
        <is>
          <t>2017-12-14</t>
        </is>
      </c>
      <c r="C2171" t="inlineStr">
        <is>
          <t>2017-12</t>
        </is>
      </c>
      <c r="D2171" t="inlineStr">
        <is>
          <t>PR</t>
        </is>
      </c>
      <c r="E2171" t="inlineStr">
        <is>
          <t>electronics</t>
        </is>
      </c>
      <c r="F2171" t="n">
        <v>1</v>
      </c>
      <c r="G2171" t="n">
        <v>29.9</v>
      </c>
      <c r="H2171" t="n">
        <v>15.1</v>
      </c>
      <c r="I2171" t="inlineStr">
        <is>
          <t>boleto</t>
        </is>
      </c>
      <c r="J2171" t="n">
        <v>12</v>
      </c>
      <c r="K2171" t="inlineStr">
        <is>
          <t>On Time</t>
        </is>
      </c>
      <c r="L2171" t="n">
        <v>4</v>
      </c>
      <c r="M2171">
        <f>VLOOKUP(D2171,State_Lookup!$A$2:$B$28,2,FALSE)</f>
        <v/>
      </c>
    </row>
    <row r="2172">
      <c r="A2172" t="inlineStr">
        <is>
          <t>51526aa307cfd9cd8d3e9d4fa0c26121</t>
        </is>
      </c>
      <c r="B2172" t="inlineStr">
        <is>
          <t>2017-12-14</t>
        </is>
      </c>
      <c r="C2172" t="inlineStr">
        <is>
          <t>2017-12</t>
        </is>
      </c>
      <c r="D2172" t="inlineStr">
        <is>
          <t>BA</t>
        </is>
      </c>
      <c r="E2172" t="inlineStr">
        <is>
          <t>sports_leisure</t>
        </is>
      </c>
      <c r="F2172" t="n">
        <v>1</v>
      </c>
      <c r="G2172" t="n">
        <v>29.99</v>
      </c>
      <c r="H2172" t="n">
        <v>16.79</v>
      </c>
      <c r="I2172" t="inlineStr">
        <is>
          <t>voucher</t>
        </is>
      </c>
      <c r="J2172" t="n">
        <v>25</v>
      </c>
      <c r="K2172" t="inlineStr">
        <is>
          <t>On Time</t>
        </is>
      </c>
      <c r="L2172" t="n">
        <v>5</v>
      </c>
      <c r="M2172">
        <f>VLOOKUP(D2172,State_Lookup!$A$2:$B$28,2,FALSE)</f>
        <v/>
      </c>
    </row>
    <row r="2173">
      <c r="A2173" t="inlineStr">
        <is>
          <t>a26bfd667ba8c2433195ee30be0fd1d6</t>
        </is>
      </c>
      <c r="B2173" t="inlineStr">
        <is>
          <t>2017-12-15</t>
        </is>
      </c>
      <c r="C2173" t="inlineStr">
        <is>
          <t>2017-12</t>
        </is>
      </c>
      <c r="D2173" t="inlineStr">
        <is>
          <t>MG</t>
        </is>
      </c>
      <c r="E2173" t="inlineStr">
        <is>
          <t>telephony</t>
        </is>
      </c>
      <c r="F2173" t="n">
        <v>1</v>
      </c>
      <c r="G2173" t="n">
        <v>21.99</v>
      </c>
      <c r="H2173" t="n">
        <v>15.1</v>
      </c>
      <c r="I2173" t="inlineStr">
        <is>
          <t>boleto</t>
        </is>
      </c>
      <c r="J2173" t="n">
        <v>19</v>
      </c>
      <c r="K2173" t="inlineStr">
        <is>
          <t>On Time</t>
        </is>
      </c>
      <c r="L2173" t="n">
        <v>5</v>
      </c>
      <c r="M2173">
        <f>VLOOKUP(D2173,State_Lookup!$A$2:$B$28,2,FALSE)</f>
        <v/>
      </c>
    </row>
    <row r="2174">
      <c r="A2174" t="inlineStr">
        <is>
          <t>cf76c6e04bd586a2cf526c57144cbede</t>
        </is>
      </c>
      <c r="B2174" t="inlineStr">
        <is>
          <t>2017-12-15</t>
        </is>
      </c>
      <c r="C2174" t="inlineStr">
        <is>
          <t>2017-12</t>
        </is>
      </c>
      <c r="D2174" t="inlineStr">
        <is>
          <t>SP</t>
        </is>
      </c>
      <c r="E2174" t="inlineStr">
        <is>
          <t>watches_gifts</t>
        </is>
      </c>
      <c r="F2174" t="n">
        <v>1</v>
      </c>
      <c r="G2174" t="n">
        <v>29</v>
      </c>
      <c r="H2174" t="n">
        <v>7.78</v>
      </c>
      <c r="I2174" t="inlineStr">
        <is>
          <t>credit_card</t>
        </is>
      </c>
      <c r="J2174" t="n">
        <v>5</v>
      </c>
      <c r="K2174" t="inlineStr">
        <is>
          <t>On Time</t>
        </is>
      </c>
      <c r="L2174" t="n">
        <v>5</v>
      </c>
      <c r="M2174">
        <f>VLOOKUP(D2174,State_Lookup!$A$2:$B$28,2,FALSE)</f>
        <v/>
      </c>
    </row>
    <row r="2175">
      <c r="A2175" t="inlineStr">
        <is>
          <t>b808172914c4ad1d4c3b7917097b33ea</t>
        </is>
      </c>
      <c r="B2175" t="inlineStr">
        <is>
          <t>2017-12-15</t>
        </is>
      </c>
      <c r="C2175" t="inlineStr">
        <is>
          <t>2017-12</t>
        </is>
      </c>
      <c r="D2175" t="inlineStr">
        <is>
          <t>RS</t>
        </is>
      </c>
      <c r="E2175" t="inlineStr">
        <is>
          <t>health_beauty</t>
        </is>
      </c>
      <c r="F2175" t="n">
        <v>1</v>
      </c>
      <c r="G2175" t="n">
        <v>89.98999999999999</v>
      </c>
      <c r="H2175" t="n">
        <v>16.39</v>
      </c>
      <c r="I2175" t="inlineStr">
        <is>
          <t>boleto</t>
        </is>
      </c>
      <c r="J2175" t="n">
        <v>12</v>
      </c>
      <c r="K2175" t="inlineStr">
        <is>
          <t>On Time</t>
        </is>
      </c>
      <c r="L2175" t="n">
        <v>5</v>
      </c>
      <c r="M2175">
        <f>VLOOKUP(D2175,State_Lookup!$A$2:$B$28,2,FALSE)</f>
        <v/>
      </c>
    </row>
    <row r="2176">
      <c r="A2176" t="inlineStr">
        <is>
          <t>809cadee53cde56e54180cf5d6631443</t>
        </is>
      </c>
      <c r="B2176" t="inlineStr">
        <is>
          <t>2017-12-15</t>
        </is>
      </c>
      <c r="C2176" t="inlineStr">
        <is>
          <t>2017-12</t>
        </is>
      </c>
      <c r="D2176" t="inlineStr">
        <is>
          <t>PR</t>
        </is>
      </c>
      <c r="E2176" t="inlineStr">
        <is>
          <t>watches_gifts</t>
        </is>
      </c>
      <c r="F2176" t="n">
        <v>1</v>
      </c>
      <c r="G2176" t="n">
        <v>170</v>
      </c>
      <c r="H2176" t="n">
        <v>15.94</v>
      </c>
      <c r="I2176" t="inlineStr">
        <is>
          <t>credit_card</t>
        </is>
      </c>
      <c r="J2176" t="n">
        <v>24</v>
      </c>
      <c r="K2176" t="inlineStr">
        <is>
          <t>On Time</t>
        </is>
      </c>
      <c r="L2176" t="n">
        <v>4</v>
      </c>
      <c r="M2176">
        <f>VLOOKUP(D2176,State_Lookup!$A$2:$B$28,2,FALSE)</f>
        <v/>
      </c>
    </row>
    <row r="2177">
      <c r="A2177" t="inlineStr">
        <is>
          <t>6e282f45b4785012970c523ef10737b2</t>
        </is>
      </c>
      <c r="B2177" t="inlineStr">
        <is>
          <t>2017-12-15</t>
        </is>
      </c>
      <c r="C2177" t="inlineStr">
        <is>
          <t>2017-12</t>
        </is>
      </c>
      <c r="D2177" t="inlineStr">
        <is>
          <t>SP</t>
        </is>
      </c>
      <c r="E2177" t="inlineStr">
        <is>
          <t>health_beauty</t>
        </is>
      </c>
      <c r="F2177" t="n">
        <v>1</v>
      </c>
      <c r="G2177" t="n">
        <v>19.99</v>
      </c>
      <c r="H2177" t="n">
        <v>7.78</v>
      </c>
      <c r="I2177" t="inlineStr">
        <is>
          <t>credit_card</t>
        </is>
      </c>
      <c r="J2177" t="n">
        <v>7</v>
      </c>
      <c r="K2177" t="inlineStr">
        <is>
          <t>On Time</t>
        </is>
      </c>
      <c r="L2177" t="n">
        <v>5</v>
      </c>
      <c r="M2177">
        <f>VLOOKUP(D2177,State_Lookup!$A$2:$B$28,2,FALSE)</f>
        <v/>
      </c>
    </row>
    <row r="2178">
      <c r="A2178" t="inlineStr">
        <is>
          <t>ede4ebbb6e36cbd377eabcc7f5229575</t>
        </is>
      </c>
      <c r="B2178" t="inlineStr">
        <is>
          <t>2017-12-15</t>
        </is>
      </c>
      <c r="C2178" t="inlineStr">
        <is>
          <t>2017-12</t>
        </is>
      </c>
      <c r="D2178" t="inlineStr">
        <is>
          <t>SP</t>
        </is>
      </c>
      <c r="E2178" t="inlineStr">
        <is>
          <t>bed_bath_table</t>
        </is>
      </c>
      <c r="F2178" t="n">
        <v>1</v>
      </c>
      <c r="G2178" t="n">
        <v>59.99</v>
      </c>
      <c r="H2178" t="n">
        <v>12.76</v>
      </c>
      <c r="I2178" t="inlineStr">
        <is>
          <t>boleto</t>
        </is>
      </c>
      <c r="J2178" t="n">
        <v>11</v>
      </c>
      <c r="K2178" t="inlineStr">
        <is>
          <t>On Time</t>
        </is>
      </c>
      <c r="L2178" t="n">
        <v>4</v>
      </c>
      <c r="M2178">
        <f>VLOOKUP(D2178,State_Lookup!$A$2:$B$28,2,FALSE)</f>
        <v/>
      </c>
    </row>
    <row r="2179">
      <c r="A2179" t="inlineStr">
        <is>
          <t>1ddb26b7e0414dad836e1a828c8ecfde</t>
        </is>
      </c>
      <c r="B2179" t="inlineStr">
        <is>
          <t>2017-12-15</t>
        </is>
      </c>
      <c r="C2179" t="inlineStr">
        <is>
          <t>2017-12</t>
        </is>
      </c>
      <c r="D2179" t="inlineStr">
        <is>
          <t>PE</t>
        </is>
      </c>
      <c r="E2179" t="inlineStr">
        <is>
          <t>furniture_decor</t>
        </is>
      </c>
      <c r="F2179" t="n">
        <v>1</v>
      </c>
      <c r="G2179" t="n">
        <v>55</v>
      </c>
      <c r="H2179" t="n">
        <v>26.93</v>
      </c>
      <c r="I2179" t="inlineStr">
        <is>
          <t>boleto</t>
        </is>
      </c>
      <c r="J2179" t="n">
        <v>22</v>
      </c>
      <c r="K2179" t="inlineStr">
        <is>
          <t>On Time</t>
        </is>
      </c>
      <c r="L2179" t="n">
        <v>5</v>
      </c>
      <c r="M2179">
        <f>VLOOKUP(D2179,State_Lookup!$A$2:$B$28,2,FALSE)</f>
        <v/>
      </c>
    </row>
    <row r="2180">
      <c r="A2180" t="inlineStr">
        <is>
          <t>641fb0752bf5b5940c376b3a8bb9dc52</t>
        </is>
      </c>
      <c r="B2180" t="inlineStr">
        <is>
          <t>2017-12-15</t>
        </is>
      </c>
      <c r="C2180" t="inlineStr">
        <is>
          <t>2017-12</t>
        </is>
      </c>
      <c r="D2180" t="inlineStr">
        <is>
          <t>RJ</t>
        </is>
      </c>
      <c r="E2180" t="inlineStr">
        <is>
          <t>watches_gifts</t>
        </is>
      </c>
      <c r="F2180" t="n">
        <v>1</v>
      </c>
      <c r="G2180" t="n">
        <v>369</v>
      </c>
      <c r="H2180" t="n">
        <v>17.33</v>
      </c>
      <c r="I2180" t="inlineStr">
        <is>
          <t>credit_card</t>
        </is>
      </c>
      <c r="J2180" t="n">
        <v>19</v>
      </c>
      <c r="K2180" t="inlineStr">
        <is>
          <t>On Time</t>
        </is>
      </c>
      <c r="L2180" t="n">
        <v>4</v>
      </c>
      <c r="M2180">
        <f>VLOOKUP(D2180,State_Lookup!$A$2:$B$28,2,FALSE)</f>
        <v/>
      </c>
    </row>
    <row r="2181">
      <c r="A2181" t="inlineStr">
        <is>
          <t>7146225dc080fb528c5c9571a11feca5</t>
        </is>
      </c>
      <c r="B2181" t="inlineStr">
        <is>
          <t>2017-12-15</t>
        </is>
      </c>
      <c r="C2181" t="inlineStr">
        <is>
          <t>2017-12</t>
        </is>
      </c>
      <c r="D2181" t="inlineStr">
        <is>
          <t>SP</t>
        </is>
      </c>
      <c r="E2181" t="inlineStr">
        <is>
          <t>housewares</t>
        </is>
      </c>
      <c r="F2181" t="n">
        <v>2</v>
      </c>
      <c r="G2181" t="n">
        <v>86</v>
      </c>
      <c r="H2181" t="n">
        <v>42.36</v>
      </c>
      <c r="I2181" t="inlineStr">
        <is>
          <t>credit_card</t>
        </is>
      </c>
      <c r="J2181" t="n">
        <v>5</v>
      </c>
      <c r="K2181" t="inlineStr">
        <is>
          <t>On Time</t>
        </is>
      </c>
      <c r="L2181" t="n">
        <v>5</v>
      </c>
      <c r="M2181">
        <f>VLOOKUP(D2181,State_Lookup!$A$2:$B$28,2,FALSE)</f>
        <v/>
      </c>
    </row>
    <row r="2182">
      <c r="A2182" t="inlineStr">
        <is>
          <t>7532f61a8fc7649fe822d89af2ff0a76</t>
        </is>
      </c>
      <c r="B2182" t="inlineStr">
        <is>
          <t>2017-12-16</t>
        </is>
      </c>
      <c r="C2182" t="inlineStr">
        <is>
          <t>2017-12</t>
        </is>
      </c>
      <c r="D2182" t="inlineStr">
        <is>
          <t>SP</t>
        </is>
      </c>
      <c r="E2182" t="inlineStr">
        <is>
          <t>consoles_games</t>
        </is>
      </c>
      <c r="F2182" t="n">
        <v>1</v>
      </c>
      <c r="G2182" t="n">
        <v>24.5</v>
      </c>
      <c r="H2182" t="n">
        <v>11.85</v>
      </c>
      <c r="I2182" t="inlineStr">
        <is>
          <t>credit_card</t>
        </is>
      </c>
      <c r="J2182" t="n">
        <v>23</v>
      </c>
      <c r="K2182" t="inlineStr">
        <is>
          <t>On Time</t>
        </is>
      </c>
      <c r="L2182" t="n">
        <v>5</v>
      </c>
      <c r="M2182">
        <f>VLOOKUP(D2182,State_Lookup!$A$2:$B$28,2,FALSE)</f>
        <v/>
      </c>
    </row>
    <row r="2183">
      <c r="A2183" t="inlineStr">
        <is>
          <t>cb2471f3b559b61183698ec6eb8694ba</t>
        </is>
      </c>
      <c r="B2183" t="inlineStr">
        <is>
          <t>2017-12-16</t>
        </is>
      </c>
      <c r="C2183" t="inlineStr">
        <is>
          <t>2017-12</t>
        </is>
      </c>
      <c r="D2183" t="inlineStr">
        <is>
          <t>RJ</t>
        </is>
      </c>
      <c r="E2183" t="inlineStr">
        <is>
          <t>toys</t>
        </is>
      </c>
      <c r="F2183" t="n">
        <v>1</v>
      </c>
      <c r="G2183" t="n">
        <v>69.98999999999999</v>
      </c>
      <c r="H2183" t="n">
        <v>15.25</v>
      </c>
      <c r="I2183" t="inlineStr">
        <is>
          <t>credit_card</t>
        </is>
      </c>
      <c r="J2183" t="n">
        <v>10</v>
      </c>
      <c r="K2183" t="inlineStr">
        <is>
          <t>On Time</t>
        </is>
      </c>
      <c r="L2183" t="n">
        <v>4</v>
      </c>
      <c r="M2183">
        <f>VLOOKUP(D2183,State_Lookup!$A$2:$B$28,2,FALSE)</f>
        <v/>
      </c>
    </row>
    <row r="2184">
      <c r="A2184" t="inlineStr">
        <is>
          <t>1a46043f18f483b119bbeebb563aa77a</t>
        </is>
      </c>
      <c r="B2184" t="inlineStr">
        <is>
          <t>2017-12-16</t>
        </is>
      </c>
      <c r="C2184" t="inlineStr">
        <is>
          <t>2017-12</t>
        </is>
      </c>
      <c r="D2184" t="inlineStr">
        <is>
          <t>PR</t>
        </is>
      </c>
      <c r="E2184" t="inlineStr">
        <is>
          <t>housewares</t>
        </is>
      </c>
      <c r="F2184" t="n">
        <v>1</v>
      </c>
      <c r="G2184" t="n">
        <v>25</v>
      </c>
      <c r="H2184" t="n">
        <v>15.1</v>
      </c>
      <c r="I2184" t="inlineStr">
        <is>
          <t>voucher</t>
        </is>
      </c>
      <c r="J2184" t="n">
        <v>10</v>
      </c>
      <c r="K2184" t="inlineStr">
        <is>
          <t>On Time</t>
        </is>
      </c>
      <c r="L2184" t="n">
        <v>3</v>
      </c>
      <c r="M2184">
        <f>VLOOKUP(D2184,State_Lookup!$A$2:$B$28,2,FALSE)</f>
        <v/>
      </c>
    </row>
    <row r="2185">
      <c r="A2185" t="inlineStr">
        <is>
          <t>2c04e9500d7402e891b3c1213847febb</t>
        </is>
      </c>
      <c r="B2185" t="inlineStr">
        <is>
          <t>2017-12-16</t>
        </is>
      </c>
      <c r="C2185" t="inlineStr">
        <is>
          <t>2017-12</t>
        </is>
      </c>
      <c r="D2185" t="inlineStr">
        <is>
          <t>SP</t>
        </is>
      </c>
      <c r="E2185" t="inlineStr">
        <is>
          <t>musical_instruments</t>
        </is>
      </c>
      <c r="F2185" t="n">
        <v>1</v>
      </c>
      <c r="G2185" t="n">
        <v>79.90000000000001</v>
      </c>
      <c r="H2185" t="n">
        <v>9.369999999999999</v>
      </c>
      <c r="I2185" t="inlineStr">
        <is>
          <t>credit_card</t>
        </is>
      </c>
      <c r="J2185" t="n">
        <v>3</v>
      </c>
      <c r="K2185" t="inlineStr">
        <is>
          <t>On Time</t>
        </is>
      </c>
      <c r="L2185" t="n">
        <v>5</v>
      </c>
      <c r="M2185">
        <f>VLOOKUP(D2185,State_Lookup!$A$2:$B$28,2,FALSE)</f>
        <v/>
      </c>
    </row>
    <row r="2186">
      <c r="A2186" t="inlineStr">
        <is>
          <t>ae7ef564bd3b4c6b260aae6169c141f7</t>
        </is>
      </c>
      <c r="B2186" t="inlineStr">
        <is>
          <t>2017-12-16</t>
        </is>
      </c>
      <c r="C2186" t="inlineStr">
        <is>
          <t>2017-12</t>
        </is>
      </c>
      <c r="D2186" t="inlineStr">
        <is>
          <t>MG</t>
        </is>
      </c>
      <c r="E2186" t="inlineStr">
        <is>
          <t>baby</t>
        </is>
      </c>
      <c r="F2186" t="n">
        <v>1</v>
      </c>
      <c r="G2186" t="n">
        <v>124.99</v>
      </c>
      <c r="H2186" t="n">
        <v>13</v>
      </c>
      <c r="I2186" t="inlineStr">
        <is>
          <t>credit_card</t>
        </is>
      </c>
      <c r="J2186" t="n">
        <v>6</v>
      </c>
      <c r="K2186" t="inlineStr">
        <is>
          <t>On Time</t>
        </is>
      </c>
      <c r="L2186" t="n">
        <v>5</v>
      </c>
      <c r="M2186">
        <f>VLOOKUP(D2186,State_Lookup!$A$2:$B$28,2,FALSE)</f>
        <v/>
      </c>
    </row>
    <row r="2187">
      <c r="A2187" t="inlineStr">
        <is>
          <t>ef9a0c980b0d1cee2cb97b8ffe3fa64a</t>
        </is>
      </c>
      <c r="B2187" t="inlineStr">
        <is>
          <t>2017-12-16</t>
        </is>
      </c>
      <c r="C2187" t="inlineStr">
        <is>
          <t>2017-12</t>
        </is>
      </c>
      <c r="D2187" t="inlineStr">
        <is>
          <t>SP</t>
        </is>
      </c>
      <c r="E2187" t="inlineStr">
        <is>
          <t>furniture_decor</t>
        </is>
      </c>
      <c r="F2187" t="n">
        <v>1</v>
      </c>
      <c r="G2187" t="n">
        <v>36.9</v>
      </c>
      <c r="H2187" t="n">
        <v>11.85</v>
      </c>
      <c r="I2187" t="inlineStr">
        <is>
          <t>credit_card</t>
        </is>
      </c>
      <c r="J2187" t="n">
        <v>19</v>
      </c>
      <c r="K2187" t="inlineStr">
        <is>
          <t>On Time</t>
        </is>
      </c>
      <c r="L2187" t="n">
        <v>4</v>
      </c>
      <c r="M2187">
        <f>VLOOKUP(D2187,State_Lookup!$A$2:$B$28,2,FALSE)</f>
        <v/>
      </c>
    </row>
    <row r="2188">
      <c r="A2188" t="inlineStr">
        <is>
          <t>44ffd19b3bd3915642db0231344b8b0f</t>
        </is>
      </c>
      <c r="B2188" t="inlineStr">
        <is>
          <t>2017-12-17</t>
        </is>
      </c>
      <c r="C2188" t="inlineStr">
        <is>
          <t>2017-12</t>
        </is>
      </c>
      <c r="D2188" t="inlineStr">
        <is>
          <t>SP</t>
        </is>
      </c>
      <c r="E2188" t="inlineStr">
        <is>
          <t>health_beauty</t>
        </is>
      </c>
      <c r="F2188" t="n">
        <v>1</v>
      </c>
      <c r="G2188" t="n">
        <v>29.9</v>
      </c>
      <c r="H2188" t="n">
        <v>8.109999999999999</v>
      </c>
      <c r="I2188" t="inlineStr">
        <is>
          <t>credit_card</t>
        </is>
      </c>
      <c r="J2188" t="n">
        <v>3</v>
      </c>
      <c r="K2188" t="inlineStr">
        <is>
          <t>On Time</t>
        </is>
      </c>
      <c r="L2188" t="n">
        <v>4</v>
      </c>
      <c r="M2188">
        <f>VLOOKUP(D2188,State_Lookup!$A$2:$B$28,2,FALSE)</f>
        <v/>
      </c>
    </row>
    <row r="2189">
      <c r="A2189" t="inlineStr">
        <is>
          <t>c046beae50286dc9ce99a36e02cb894a</t>
        </is>
      </c>
      <c r="B2189" t="inlineStr">
        <is>
          <t>2017-12-17</t>
        </is>
      </c>
      <c r="C2189" t="inlineStr">
        <is>
          <t>2017-12</t>
        </is>
      </c>
      <c r="D2189" t="inlineStr">
        <is>
          <t>SP</t>
        </is>
      </c>
      <c r="E2189" t="inlineStr">
        <is>
          <t>housewares</t>
        </is>
      </c>
      <c r="F2189" t="n">
        <v>1</v>
      </c>
      <c r="G2189" t="n">
        <v>177.99</v>
      </c>
      <c r="H2189" t="n">
        <v>17.01</v>
      </c>
      <c r="I2189" t="inlineStr">
        <is>
          <t>credit_card</t>
        </is>
      </c>
      <c r="J2189" t="n">
        <v>18</v>
      </c>
      <c r="K2189" t="inlineStr">
        <is>
          <t>On Time</t>
        </is>
      </c>
      <c r="L2189" t="n">
        <v>5</v>
      </c>
      <c r="M2189">
        <f>VLOOKUP(D2189,State_Lookup!$A$2:$B$28,2,FALSE)</f>
        <v/>
      </c>
    </row>
    <row r="2190">
      <c r="A2190" t="inlineStr">
        <is>
          <t>ce5420f8e3e7e46d19de72c08c690ffc</t>
        </is>
      </c>
      <c r="B2190" t="inlineStr">
        <is>
          <t>2017-12-17</t>
        </is>
      </c>
      <c r="C2190" t="inlineStr">
        <is>
          <t>2017-12</t>
        </is>
      </c>
      <c r="D2190" t="inlineStr">
        <is>
          <t>RJ</t>
        </is>
      </c>
      <c r="E2190" t="inlineStr">
        <is>
          <t>consoles_games</t>
        </is>
      </c>
      <c r="F2190" t="n">
        <v>1</v>
      </c>
      <c r="G2190" t="n">
        <v>69.98999999999999</v>
      </c>
      <c r="H2190" t="n">
        <v>14.24</v>
      </c>
      <c r="I2190" t="inlineStr">
        <is>
          <t>credit_card</t>
        </is>
      </c>
      <c r="J2190" t="n">
        <v>26</v>
      </c>
      <c r="K2190" t="inlineStr">
        <is>
          <t>Late</t>
        </is>
      </c>
      <c r="L2190" t="n">
        <v>3</v>
      </c>
      <c r="M2190">
        <f>VLOOKUP(D2190,State_Lookup!$A$2:$B$28,2,FALSE)</f>
        <v/>
      </c>
    </row>
    <row r="2191">
      <c r="A2191" t="inlineStr">
        <is>
          <t>b5256081b888baa655b51fd3a8446242</t>
        </is>
      </c>
      <c r="B2191" t="inlineStr">
        <is>
          <t>2017-12-17</t>
        </is>
      </c>
      <c r="C2191" t="inlineStr">
        <is>
          <t>2017-12</t>
        </is>
      </c>
      <c r="D2191" t="inlineStr">
        <is>
          <t>SP</t>
        </is>
      </c>
      <c r="E2191" t="inlineStr">
        <is>
          <t>auto</t>
        </is>
      </c>
      <c r="F2191" t="n">
        <v>1</v>
      </c>
      <c r="G2191" t="n">
        <v>159</v>
      </c>
      <c r="H2191" t="n">
        <v>14.86</v>
      </c>
      <c r="I2191" t="inlineStr">
        <is>
          <t>voucher</t>
        </is>
      </c>
      <c r="J2191" t="n">
        <v>9</v>
      </c>
      <c r="K2191" t="inlineStr">
        <is>
          <t>On Time</t>
        </is>
      </c>
      <c r="L2191" t="n">
        <v>5</v>
      </c>
      <c r="M2191">
        <f>VLOOKUP(D2191,State_Lookup!$A$2:$B$28,2,FALSE)</f>
        <v/>
      </c>
    </row>
    <row r="2192">
      <c r="A2192" t="inlineStr">
        <is>
          <t>3d98513a866612491197796c741dd71e</t>
        </is>
      </c>
      <c r="B2192" t="inlineStr">
        <is>
          <t>2017-12-17</t>
        </is>
      </c>
      <c r="C2192" t="inlineStr">
        <is>
          <t>2017-12</t>
        </is>
      </c>
      <c r="D2192" t="inlineStr">
        <is>
          <t>RJ</t>
        </is>
      </c>
      <c r="E2192" t="inlineStr">
        <is>
          <t>watches_gifts</t>
        </is>
      </c>
      <c r="F2192" t="n">
        <v>2</v>
      </c>
      <c r="G2192" t="n">
        <v>115</v>
      </c>
      <c r="H2192" t="n">
        <v>22.07</v>
      </c>
      <c r="I2192" t="inlineStr">
        <is>
          <t>boleto</t>
        </is>
      </c>
      <c r="J2192" t="n">
        <v>10</v>
      </c>
      <c r="K2192" t="inlineStr">
        <is>
          <t>On Time</t>
        </is>
      </c>
      <c r="L2192" t="n">
        <v>2</v>
      </c>
      <c r="M2192">
        <f>VLOOKUP(D2192,State_Lookup!$A$2:$B$28,2,FALSE)</f>
        <v/>
      </c>
    </row>
    <row r="2193">
      <c r="A2193" t="inlineStr">
        <is>
          <t>c608468eb1bf28d4f4e70d4f38157357</t>
        </is>
      </c>
      <c r="B2193" t="inlineStr">
        <is>
          <t>2017-12-17</t>
        </is>
      </c>
      <c r="C2193" t="inlineStr">
        <is>
          <t>2017-12</t>
        </is>
      </c>
      <c r="D2193" t="inlineStr">
        <is>
          <t>SP</t>
        </is>
      </c>
      <c r="E2193" t="inlineStr">
        <is>
          <t>health_beauty</t>
        </is>
      </c>
      <c r="F2193" t="n">
        <v>1</v>
      </c>
      <c r="G2193" t="n">
        <v>44.3</v>
      </c>
      <c r="H2193" t="n">
        <v>11.85</v>
      </c>
      <c r="I2193" t="inlineStr">
        <is>
          <t>credit_card</t>
        </is>
      </c>
      <c r="J2193" t="n">
        <v>9</v>
      </c>
      <c r="K2193" t="inlineStr">
        <is>
          <t>On Time</t>
        </is>
      </c>
      <c r="L2193" t="n">
        <v>5</v>
      </c>
      <c r="M2193">
        <f>VLOOKUP(D2193,State_Lookup!$A$2:$B$28,2,FALSE)</f>
        <v/>
      </c>
    </row>
    <row r="2194">
      <c r="A2194" t="inlineStr">
        <is>
          <t>d572a6599cdf43e5635e73d8b71efc65</t>
        </is>
      </c>
      <c r="B2194" t="inlineStr">
        <is>
          <t>2017-12-17</t>
        </is>
      </c>
      <c r="C2194" t="inlineStr">
        <is>
          <t>2017-12</t>
        </is>
      </c>
      <c r="D2194" t="inlineStr">
        <is>
          <t>MS</t>
        </is>
      </c>
      <c r="E2194" t="inlineStr">
        <is>
          <t>fashion_bags_accessories</t>
        </is>
      </c>
      <c r="F2194" t="n">
        <v>1</v>
      </c>
      <c r="G2194" t="n">
        <v>359</v>
      </c>
      <c r="H2194" t="n">
        <v>27.79</v>
      </c>
      <c r="I2194" t="inlineStr">
        <is>
          <t>credit_card</t>
        </is>
      </c>
      <c r="J2194" t="n">
        <v>31</v>
      </c>
      <c r="K2194" t="inlineStr">
        <is>
          <t>On Time</t>
        </is>
      </c>
      <c r="L2194" t="n">
        <v>2</v>
      </c>
      <c r="M2194">
        <f>VLOOKUP(D2194,State_Lookup!$A$2:$B$28,2,FALSE)</f>
        <v/>
      </c>
    </row>
    <row r="2195">
      <c r="A2195" t="inlineStr">
        <is>
          <t>33701411446fda95a2c013c5e38596ba</t>
        </is>
      </c>
      <c r="B2195" t="inlineStr">
        <is>
          <t>2017-12-17</t>
        </is>
      </c>
      <c r="C2195" t="inlineStr">
        <is>
          <t>2017-12</t>
        </is>
      </c>
      <c r="D2195" t="inlineStr">
        <is>
          <t>RJ</t>
        </is>
      </c>
      <c r="E2195" t="inlineStr">
        <is>
          <t>sports_leisure</t>
        </is>
      </c>
      <c r="F2195" t="n">
        <v>2</v>
      </c>
      <c r="G2195" t="n">
        <v>145.8</v>
      </c>
      <c r="H2195" t="n">
        <v>36.16</v>
      </c>
      <c r="I2195" t="inlineStr">
        <is>
          <t>credit_card</t>
        </is>
      </c>
      <c r="J2195" t="n">
        <v>24</v>
      </c>
      <c r="K2195" t="inlineStr">
        <is>
          <t>On Time</t>
        </is>
      </c>
      <c r="L2195" t="n">
        <v>1</v>
      </c>
      <c r="M2195">
        <f>VLOOKUP(D2195,State_Lookup!$A$2:$B$28,2,FALSE)</f>
        <v/>
      </c>
    </row>
    <row r="2196">
      <c r="A2196" t="inlineStr">
        <is>
          <t>6640f59de104f0d99080a84abb0a9bbe</t>
        </is>
      </c>
      <c r="B2196" t="inlineStr">
        <is>
          <t>2017-12-18</t>
        </is>
      </c>
      <c r="C2196" t="inlineStr">
        <is>
          <t>2017-12</t>
        </is>
      </c>
      <c r="D2196" t="inlineStr">
        <is>
          <t>SP</t>
        </is>
      </c>
      <c r="E2196" t="inlineStr">
        <is>
          <t>bed_bath_table</t>
        </is>
      </c>
      <c r="F2196" t="n">
        <v>1</v>
      </c>
      <c r="G2196" t="n">
        <v>89.90000000000001</v>
      </c>
      <c r="H2196" t="n">
        <v>13.65</v>
      </c>
      <c r="I2196" t="inlineStr">
        <is>
          <t>credit_card</t>
        </is>
      </c>
      <c r="J2196" t="n">
        <v>10</v>
      </c>
      <c r="K2196" t="inlineStr">
        <is>
          <t>On Time</t>
        </is>
      </c>
      <c r="L2196" t="n">
        <v>5</v>
      </c>
      <c r="M2196">
        <f>VLOOKUP(D2196,State_Lookup!$A$2:$B$28,2,FALSE)</f>
        <v/>
      </c>
    </row>
    <row r="2197">
      <c r="A2197" t="inlineStr">
        <is>
          <t>d20cc478dbe8fa50221ece6ddf0641b3</t>
        </is>
      </c>
      <c r="B2197" t="inlineStr">
        <is>
          <t>2017-12-18</t>
        </is>
      </c>
      <c r="C2197" t="inlineStr">
        <is>
          <t>2017-12</t>
        </is>
      </c>
      <c r="D2197" t="inlineStr">
        <is>
          <t>RJ</t>
        </is>
      </c>
      <c r="E2197" t="inlineStr">
        <is>
          <t>consoles_games</t>
        </is>
      </c>
      <c r="F2197" t="n">
        <v>1</v>
      </c>
      <c r="G2197" t="n">
        <v>24.5</v>
      </c>
      <c r="H2197" t="n">
        <v>15.1</v>
      </c>
      <c r="I2197" t="inlineStr">
        <is>
          <t>boleto</t>
        </is>
      </c>
      <c r="J2197" t="n">
        <v>20</v>
      </c>
      <c r="K2197" t="inlineStr">
        <is>
          <t>On Time</t>
        </is>
      </c>
      <c r="L2197" t="n">
        <v>4</v>
      </c>
      <c r="M2197">
        <f>VLOOKUP(D2197,State_Lookup!$A$2:$B$28,2,FALSE)</f>
        <v/>
      </c>
    </row>
    <row r="2198">
      <c r="A2198" t="inlineStr">
        <is>
          <t>fe51b08eff082393ace3cbc822e4d33b</t>
        </is>
      </c>
      <c r="B2198" t="inlineStr">
        <is>
          <t>2017-12-18</t>
        </is>
      </c>
      <c r="C2198" t="inlineStr">
        <is>
          <t>2017-12</t>
        </is>
      </c>
      <c r="D2198" t="inlineStr">
        <is>
          <t>RJ</t>
        </is>
      </c>
      <c r="E2198" t="inlineStr">
        <is>
          <t>perfumery</t>
        </is>
      </c>
      <c r="F2198" t="n">
        <v>1</v>
      </c>
      <c r="G2198" t="n">
        <v>84.98999999999999</v>
      </c>
      <c r="H2198" t="n">
        <v>15.35</v>
      </c>
      <c r="I2198" t="inlineStr">
        <is>
          <t>credit_card</t>
        </is>
      </c>
      <c r="J2198" t="n">
        <v>8</v>
      </c>
      <c r="K2198" t="inlineStr">
        <is>
          <t>On Time</t>
        </is>
      </c>
      <c r="L2198" t="n">
        <v>5</v>
      </c>
      <c r="M2198">
        <f>VLOOKUP(D2198,State_Lookup!$A$2:$B$28,2,FALSE)</f>
        <v/>
      </c>
    </row>
    <row r="2199">
      <c r="A2199" t="inlineStr">
        <is>
          <t>b2bcc44cd738d425393e6268c29f096d</t>
        </is>
      </c>
      <c r="B2199" t="inlineStr">
        <is>
          <t>2017-12-18</t>
        </is>
      </c>
      <c r="C2199" t="inlineStr">
        <is>
          <t>2017-12</t>
        </is>
      </c>
      <c r="D2199" t="inlineStr">
        <is>
          <t>MG</t>
        </is>
      </c>
      <c r="E2199" t="inlineStr">
        <is>
          <t>auto</t>
        </is>
      </c>
      <c r="F2199" t="n">
        <v>1</v>
      </c>
      <c r="G2199" t="n">
        <v>24.49</v>
      </c>
      <c r="H2199" t="n">
        <v>15.1</v>
      </c>
      <c r="I2199" t="inlineStr">
        <is>
          <t>boleto</t>
        </is>
      </c>
      <c r="J2199" t="n">
        <v>16</v>
      </c>
      <c r="K2199" t="inlineStr">
        <is>
          <t>On Time</t>
        </is>
      </c>
      <c r="L2199" t="n">
        <v>5</v>
      </c>
      <c r="M2199">
        <f>VLOOKUP(D2199,State_Lookup!$A$2:$B$28,2,FALSE)</f>
        <v/>
      </c>
    </row>
    <row r="2200">
      <c r="A2200" t="inlineStr">
        <is>
          <t>8eb3ea8875ea46e1d2631a59a278e059</t>
        </is>
      </c>
      <c r="B2200" t="inlineStr">
        <is>
          <t>2017-12-18</t>
        </is>
      </c>
      <c r="C2200" t="inlineStr">
        <is>
          <t>2017-12</t>
        </is>
      </c>
      <c r="D2200" t="inlineStr">
        <is>
          <t>GO</t>
        </is>
      </c>
      <c r="E2200" t="inlineStr">
        <is>
          <t>perfumery</t>
        </is>
      </c>
      <c r="F2200" t="n">
        <v>1</v>
      </c>
      <c r="G2200" t="n">
        <v>56.99</v>
      </c>
      <c r="H2200" t="n">
        <v>17</v>
      </c>
      <c r="I2200" t="inlineStr">
        <is>
          <t>credit_card</t>
        </is>
      </c>
      <c r="J2200" t="n">
        <v>18</v>
      </c>
      <c r="K2200" t="inlineStr">
        <is>
          <t>On Time</t>
        </is>
      </c>
      <c r="L2200" t="n">
        <v>5</v>
      </c>
      <c r="M2200">
        <f>VLOOKUP(D2200,State_Lookup!$A$2:$B$28,2,FALSE)</f>
        <v/>
      </c>
    </row>
    <row r="2201">
      <c r="A2201" t="inlineStr">
        <is>
          <t>19cfcf45fc399af9d3e9d1d98638997b</t>
        </is>
      </c>
      <c r="B2201" t="inlineStr">
        <is>
          <t>2017-12-18</t>
        </is>
      </c>
      <c r="C2201" t="inlineStr">
        <is>
          <t>2017-12</t>
        </is>
      </c>
      <c r="D2201" t="inlineStr">
        <is>
          <t>SP</t>
        </is>
      </c>
      <c r="E2201" t="inlineStr">
        <is>
          <t>furniture_decor</t>
        </is>
      </c>
      <c r="F2201" t="n">
        <v>1</v>
      </c>
      <c r="G2201" t="n">
        <v>99.90000000000001</v>
      </c>
      <c r="H2201" t="n">
        <v>21.19</v>
      </c>
      <c r="I2201" t="inlineStr">
        <is>
          <t>credit_card</t>
        </is>
      </c>
      <c r="J2201" t="n">
        <v>10</v>
      </c>
      <c r="K2201" t="inlineStr">
        <is>
          <t>On Time</t>
        </is>
      </c>
      <c r="L2201" t="n">
        <v>4</v>
      </c>
      <c r="M2201">
        <f>VLOOKUP(D2201,State_Lookup!$A$2:$B$28,2,FALSE)</f>
        <v/>
      </c>
    </row>
    <row r="2202">
      <c r="A2202" t="inlineStr">
        <is>
          <t>7ddca388c2366f7f22d6908a12601a6b</t>
        </is>
      </c>
      <c r="B2202" t="inlineStr">
        <is>
          <t>2017-12-18</t>
        </is>
      </c>
      <c r="C2202" t="inlineStr">
        <is>
          <t>2017-12</t>
        </is>
      </c>
      <c r="D2202" t="inlineStr">
        <is>
          <t>GO</t>
        </is>
      </c>
      <c r="E2202" t="inlineStr">
        <is>
          <t>watches_gifts</t>
        </is>
      </c>
      <c r="F2202" t="n">
        <v>1</v>
      </c>
      <c r="G2202" t="n">
        <v>190.83</v>
      </c>
      <c r="H2202" t="n">
        <v>16.09</v>
      </c>
      <c r="I2202" t="inlineStr">
        <is>
          <t>boleto</t>
        </is>
      </c>
      <c r="J2202" t="n">
        <v>11</v>
      </c>
      <c r="K2202" t="inlineStr">
        <is>
          <t>On Time</t>
        </is>
      </c>
      <c r="L2202" t="n">
        <v>5</v>
      </c>
      <c r="M2202">
        <f>VLOOKUP(D2202,State_Lookup!$A$2:$B$28,2,FALSE)</f>
        <v/>
      </c>
    </row>
    <row r="2203">
      <c r="A2203" t="inlineStr">
        <is>
          <t>d48ccff01a1b3e35b69d6b6ed81a352a</t>
        </is>
      </c>
      <c r="B2203" t="inlineStr">
        <is>
          <t>2017-12-18</t>
        </is>
      </c>
      <c r="C2203" t="inlineStr">
        <is>
          <t>2017-12</t>
        </is>
      </c>
      <c r="D2203" t="inlineStr">
        <is>
          <t>SP</t>
        </is>
      </c>
      <c r="E2203" t="inlineStr">
        <is>
          <t>consoles_games</t>
        </is>
      </c>
      <c r="F2203" t="n">
        <v>1</v>
      </c>
      <c r="G2203" t="n">
        <v>25</v>
      </c>
      <c r="H2203" t="n">
        <v>12.99</v>
      </c>
      <c r="I2203" t="inlineStr">
        <is>
          <t>credit_card</t>
        </is>
      </c>
      <c r="J2203" t="n">
        <v>8</v>
      </c>
      <c r="K2203" t="inlineStr">
        <is>
          <t>On Time</t>
        </is>
      </c>
      <c r="L2203" t="n">
        <v>5</v>
      </c>
      <c r="M2203">
        <f>VLOOKUP(D2203,State_Lookup!$A$2:$B$28,2,FALSE)</f>
        <v/>
      </c>
    </row>
    <row r="2204">
      <c r="A2204" t="inlineStr">
        <is>
          <t>5fac67d3be074030a8dba9d398fa14ef</t>
        </is>
      </c>
      <c r="B2204" t="inlineStr">
        <is>
          <t>2017-12-18</t>
        </is>
      </c>
      <c r="C2204" t="inlineStr">
        <is>
          <t>2017-12</t>
        </is>
      </c>
      <c r="D2204" t="inlineStr">
        <is>
          <t>SP</t>
        </is>
      </c>
      <c r="E2204" t="inlineStr">
        <is>
          <t>perfumery</t>
        </is>
      </c>
      <c r="F2204" t="n">
        <v>1</v>
      </c>
      <c r="G2204" t="n">
        <v>118</v>
      </c>
      <c r="H2204" t="n">
        <v>12.33</v>
      </c>
      <c r="I2204" t="inlineStr">
        <is>
          <t>boleto</t>
        </is>
      </c>
      <c r="J2204" t="n">
        <v>3</v>
      </c>
      <c r="K2204" t="inlineStr">
        <is>
          <t>On Time</t>
        </is>
      </c>
      <c r="L2204" t="n">
        <v>5</v>
      </c>
      <c r="M2204">
        <f>VLOOKUP(D2204,State_Lookup!$A$2:$B$28,2,FALSE)</f>
        <v/>
      </c>
    </row>
    <row r="2205">
      <c r="A2205" t="inlineStr">
        <is>
          <t>bda4a979b6d9a0a3993ea2ef51a41497</t>
        </is>
      </c>
      <c r="B2205" t="inlineStr">
        <is>
          <t>2017-12-18</t>
        </is>
      </c>
      <c r="C2205" t="inlineStr">
        <is>
          <t>2017-12</t>
        </is>
      </c>
      <c r="D2205" t="inlineStr">
        <is>
          <t>SP</t>
        </is>
      </c>
      <c r="E2205" t="inlineStr">
        <is>
          <t>pet_shop</t>
        </is>
      </c>
      <c r="F2205" t="n">
        <v>2</v>
      </c>
      <c r="G2205" t="n">
        <v>342</v>
      </c>
      <c r="H2205" t="n">
        <v>17.88</v>
      </c>
      <c r="I2205" t="inlineStr">
        <is>
          <t>credit_card</t>
        </is>
      </c>
      <c r="J2205" t="n">
        <v>3</v>
      </c>
      <c r="K2205" t="inlineStr">
        <is>
          <t>On Time</t>
        </is>
      </c>
      <c r="L2205" t="n">
        <v>5</v>
      </c>
      <c r="M2205">
        <f>VLOOKUP(D2205,State_Lookup!$A$2:$B$28,2,FALSE)</f>
        <v/>
      </c>
    </row>
    <row r="2206">
      <c r="A2206" t="inlineStr">
        <is>
          <t>f6a62f93fc38410844863ed6a061f425</t>
        </is>
      </c>
      <c r="B2206" t="inlineStr">
        <is>
          <t>2017-12-18</t>
        </is>
      </c>
      <c r="C2206" t="inlineStr">
        <is>
          <t>2017-12</t>
        </is>
      </c>
      <c r="D2206" t="inlineStr">
        <is>
          <t>SP</t>
        </is>
      </c>
      <c r="E2206" t="inlineStr">
        <is>
          <t>computers_accessories</t>
        </is>
      </c>
      <c r="F2206" t="n">
        <v>1</v>
      </c>
      <c r="G2206" t="n">
        <v>152</v>
      </c>
      <c r="H2206" t="n">
        <v>15.81</v>
      </c>
      <c r="I2206" t="inlineStr">
        <is>
          <t>boleto</t>
        </is>
      </c>
      <c r="J2206" t="n">
        <v>17</v>
      </c>
      <c r="K2206" t="inlineStr">
        <is>
          <t>On Time</t>
        </is>
      </c>
      <c r="L2206" t="n">
        <v>3</v>
      </c>
      <c r="M2206">
        <f>VLOOKUP(D2206,State_Lookup!$A$2:$B$28,2,FALSE)</f>
        <v/>
      </c>
    </row>
    <row r="2207">
      <c r="A2207" t="inlineStr">
        <is>
          <t>1d25367a9fef6c8938bc5e747e3a73b9</t>
        </is>
      </c>
      <c r="B2207" t="inlineStr">
        <is>
          <t>2017-12-19</t>
        </is>
      </c>
      <c r="C2207" t="inlineStr">
        <is>
          <t>2017-12</t>
        </is>
      </c>
      <c r="D2207" t="inlineStr">
        <is>
          <t>SP</t>
        </is>
      </c>
      <c r="E2207" t="inlineStr">
        <is>
          <t>drinks</t>
        </is>
      </c>
      <c r="F2207" t="n">
        <v>1</v>
      </c>
      <c r="G2207" t="n">
        <v>55.49</v>
      </c>
      <c r="H2207" t="n">
        <v>9.94</v>
      </c>
      <c r="I2207" t="inlineStr">
        <is>
          <t>boleto</t>
        </is>
      </c>
      <c r="J2207" t="n">
        <v>4</v>
      </c>
      <c r="K2207" t="inlineStr">
        <is>
          <t>On Time</t>
        </is>
      </c>
      <c r="L2207" t="n">
        <v>5</v>
      </c>
      <c r="M2207">
        <f>VLOOKUP(D2207,State_Lookup!$A$2:$B$28,2,FALSE)</f>
        <v/>
      </c>
    </row>
    <row r="2208">
      <c r="A2208" t="inlineStr">
        <is>
          <t>6b901164a6a34cde6b892a1a3c549294</t>
        </is>
      </c>
      <c r="B2208" t="inlineStr">
        <is>
          <t>2017-12-19</t>
        </is>
      </c>
      <c r="C2208" t="inlineStr">
        <is>
          <t>2017-12</t>
        </is>
      </c>
      <c r="D2208" t="inlineStr">
        <is>
          <t>PE</t>
        </is>
      </c>
      <c r="E2208" t="inlineStr">
        <is>
          <t>fashion_bags_accessories</t>
        </is>
      </c>
      <c r="F2208" t="n">
        <v>1</v>
      </c>
      <c r="G2208" t="n">
        <v>35</v>
      </c>
      <c r="H2208" t="n">
        <v>25.63</v>
      </c>
      <c r="I2208" t="inlineStr">
        <is>
          <t>credit_card</t>
        </is>
      </c>
      <c r="J2208" t="n">
        <v>20</v>
      </c>
      <c r="K2208" t="inlineStr">
        <is>
          <t>On Time</t>
        </is>
      </c>
      <c r="L2208" t="n">
        <v>5</v>
      </c>
      <c r="M2208">
        <f>VLOOKUP(D2208,State_Lookup!$A$2:$B$28,2,FALSE)</f>
        <v/>
      </c>
    </row>
    <row r="2209">
      <c r="A2209" t="inlineStr">
        <is>
          <t>3affb32917f79ab66f26546e066fe5db</t>
        </is>
      </c>
      <c r="B2209" t="inlineStr">
        <is>
          <t>2017-12-19</t>
        </is>
      </c>
      <c r="C2209" t="inlineStr">
        <is>
          <t>2017-12</t>
        </is>
      </c>
      <c r="D2209" t="inlineStr">
        <is>
          <t>RJ</t>
        </is>
      </c>
      <c r="E2209" t="inlineStr">
        <is>
          <t>perfumery</t>
        </is>
      </c>
      <c r="F2209" t="n">
        <v>1</v>
      </c>
      <c r="G2209" t="n">
        <v>250.9</v>
      </c>
      <c r="H2209" t="n">
        <v>16.51</v>
      </c>
      <c r="I2209" t="inlineStr">
        <is>
          <t>credit_card</t>
        </is>
      </c>
      <c r="J2209" t="n">
        <v>50</v>
      </c>
      <c r="K2209" t="inlineStr">
        <is>
          <t>Late</t>
        </is>
      </c>
      <c r="L2209" t="n">
        <v>1</v>
      </c>
      <c r="M2209">
        <f>VLOOKUP(D2209,State_Lookup!$A$2:$B$28,2,FALSE)</f>
        <v/>
      </c>
    </row>
    <row r="2210">
      <c r="A2210" t="inlineStr">
        <is>
          <t>9274443a23faa8fd9d5805fc0bd68c5e</t>
        </is>
      </c>
      <c r="B2210" t="inlineStr">
        <is>
          <t>2017-12-19</t>
        </is>
      </c>
      <c r="C2210" t="inlineStr">
        <is>
          <t>2017-12</t>
        </is>
      </c>
      <c r="D2210" t="inlineStr">
        <is>
          <t>DF</t>
        </is>
      </c>
      <c r="E2210" t="inlineStr">
        <is>
          <t>christmas_supplies</t>
        </is>
      </c>
      <c r="F2210" t="n">
        <v>3</v>
      </c>
      <c r="G2210" t="n">
        <v>38.1</v>
      </c>
      <c r="H2210" t="n">
        <v>45.33</v>
      </c>
      <c r="I2210" t="inlineStr">
        <is>
          <t>credit_card</t>
        </is>
      </c>
      <c r="J2210" t="n">
        <v>8</v>
      </c>
      <c r="K2210" t="inlineStr">
        <is>
          <t>On Time</t>
        </is>
      </c>
      <c r="L2210" t="n">
        <v>5</v>
      </c>
      <c r="M2210">
        <f>VLOOKUP(D2210,State_Lookup!$A$2:$B$28,2,FALSE)</f>
        <v/>
      </c>
    </row>
    <row r="2211">
      <c r="A2211" t="inlineStr">
        <is>
          <t>250dcd1c3cc5c78b8c8f1c6da5ee4933</t>
        </is>
      </c>
      <c r="B2211" t="inlineStr">
        <is>
          <t>2017-12-19</t>
        </is>
      </c>
      <c r="C2211" t="inlineStr">
        <is>
          <t>2017-12</t>
        </is>
      </c>
      <c r="D2211" t="inlineStr">
        <is>
          <t>SP</t>
        </is>
      </c>
      <c r="E2211" t="inlineStr">
        <is>
          <t>health_beauty</t>
        </is>
      </c>
      <c r="F2211" t="n">
        <v>1</v>
      </c>
      <c r="G2211" t="n">
        <v>150</v>
      </c>
      <c r="H2211" t="n">
        <v>12.55</v>
      </c>
      <c r="I2211" t="inlineStr">
        <is>
          <t>credit_card</t>
        </is>
      </c>
      <c r="J2211" t="n">
        <v>7</v>
      </c>
      <c r="K2211" t="inlineStr">
        <is>
          <t>On Time</t>
        </is>
      </c>
      <c r="L2211" t="n">
        <v>5</v>
      </c>
      <c r="M2211">
        <f>VLOOKUP(D2211,State_Lookup!$A$2:$B$28,2,FALSE)</f>
        <v/>
      </c>
    </row>
    <row r="2212">
      <c r="A2212" t="inlineStr">
        <is>
          <t>dfb753bfb675436ca257d189c5377417</t>
        </is>
      </c>
      <c r="B2212" t="inlineStr">
        <is>
          <t>2017-12-19</t>
        </is>
      </c>
      <c r="C2212" t="inlineStr">
        <is>
          <t>2017-12</t>
        </is>
      </c>
      <c r="D2212" t="inlineStr">
        <is>
          <t>MG</t>
        </is>
      </c>
      <c r="E2212" t="inlineStr">
        <is>
          <t>auto</t>
        </is>
      </c>
      <c r="F2212" t="n">
        <v>1</v>
      </c>
      <c r="G2212" t="n">
        <v>69.90000000000001</v>
      </c>
      <c r="H2212" t="n">
        <v>17.74</v>
      </c>
      <c r="I2212" t="inlineStr">
        <is>
          <t>voucher</t>
        </is>
      </c>
      <c r="J2212" t="n">
        <v>10</v>
      </c>
      <c r="K2212" t="inlineStr">
        <is>
          <t>On Time</t>
        </is>
      </c>
      <c r="L2212" t="n">
        <v>5</v>
      </c>
      <c r="M2212">
        <f>VLOOKUP(D2212,State_Lookup!$A$2:$B$28,2,FALSE)</f>
        <v/>
      </c>
    </row>
    <row r="2213">
      <c r="A2213" t="inlineStr">
        <is>
          <t>3681bab4effe9b62e6ad70e65a7637de</t>
        </is>
      </c>
      <c r="B2213" t="inlineStr">
        <is>
          <t>2017-12-20</t>
        </is>
      </c>
      <c r="C2213" t="inlineStr">
        <is>
          <t>2017-12</t>
        </is>
      </c>
      <c r="D2213" t="inlineStr">
        <is>
          <t>SP</t>
        </is>
      </c>
      <c r="E2213" t="inlineStr">
        <is>
          <t>consoles_games</t>
        </is>
      </c>
      <c r="F2213" t="n">
        <v>1</v>
      </c>
      <c r="G2213" t="n">
        <v>24.5</v>
      </c>
      <c r="H2213" t="n">
        <v>11.85</v>
      </c>
      <c r="I2213" t="inlineStr">
        <is>
          <t>boleto</t>
        </is>
      </c>
      <c r="J2213" t="n">
        <v>19</v>
      </c>
      <c r="K2213" t="inlineStr">
        <is>
          <t>On Time</t>
        </is>
      </c>
      <c r="L2213" t="n">
        <v>5</v>
      </c>
      <c r="M2213">
        <f>VLOOKUP(D2213,State_Lookup!$A$2:$B$28,2,FALSE)</f>
        <v/>
      </c>
    </row>
    <row r="2214">
      <c r="A2214" t="inlineStr">
        <is>
          <t>a113213b73eab23b8cc9744a43f7f65c</t>
        </is>
      </c>
      <c r="B2214" t="inlineStr">
        <is>
          <t>2017-12-20</t>
        </is>
      </c>
      <c r="C2214" t="inlineStr">
        <is>
          <t>2017-12</t>
        </is>
      </c>
      <c r="D2214" t="inlineStr">
        <is>
          <t>SP</t>
        </is>
      </c>
      <c r="E2214" t="inlineStr">
        <is>
          <t>sports_leisure</t>
        </is>
      </c>
      <c r="F2214" t="n">
        <v>1</v>
      </c>
      <c r="G2214" t="n">
        <v>22.99</v>
      </c>
      <c r="H2214" t="n">
        <v>11.85</v>
      </c>
      <c r="I2214" t="inlineStr">
        <is>
          <t>boleto</t>
        </is>
      </c>
      <c r="J2214" t="n">
        <v>9</v>
      </c>
      <c r="K2214" t="inlineStr">
        <is>
          <t>On Time</t>
        </is>
      </c>
      <c r="L2214" t="n">
        <v>5</v>
      </c>
      <c r="M2214">
        <f>VLOOKUP(D2214,State_Lookup!$A$2:$B$28,2,FALSE)</f>
        <v/>
      </c>
    </row>
    <row r="2215">
      <c r="A2215" t="inlineStr">
        <is>
          <t>2e798d923f1fa1373bef8fb916af50d2</t>
        </is>
      </c>
      <c r="B2215" t="inlineStr">
        <is>
          <t>2017-12-20</t>
        </is>
      </c>
      <c r="C2215" t="inlineStr">
        <is>
          <t>2017-12</t>
        </is>
      </c>
      <c r="D2215" t="inlineStr">
        <is>
          <t>BA</t>
        </is>
      </c>
      <c r="E2215" t="inlineStr">
        <is>
          <t>auto</t>
        </is>
      </c>
      <c r="F2215" t="n">
        <v>1</v>
      </c>
      <c r="G2215" t="n">
        <v>64.02</v>
      </c>
      <c r="H2215" t="n">
        <v>17.73</v>
      </c>
      <c r="I2215" t="inlineStr">
        <is>
          <t>credit_card</t>
        </is>
      </c>
      <c r="J2215" t="n">
        <v>9</v>
      </c>
      <c r="K2215" t="inlineStr">
        <is>
          <t>On Time</t>
        </is>
      </c>
      <c r="L2215" t="n">
        <v>5</v>
      </c>
      <c r="M2215">
        <f>VLOOKUP(D2215,State_Lookup!$A$2:$B$28,2,FALSE)</f>
        <v/>
      </c>
    </row>
    <row r="2216">
      <c r="A2216" t="inlineStr">
        <is>
          <t>3cf7d2f50fc31d36d208c46a30855d22</t>
        </is>
      </c>
      <c r="B2216" t="inlineStr">
        <is>
          <t>2017-12-20</t>
        </is>
      </c>
      <c r="C2216" t="inlineStr">
        <is>
          <t>2017-12</t>
        </is>
      </c>
      <c r="D2216" t="inlineStr">
        <is>
          <t>PE</t>
        </is>
      </c>
      <c r="E2216" t="inlineStr">
        <is>
          <t>fashion_bags_accessories</t>
        </is>
      </c>
      <c r="F2216" t="n">
        <v>1</v>
      </c>
      <c r="G2216" t="n">
        <v>49.9</v>
      </c>
      <c r="H2216" t="n">
        <v>34.15</v>
      </c>
      <c r="I2216" t="inlineStr">
        <is>
          <t>boleto</t>
        </is>
      </c>
      <c r="J2216" t="n">
        <v>14</v>
      </c>
      <c r="K2216" t="inlineStr">
        <is>
          <t>On Time</t>
        </is>
      </c>
      <c r="L2216" t="n">
        <v>4</v>
      </c>
      <c r="M2216">
        <f>VLOOKUP(D2216,State_Lookup!$A$2:$B$28,2,FALSE)</f>
        <v/>
      </c>
    </row>
    <row r="2217">
      <c r="A2217" t="inlineStr">
        <is>
          <t>4fd754f42b2d84fcafd63991c1680329</t>
        </is>
      </c>
      <c r="B2217" t="inlineStr">
        <is>
          <t>2017-12-20</t>
        </is>
      </c>
      <c r="C2217" t="inlineStr">
        <is>
          <t>2017-12</t>
        </is>
      </c>
      <c r="D2217" t="inlineStr">
        <is>
          <t>CE</t>
        </is>
      </c>
      <c r="E2217" t="inlineStr">
        <is>
          <t>watches_gifts</t>
        </is>
      </c>
      <c r="F2217" t="n">
        <v>1</v>
      </c>
      <c r="G2217" t="n">
        <v>155.99</v>
      </c>
      <c r="H2217" t="n">
        <v>26.37</v>
      </c>
      <c r="I2217" t="inlineStr">
        <is>
          <t>credit_card</t>
        </is>
      </c>
      <c r="J2217" t="n">
        <v>15</v>
      </c>
      <c r="K2217" t="inlineStr">
        <is>
          <t>On Time</t>
        </is>
      </c>
      <c r="L2217" t="n">
        <v>4</v>
      </c>
      <c r="M2217">
        <f>VLOOKUP(D2217,State_Lookup!$A$2:$B$28,2,FALSE)</f>
        <v/>
      </c>
    </row>
    <row r="2218">
      <c r="A2218" t="inlineStr">
        <is>
          <t>74aacfe89f7715e9d6655dd55c86da46</t>
        </is>
      </c>
      <c r="B2218" t="inlineStr">
        <is>
          <t>2017-12-20</t>
        </is>
      </c>
      <c r="C2218" t="inlineStr">
        <is>
          <t>2017-12</t>
        </is>
      </c>
      <c r="D2218" t="inlineStr">
        <is>
          <t>MG</t>
        </is>
      </c>
      <c r="E2218" t="inlineStr">
        <is>
          <t>musical_instruments</t>
        </is>
      </c>
      <c r="F2218" t="n">
        <v>1</v>
      </c>
      <c r="G2218" t="n">
        <v>1288.72</v>
      </c>
      <c r="H2218" t="n">
        <v>26.27</v>
      </c>
      <c r="I2218" t="inlineStr">
        <is>
          <t>credit_card</t>
        </is>
      </c>
      <c r="J2218" t="n">
        <v>13</v>
      </c>
      <c r="K2218" t="inlineStr">
        <is>
          <t>On Time</t>
        </is>
      </c>
      <c r="L2218" t="inlineStr"/>
      <c r="M2218">
        <f>VLOOKUP(D2218,State_Lookup!$A$2:$B$28,2,FALSE)</f>
        <v/>
      </c>
    </row>
    <row r="2219">
      <c r="A2219" t="inlineStr">
        <is>
          <t>505efa2eaeb145cfa984edf0efc092f2</t>
        </is>
      </c>
      <c r="B2219" t="inlineStr">
        <is>
          <t>2017-12-21</t>
        </is>
      </c>
      <c r="C2219" t="inlineStr">
        <is>
          <t>2017-12</t>
        </is>
      </c>
      <c r="D2219" t="inlineStr">
        <is>
          <t>MS</t>
        </is>
      </c>
      <c r="E2219" t="inlineStr">
        <is>
          <t>bed_bath_table</t>
        </is>
      </c>
      <c r="F2219" t="n">
        <v>1</v>
      </c>
      <c r="G2219" t="n">
        <v>122.9</v>
      </c>
      <c r="H2219" t="n">
        <v>16.62</v>
      </c>
      <c r="I2219" t="inlineStr">
        <is>
          <t>boleto</t>
        </is>
      </c>
      <c r="J2219" t="n">
        <v>20</v>
      </c>
      <c r="K2219" t="inlineStr">
        <is>
          <t>On Time</t>
        </is>
      </c>
      <c r="L2219" t="n">
        <v>5</v>
      </c>
      <c r="M2219">
        <f>VLOOKUP(D2219,State_Lookup!$A$2:$B$28,2,FALSE)</f>
        <v/>
      </c>
    </row>
    <row r="2220">
      <c r="A2220" t="inlineStr">
        <is>
          <t>5e49f5d6df788d49b16273923cfcf7e2</t>
        </is>
      </c>
      <c r="B2220" t="inlineStr">
        <is>
          <t>2017-12-21</t>
        </is>
      </c>
      <c r="C2220" t="inlineStr">
        <is>
          <t>2017-12</t>
        </is>
      </c>
      <c r="D2220" t="inlineStr">
        <is>
          <t>DF</t>
        </is>
      </c>
      <c r="E2220" t="inlineStr">
        <is>
          <t>stationery</t>
        </is>
      </c>
      <c r="F2220" t="n">
        <v>1</v>
      </c>
      <c r="G2220" t="n">
        <v>79</v>
      </c>
      <c r="H2220" t="n">
        <v>17.8</v>
      </c>
      <c r="I2220" t="inlineStr">
        <is>
          <t>credit_card</t>
        </is>
      </c>
      <c r="J2220" t="n">
        <v>8</v>
      </c>
      <c r="K2220" t="inlineStr">
        <is>
          <t>On Time</t>
        </is>
      </c>
      <c r="L2220" t="n">
        <v>5</v>
      </c>
      <c r="M2220">
        <f>VLOOKUP(D2220,State_Lookup!$A$2:$B$28,2,FALSE)</f>
        <v/>
      </c>
    </row>
    <row r="2221">
      <c r="A2221" t="inlineStr">
        <is>
          <t>c26761f0a70b2b7e0bb437aef502ffc1</t>
        </is>
      </c>
      <c r="B2221" t="inlineStr">
        <is>
          <t>2017-12-21</t>
        </is>
      </c>
      <c r="C2221" t="inlineStr">
        <is>
          <t>2017-12</t>
        </is>
      </c>
      <c r="D2221" t="inlineStr">
        <is>
          <t>MG</t>
        </is>
      </c>
      <c r="E2221" t="inlineStr">
        <is>
          <t>computers_accessories</t>
        </is>
      </c>
      <c r="F2221" t="n">
        <v>1</v>
      </c>
      <c r="G2221" t="n">
        <v>14.99</v>
      </c>
      <c r="H2221" t="n">
        <v>14.1</v>
      </c>
      <c r="I2221" t="inlineStr">
        <is>
          <t>boleto</t>
        </is>
      </c>
      <c r="J2221" t="n">
        <v>12</v>
      </c>
      <c r="K2221" t="inlineStr">
        <is>
          <t>On Time</t>
        </is>
      </c>
      <c r="L2221" t="n">
        <v>4</v>
      </c>
      <c r="M2221">
        <f>VLOOKUP(D2221,State_Lookup!$A$2:$B$28,2,FALSE)</f>
        <v/>
      </c>
    </row>
    <row r="2222">
      <c r="A2222" t="inlineStr">
        <is>
          <t>0197cb265e2c84b9f89dfd784095d2f6</t>
        </is>
      </c>
      <c r="B2222" t="inlineStr">
        <is>
          <t>2017-12-21</t>
        </is>
      </c>
      <c r="C2222" t="inlineStr">
        <is>
          <t>2017-12</t>
        </is>
      </c>
      <c r="D2222" t="inlineStr">
        <is>
          <t>MS</t>
        </is>
      </c>
      <c r="E2222" t="inlineStr">
        <is>
          <t>furniture_decor</t>
        </is>
      </c>
      <c r="F2222" t="n">
        <v>1</v>
      </c>
      <c r="G2222" t="n">
        <v>320</v>
      </c>
      <c r="H2222" t="n">
        <v>58.91</v>
      </c>
      <c r="I2222" t="inlineStr">
        <is>
          <t>boleto</t>
        </is>
      </c>
      <c r="J2222" t="n">
        <v>6</v>
      </c>
      <c r="K2222" t="inlineStr">
        <is>
          <t>On Time</t>
        </is>
      </c>
      <c r="L2222" t="n">
        <v>4</v>
      </c>
      <c r="M2222">
        <f>VLOOKUP(D2222,State_Lookup!$A$2:$B$28,2,FALSE)</f>
        <v/>
      </c>
    </row>
    <row r="2223">
      <c r="A2223" t="inlineStr">
        <is>
          <t>bc53c8f21c0b72e517882835cd767c69</t>
        </is>
      </c>
      <c r="B2223" t="inlineStr">
        <is>
          <t>2017-12-21</t>
        </is>
      </c>
      <c r="C2223" t="inlineStr">
        <is>
          <t>2017-12</t>
        </is>
      </c>
      <c r="D2223" t="inlineStr">
        <is>
          <t>RJ</t>
        </is>
      </c>
      <c r="E2223" t="inlineStr">
        <is>
          <t>stationery</t>
        </is>
      </c>
      <c r="F2223" t="n">
        <v>1</v>
      </c>
      <c r="G2223" t="n">
        <v>79</v>
      </c>
      <c r="H2223" t="n">
        <v>17.8</v>
      </c>
      <c r="I2223" t="inlineStr">
        <is>
          <t>voucher</t>
        </is>
      </c>
      <c r="J2223" t="n">
        <v>7</v>
      </c>
      <c r="K2223" t="inlineStr">
        <is>
          <t>On Time</t>
        </is>
      </c>
      <c r="L2223" t="n">
        <v>5</v>
      </c>
      <c r="M2223">
        <f>VLOOKUP(D2223,State_Lookup!$A$2:$B$28,2,FALSE)</f>
        <v/>
      </c>
    </row>
    <row r="2224">
      <c r="A2224" t="inlineStr">
        <is>
          <t>fe752108fc4e35deba17eca323635246</t>
        </is>
      </c>
      <c r="B2224" t="inlineStr">
        <is>
          <t>2017-12-21</t>
        </is>
      </c>
      <c r="C2224" t="inlineStr">
        <is>
          <t>2017-12</t>
        </is>
      </c>
      <c r="D2224" t="inlineStr">
        <is>
          <t>DF</t>
        </is>
      </c>
      <c r="E2224" t="inlineStr">
        <is>
          <t>toys</t>
        </is>
      </c>
      <c r="F2224" t="n">
        <v>1</v>
      </c>
      <c r="G2224" t="n">
        <v>329.9</v>
      </c>
      <c r="H2224" t="n">
        <v>87.93000000000001</v>
      </c>
      <c r="I2224" t="inlineStr">
        <is>
          <t>credit_card</t>
        </is>
      </c>
      <c r="J2224" t="n">
        <v>7</v>
      </c>
      <c r="K2224" t="inlineStr">
        <is>
          <t>On Time</t>
        </is>
      </c>
      <c r="L2224" t="n">
        <v>3</v>
      </c>
      <c r="M2224">
        <f>VLOOKUP(D2224,State_Lookup!$A$2:$B$28,2,FALSE)</f>
        <v/>
      </c>
    </row>
    <row r="2225">
      <c r="A2225" t="inlineStr">
        <is>
          <t>ef58b71f4ad3a17f606417f1737c9d13</t>
        </is>
      </c>
      <c r="B2225" t="inlineStr">
        <is>
          <t>2017-12-21</t>
        </is>
      </c>
      <c r="C2225" t="inlineStr">
        <is>
          <t>2017-12</t>
        </is>
      </c>
      <c r="D2225" t="inlineStr">
        <is>
          <t>SP</t>
        </is>
      </c>
      <c r="E2225" t="inlineStr">
        <is>
          <t>toys</t>
        </is>
      </c>
      <c r="F2225" t="n">
        <v>1</v>
      </c>
      <c r="G2225" t="n">
        <v>201.6</v>
      </c>
      <c r="H2225" t="n">
        <v>10.23</v>
      </c>
      <c r="I2225" t="inlineStr">
        <is>
          <t>credit_card</t>
        </is>
      </c>
      <c r="J2225" t="n">
        <v>5</v>
      </c>
      <c r="K2225" t="inlineStr">
        <is>
          <t>On Time</t>
        </is>
      </c>
      <c r="L2225" t="n">
        <v>4</v>
      </c>
      <c r="M2225">
        <f>VLOOKUP(D2225,State_Lookup!$A$2:$B$28,2,FALSE)</f>
        <v/>
      </c>
    </row>
    <row r="2226">
      <c r="A2226" t="inlineStr">
        <is>
          <t>1def7af24cb7182497acfd953f6dd88b</t>
        </is>
      </c>
      <c r="B2226" t="inlineStr">
        <is>
          <t>2017-12-21</t>
        </is>
      </c>
      <c r="C2226" t="inlineStr">
        <is>
          <t>2017-12</t>
        </is>
      </c>
      <c r="D2226" t="inlineStr">
        <is>
          <t>RJ</t>
        </is>
      </c>
      <c r="E2226" t="inlineStr">
        <is>
          <t>sports_leisure</t>
        </is>
      </c>
      <c r="F2226" t="n">
        <v>1</v>
      </c>
      <c r="G2226" t="n">
        <v>244.69</v>
      </c>
      <c r="H2226" t="n">
        <v>54.31</v>
      </c>
      <c r="I2226" t="inlineStr">
        <is>
          <t>boleto</t>
        </is>
      </c>
      <c r="J2226" t="inlineStr"/>
      <c r="K2226" t="inlineStr">
        <is>
          <t>Not Delivered</t>
        </is>
      </c>
      <c r="L2226" t="n">
        <v>1</v>
      </c>
      <c r="M2226">
        <f>VLOOKUP(D2226,State_Lookup!$A$2:$B$28,2,FALSE)</f>
        <v/>
      </c>
    </row>
    <row r="2227">
      <c r="A2227" t="inlineStr">
        <is>
          <t>6806f0c7951cb006052a1c2c8e305057</t>
        </is>
      </c>
      <c r="B2227" t="inlineStr">
        <is>
          <t>2017-12-21</t>
        </is>
      </c>
      <c r="C2227" t="inlineStr">
        <is>
          <t>2017-12</t>
        </is>
      </c>
      <c r="D2227" t="inlineStr">
        <is>
          <t>SP</t>
        </is>
      </c>
      <c r="E2227" t="inlineStr">
        <is>
          <t>housewares</t>
        </is>
      </c>
      <c r="F2227" t="n">
        <v>1</v>
      </c>
      <c r="G2227" t="n">
        <v>71.67</v>
      </c>
      <c r="H2227" t="n">
        <v>9.34</v>
      </c>
      <c r="I2227" t="inlineStr">
        <is>
          <t>credit_card</t>
        </is>
      </c>
      <c r="J2227" t="n">
        <v>1</v>
      </c>
      <c r="K2227" t="inlineStr">
        <is>
          <t>On Time</t>
        </is>
      </c>
      <c r="L2227" t="n">
        <v>4</v>
      </c>
      <c r="M2227">
        <f>VLOOKUP(D2227,State_Lookup!$A$2:$B$28,2,FALSE)</f>
        <v/>
      </c>
    </row>
    <row r="2228">
      <c r="A2228" t="inlineStr">
        <is>
          <t>47af229bbf080cd988ee4be19bb5c888</t>
        </is>
      </c>
      <c r="B2228" t="inlineStr">
        <is>
          <t>2017-12-21</t>
        </is>
      </c>
      <c r="C2228" t="inlineStr">
        <is>
          <t>2017-12</t>
        </is>
      </c>
      <c r="D2228" t="inlineStr">
        <is>
          <t>MG</t>
        </is>
      </c>
      <c r="E2228" t="inlineStr">
        <is>
          <t>baby</t>
        </is>
      </c>
      <c r="F2228" t="n">
        <v>1</v>
      </c>
      <c r="G2228" t="n">
        <v>388</v>
      </c>
      <c r="H2228" t="n">
        <v>23.21</v>
      </c>
      <c r="I2228" t="inlineStr">
        <is>
          <t>boleto</t>
        </is>
      </c>
      <c r="J2228" t="n">
        <v>6</v>
      </c>
      <c r="K2228" t="inlineStr">
        <is>
          <t>On Time</t>
        </is>
      </c>
      <c r="L2228" t="n">
        <v>3</v>
      </c>
      <c r="M2228">
        <f>VLOOKUP(D2228,State_Lookup!$A$2:$B$28,2,FALSE)</f>
        <v/>
      </c>
    </row>
    <row r="2229">
      <c r="A2229" t="inlineStr">
        <is>
          <t>8236871cb131f90f8cea6a9f84140b42</t>
        </is>
      </c>
      <c r="B2229" t="inlineStr">
        <is>
          <t>2017-12-21</t>
        </is>
      </c>
      <c r="C2229" t="inlineStr">
        <is>
          <t>2017-12</t>
        </is>
      </c>
      <c r="D2229" t="inlineStr">
        <is>
          <t>SP</t>
        </is>
      </c>
      <c r="E2229" t="inlineStr">
        <is>
          <t>toys</t>
        </is>
      </c>
      <c r="F2229" t="n">
        <v>1</v>
      </c>
      <c r="G2229" t="n">
        <v>94.90000000000001</v>
      </c>
      <c r="H2229" t="n">
        <v>7.92</v>
      </c>
      <c r="I2229" t="inlineStr">
        <is>
          <t>credit_card</t>
        </is>
      </c>
      <c r="J2229" t="n">
        <v>1</v>
      </c>
      <c r="K2229" t="inlineStr">
        <is>
          <t>On Time</t>
        </is>
      </c>
      <c r="L2229" t="n">
        <v>5</v>
      </c>
      <c r="M2229">
        <f>VLOOKUP(D2229,State_Lookup!$A$2:$B$28,2,FALSE)</f>
        <v/>
      </c>
    </row>
    <row r="2230">
      <c r="A2230" t="inlineStr">
        <is>
          <t>109e073454b94ec80ff968765bb1bffe</t>
        </is>
      </c>
      <c r="B2230" t="inlineStr">
        <is>
          <t>2017-12-21</t>
        </is>
      </c>
      <c r="C2230" t="inlineStr">
        <is>
          <t>2017-12</t>
        </is>
      </c>
      <c r="D2230" t="inlineStr">
        <is>
          <t>SP</t>
        </is>
      </c>
      <c r="E2230" t="inlineStr">
        <is>
          <t>bed_bath_table</t>
        </is>
      </c>
      <c r="F2230" t="n">
        <v>1</v>
      </c>
      <c r="G2230" t="n">
        <v>25</v>
      </c>
      <c r="H2230" t="n">
        <v>8.720000000000001</v>
      </c>
      <c r="I2230" t="inlineStr">
        <is>
          <t>credit_card</t>
        </is>
      </c>
      <c r="J2230" t="n">
        <v>6</v>
      </c>
      <c r="K2230" t="inlineStr">
        <is>
          <t>On Time</t>
        </is>
      </c>
      <c r="L2230" t="n">
        <v>5</v>
      </c>
      <c r="M2230">
        <f>VLOOKUP(D2230,State_Lookup!$A$2:$B$28,2,FALSE)</f>
        <v/>
      </c>
    </row>
    <row r="2231">
      <c r="A2231" t="inlineStr">
        <is>
          <t>b37e66984bc386101154f129feee1830</t>
        </is>
      </c>
      <c r="B2231" t="inlineStr">
        <is>
          <t>2017-12-22</t>
        </is>
      </c>
      <c r="C2231" t="inlineStr">
        <is>
          <t>2017-12</t>
        </is>
      </c>
      <c r="D2231" t="inlineStr">
        <is>
          <t>SP</t>
        </is>
      </c>
      <c r="E2231" t="inlineStr">
        <is>
          <t>bed_bath_table</t>
        </is>
      </c>
      <c r="F2231" t="n">
        <v>1</v>
      </c>
      <c r="G2231" t="n">
        <v>134.9</v>
      </c>
      <c r="H2231" t="n">
        <v>12.65</v>
      </c>
      <c r="I2231" t="inlineStr">
        <is>
          <t>credit_card</t>
        </is>
      </c>
      <c r="J2231" t="n">
        <v>16</v>
      </c>
      <c r="K2231" t="inlineStr">
        <is>
          <t>On Time</t>
        </is>
      </c>
      <c r="L2231" t="n">
        <v>4</v>
      </c>
      <c r="M2231">
        <f>VLOOKUP(D2231,State_Lookup!$A$2:$B$28,2,FALSE)</f>
        <v/>
      </c>
    </row>
    <row r="2232">
      <c r="A2232" t="inlineStr">
        <is>
          <t>76b8258d41352cf46d8f0a57404d9c03</t>
        </is>
      </c>
      <c r="B2232" t="inlineStr">
        <is>
          <t>2017-12-22</t>
        </is>
      </c>
      <c r="C2232" t="inlineStr">
        <is>
          <t>2017-12</t>
        </is>
      </c>
      <c r="D2232" t="inlineStr">
        <is>
          <t>RN</t>
        </is>
      </c>
      <c r="E2232" t="inlineStr">
        <is>
          <t>stationery</t>
        </is>
      </c>
      <c r="F2232" t="n">
        <v>1</v>
      </c>
      <c r="G2232" t="n">
        <v>149</v>
      </c>
      <c r="H2232" t="n">
        <v>38.59</v>
      </c>
      <c r="I2232" t="inlineStr">
        <is>
          <t>credit_card</t>
        </is>
      </c>
      <c r="J2232" t="n">
        <v>27</v>
      </c>
      <c r="K2232" t="inlineStr">
        <is>
          <t>On Time</t>
        </is>
      </c>
      <c r="L2232" t="n">
        <v>4</v>
      </c>
      <c r="M2232">
        <f>VLOOKUP(D2232,State_Lookup!$A$2:$B$28,2,FALSE)</f>
        <v/>
      </c>
    </row>
    <row r="2233">
      <c r="A2233" t="inlineStr">
        <is>
          <t>fbfa10bf164dfe834823b4a02cd0ae1c</t>
        </is>
      </c>
      <c r="B2233" t="inlineStr">
        <is>
          <t>2017-12-22</t>
        </is>
      </c>
      <c r="C2233" t="inlineStr">
        <is>
          <t>2017-12</t>
        </is>
      </c>
      <c r="D2233" t="inlineStr">
        <is>
          <t>MG</t>
        </is>
      </c>
      <c r="E2233" t="inlineStr">
        <is>
          <t>computers_accessories</t>
        </is>
      </c>
      <c r="F2233" t="n">
        <v>1</v>
      </c>
      <c r="G2233" t="n">
        <v>149.99</v>
      </c>
      <c r="H2233" t="n">
        <v>23.85</v>
      </c>
      <c r="I2233" t="inlineStr">
        <is>
          <t>credit_card</t>
        </is>
      </c>
      <c r="J2233" t="n">
        <v>17</v>
      </c>
      <c r="K2233" t="inlineStr">
        <is>
          <t>On Time</t>
        </is>
      </c>
      <c r="L2233" t="n">
        <v>5</v>
      </c>
      <c r="M2233">
        <f>VLOOKUP(D2233,State_Lookup!$A$2:$B$28,2,FALSE)</f>
        <v/>
      </c>
    </row>
    <row r="2234">
      <c r="A2234" t="inlineStr">
        <is>
          <t>8bde999dc4ad8ff2e39ca01c02a81119</t>
        </is>
      </c>
      <c r="B2234" t="inlineStr">
        <is>
          <t>2017-12-22</t>
        </is>
      </c>
      <c r="C2234" t="inlineStr">
        <is>
          <t>2017-12</t>
        </is>
      </c>
      <c r="D2234" t="inlineStr">
        <is>
          <t>ES</t>
        </is>
      </c>
      <c r="E2234" t="inlineStr">
        <is>
          <t>bed_bath_table</t>
        </is>
      </c>
      <c r="F2234" t="n">
        <v>1</v>
      </c>
      <c r="G2234" t="n">
        <v>39</v>
      </c>
      <c r="H2234" t="n">
        <v>16.11</v>
      </c>
      <c r="I2234" t="inlineStr">
        <is>
          <t>credit_card</t>
        </is>
      </c>
      <c r="J2234" t="n">
        <v>21</v>
      </c>
      <c r="K2234" t="inlineStr">
        <is>
          <t>On Time</t>
        </is>
      </c>
      <c r="L2234" t="n">
        <v>1</v>
      </c>
      <c r="M2234">
        <f>VLOOKUP(D2234,State_Lookup!$A$2:$B$28,2,FALSE)</f>
        <v/>
      </c>
    </row>
    <row r="2235">
      <c r="A2235" t="inlineStr">
        <is>
          <t>3789e9b1be0db55442c1ae8b24ab51ec</t>
        </is>
      </c>
      <c r="B2235" t="inlineStr">
        <is>
          <t>2017-12-22</t>
        </is>
      </c>
      <c r="C2235" t="inlineStr">
        <is>
          <t>2017-12</t>
        </is>
      </c>
      <c r="D2235" t="inlineStr">
        <is>
          <t>RS</t>
        </is>
      </c>
      <c r="E2235" t="inlineStr">
        <is>
          <t>garden_tools</t>
        </is>
      </c>
      <c r="F2235" t="n">
        <v>5</v>
      </c>
      <c r="G2235" t="n">
        <v>295</v>
      </c>
      <c r="H2235" t="n">
        <v>88.3</v>
      </c>
      <c r="I2235" t="inlineStr">
        <is>
          <t>credit_card</t>
        </is>
      </c>
      <c r="J2235" t="n">
        <v>18</v>
      </c>
      <c r="K2235" t="inlineStr">
        <is>
          <t>On Time</t>
        </is>
      </c>
      <c r="L2235" t="n">
        <v>1</v>
      </c>
      <c r="M2235">
        <f>VLOOKUP(D2235,State_Lookup!$A$2:$B$28,2,FALSE)</f>
        <v/>
      </c>
    </row>
    <row r="2236">
      <c r="A2236" t="inlineStr">
        <is>
          <t>f11877a328215697cb35c93e04e7780a</t>
        </is>
      </c>
      <c r="B2236" t="inlineStr">
        <is>
          <t>2017-12-23</t>
        </is>
      </c>
      <c r="C2236" t="inlineStr">
        <is>
          <t>2017-12</t>
        </is>
      </c>
      <c r="D2236" t="inlineStr">
        <is>
          <t>BA</t>
        </is>
      </c>
      <c r="E2236" t="inlineStr">
        <is>
          <t>computers_accessories</t>
        </is>
      </c>
      <c r="F2236" t="n">
        <v>1</v>
      </c>
      <c r="G2236" t="n">
        <v>140</v>
      </c>
      <c r="H2236" t="n">
        <v>17.42</v>
      </c>
      <c r="I2236" t="inlineStr">
        <is>
          <t>boleto</t>
        </is>
      </c>
      <c r="J2236" t="n">
        <v>31</v>
      </c>
      <c r="K2236" t="inlineStr">
        <is>
          <t>On Time</t>
        </is>
      </c>
      <c r="L2236" t="n">
        <v>5</v>
      </c>
      <c r="M2236">
        <f>VLOOKUP(D2236,State_Lookup!$A$2:$B$28,2,FALSE)</f>
        <v/>
      </c>
    </row>
    <row r="2237">
      <c r="A2237" t="inlineStr">
        <is>
          <t>a2773e1bc198e397853da179908a5724</t>
        </is>
      </c>
      <c r="B2237" t="inlineStr">
        <is>
          <t>2017-12-23</t>
        </is>
      </c>
      <c r="C2237" t="inlineStr">
        <is>
          <t>2017-12</t>
        </is>
      </c>
      <c r="D2237" t="inlineStr">
        <is>
          <t>MG</t>
        </is>
      </c>
      <c r="E2237" t="inlineStr">
        <is>
          <t>health_beauty</t>
        </is>
      </c>
      <c r="F2237" t="n">
        <v>1</v>
      </c>
      <c r="G2237" t="n">
        <v>78.98999999999999</v>
      </c>
      <c r="H2237" t="n">
        <v>15.3</v>
      </c>
      <c r="I2237" t="inlineStr">
        <is>
          <t>credit_card</t>
        </is>
      </c>
      <c r="J2237" t="n">
        <v>13</v>
      </c>
      <c r="K2237" t="inlineStr">
        <is>
          <t>On Time</t>
        </is>
      </c>
      <c r="L2237" t="n">
        <v>4</v>
      </c>
      <c r="M2237">
        <f>VLOOKUP(D2237,State_Lookup!$A$2:$B$28,2,FALSE)</f>
        <v/>
      </c>
    </row>
    <row r="2238">
      <c r="A2238" t="inlineStr">
        <is>
          <t>ca2d86fb163d5e6c45cd1eeaf6c76a43</t>
        </is>
      </c>
      <c r="B2238" t="inlineStr">
        <is>
          <t>2017-12-23</t>
        </is>
      </c>
      <c r="C2238" t="inlineStr">
        <is>
          <t>2017-12</t>
        </is>
      </c>
      <c r="D2238" t="inlineStr">
        <is>
          <t>BA</t>
        </is>
      </c>
      <c r="E2238" t="inlineStr">
        <is>
          <t>garden_tools</t>
        </is>
      </c>
      <c r="F2238" t="n">
        <v>1</v>
      </c>
      <c r="G2238" t="n">
        <v>14.46</v>
      </c>
      <c r="H2238" t="n">
        <v>15.79</v>
      </c>
      <c r="I2238" t="inlineStr">
        <is>
          <t>credit_card</t>
        </is>
      </c>
      <c r="J2238" t="n">
        <v>20</v>
      </c>
      <c r="K2238" t="inlineStr">
        <is>
          <t>On Time</t>
        </is>
      </c>
      <c r="L2238" t="n">
        <v>4</v>
      </c>
      <c r="M2238">
        <f>VLOOKUP(D2238,State_Lookup!$A$2:$B$28,2,FALSE)</f>
        <v/>
      </c>
    </row>
    <row r="2239">
      <c r="A2239" t="inlineStr">
        <is>
          <t>e1c236043073a6a483972402917e8cc6</t>
        </is>
      </c>
      <c r="B2239" t="inlineStr">
        <is>
          <t>2017-12-24</t>
        </is>
      </c>
      <c r="C2239" t="inlineStr">
        <is>
          <t>2017-12</t>
        </is>
      </c>
      <c r="D2239" t="inlineStr">
        <is>
          <t>MG</t>
        </is>
      </c>
      <c r="E2239" t="inlineStr">
        <is>
          <t>computers_accessories</t>
        </is>
      </c>
      <c r="F2239" t="n">
        <v>1</v>
      </c>
      <c r="G2239" t="n">
        <v>44.99</v>
      </c>
      <c r="H2239" t="n">
        <v>16.11</v>
      </c>
      <c r="I2239" t="inlineStr">
        <is>
          <t>credit_card</t>
        </is>
      </c>
      <c r="J2239" t="n">
        <v>10</v>
      </c>
      <c r="K2239" t="inlineStr">
        <is>
          <t>On Time</t>
        </is>
      </c>
      <c r="L2239" t="n">
        <v>5</v>
      </c>
      <c r="M2239">
        <f>VLOOKUP(D2239,State_Lookup!$A$2:$B$28,2,FALSE)</f>
        <v/>
      </c>
    </row>
    <row r="2240">
      <c r="A2240" t="inlineStr">
        <is>
          <t>5c94707bab626971391f6a6a31ea75d2</t>
        </is>
      </c>
      <c r="B2240" t="inlineStr">
        <is>
          <t>2017-12-24</t>
        </is>
      </c>
      <c r="C2240" t="inlineStr">
        <is>
          <t>2017-12</t>
        </is>
      </c>
      <c r="D2240" t="inlineStr">
        <is>
          <t>PR</t>
        </is>
      </c>
      <c r="E2240" t="inlineStr">
        <is>
          <t>watches_gifts</t>
        </is>
      </c>
      <c r="F2240" t="n">
        <v>1</v>
      </c>
      <c r="G2240" t="n">
        <v>248.9</v>
      </c>
      <c r="H2240" t="n">
        <v>15.49</v>
      </c>
      <c r="I2240" t="inlineStr">
        <is>
          <t>credit_card</t>
        </is>
      </c>
      <c r="J2240" t="n">
        <v>10</v>
      </c>
      <c r="K2240" t="inlineStr">
        <is>
          <t>On Time</t>
        </is>
      </c>
      <c r="L2240" t="n">
        <v>5</v>
      </c>
      <c r="M2240">
        <f>VLOOKUP(D2240,State_Lookup!$A$2:$B$28,2,FALSE)</f>
        <v/>
      </c>
    </row>
    <row r="2241">
      <c r="A2241" t="inlineStr">
        <is>
          <t>64f65d9b37717ef40554badd2b22d6f8</t>
        </is>
      </c>
      <c r="B2241" t="inlineStr">
        <is>
          <t>2017-12-24</t>
        </is>
      </c>
      <c r="C2241" t="inlineStr">
        <is>
          <t>2017-12</t>
        </is>
      </c>
      <c r="D2241" t="inlineStr">
        <is>
          <t>SP</t>
        </is>
      </c>
      <c r="E2241" t="inlineStr">
        <is>
          <t>bed_bath_table</t>
        </is>
      </c>
      <c r="F2241" t="n">
        <v>1</v>
      </c>
      <c r="G2241" t="n">
        <v>129.9</v>
      </c>
      <c r="H2241" t="n">
        <v>12.11</v>
      </c>
      <c r="I2241" t="inlineStr">
        <is>
          <t>credit_card</t>
        </is>
      </c>
      <c r="J2241" t="n">
        <v>3</v>
      </c>
      <c r="K2241" t="inlineStr">
        <is>
          <t>On Time</t>
        </is>
      </c>
      <c r="L2241" t="n">
        <v>3</v>
      </c>
      <c r="M2241">
        <f>VLOOKUP(D2241,State_Lookup!$A$2:$B$28,2,FALSE)</f>
        <v/>
      </c>
    </row>
    <row r="2242">
      <c r="A2242" t="inlineStr">
        <is>
          <t>5357520c35cc3e6341658161b67151b1</t>
        </is>
      </c>
      <c r="B2242" t="inlineStr">
        <is>
          <t>2017-12-25</t>
        </is>
      </c>
      <c r="C2242" t="inlineStr">
        <is>
          <t>2017-12</t>
        </is>
      </c>
      <c r="D2242" t="inlineStr">
        <is>
          <t>RS</t>
        </is>
      </c>
      <c r="E2242" t="inlineStr">
        <is>
          <t>health_beauty</t>
        </is>
      </c>
      <c r="F2242" t="n">
        <v>1</v>
      </c>
      <c r="G2242" t="n">
        <v>58.99</v>
      </c>
      <c r="H2242" t="n">
        <v>17.66</v>
      </c>
      <c r="I2242" t="inlineStr">
        <is>
          <t>credit_card</t>
        </is>
      </c>
      <c r="J2242" t="n">
        <v>14</v>
      </c>
      <c r="K2242" t="inlineStr">
        <is>
          <t>On Time</t>
        </is>
      </c>
      <c r="L2242" t="n">
        <v>5</v>
      </c>
      <c r="M2242">
        <f>VLOOKUP(D2242,State_Lookup!$A$2:$B$28,2,FALSE)</f>
        <v/>
      </c>
    </row>
    <row r="2243">
      <c r="A2243" t="inlineStr">
        <is>
          <t>1b5c359c2188ceeab2777c0d27e7c343</t>
        </is>
      </c>
      <c r="B2243" t="inlineStr">
        <is>
          <t>2017-12-25</t>
        </is>
      </c>
      <c r="C2243" t="inlineStr">
        <is>
          <t>2017-12</t>
        </is>
      </c>
      <c r="D2243" t="inlineStr">
        <is>
          <t>SP</t>
        </is>
      </c>
      <c r="E2243" t="inlineStr">
        <is>
          <t>drinks</t>
        </is>
      </c>
      <c r="F2243" t="n">
        <v>1</v>
      </c>
      <c r="G2243" t="n">
        <v>57.49</v>
      </c>
      <c r="H2243" t="n">
        <v>9.94</v>
      </c>
      <c r="I2243" t="inlineStr">
        <is>
          <t>credit_card</t>
        </is>
      </c>
      <c r="J2243" t="n">
        <v>2</v>
      </c>
      <c r="K2243" t="inlineStr">
        <is>
          <t>On Time</t>
        </is>
      </c>
      <c r="L2243" t="n">
        <v>5</v>
      </c>
      <c r="M2243">
        <f>VLOOKUP(D2243,State_Lookup!$A$2:$B$28,2,FALSE)</f>
        <v/>
      </c>
    </row>
    <row r="2244">
      <c r="A2244" t="inlineStr">
        <is>
          <t>87f652e7b494335099f630e05edcf3b9</t>
        </is>
      </c>
      <c r="B2244" t="inlineStr">
        <is>
          <t>2017-12-25</t>
        </is>
      </c>
      <c r="C2244" t="inlineStr">
        <is>
          <t>2017-12</t>
        </is>
      </c>
      <c r="D2244" t="inlineStr">
        <is>
          <t>SC</t>
        </is>
      </c>
      <c r="E2244" t="inlineStr">
        <is>
          <t>stationery</t>
        </is>
      </c>
      <c r="F2244" t="n">
        <v>1</v>
      </c>
      <c r="G2244" t="n">
        <v>79</v>
      </c>
      <c r="H2244" t="n">
        <v>17.8</v>
      </c>
      <c r="I2244" t="inlineStr">
        <is>
          <t>credit_card</t>
        </is>
      </c>
      <c r="J2244" t="n">
        <v>3</v>
      </c>
      <c r="K2244" t="inlineStr">
        <is>
          <t>On Time</t>
        </is>
      </c>
      <c r="L2244" t="n">
        <v>3</v>
      </c>
      <c r="M2244">
        <f>VLOOKUP(D2244,State_Lookup!$A$2:$B$28,2,FALSE)</f>
        <v/>
      </c>
    </row>
    <row r="2245">
      <c r="A2245" t="inlineStr">
        <is>
          <t>43ac8d91a0749b176f9c311545881aa7</t>
        </is>
      </c>
      <c r="B2245" t="inlineStr">
        <is>
          <t>2017-12-25</t>
        </is>
      </c>
      <c r="C2245" t="inlineStr">
        <is>
          <t>2017-12</t>
        </is>
      </c>
      <c r="D2245" t="inlineStr">
        <is>
          <t>SP</t>
        </is>
      </c>
      <c r="E2245" t="inlineStr">
        <is>
          <t>consoles_games</t>
        </is>
      </c>
      <c r="F2245" t="n">
        <v>1</v>
      </c>
      <c r="G2245" t="n">
        <v>129</v>
      </c>
      <c r="H2245" t="n">
        <v>13.92</v>
      </c>
      <c r="I2245" t="inlineStr">
        <is>
          <t>credit_card</t>
        </is>
      </c>
      <c r="J2245" t="n">
        <v>37</v>
      </c>
      <c r="K2245" t="inlineStr">
        <is>
          <t>Late</t>
        </is>
      </c>
      <c r="L2245" t="n">
        <v>1</v>
      </c>
      <c r="M2245">
        <f>VLOOKUP(D2245,State_Lookup!$A$2:$B$28,2,FALSE)</f>
        <v/>
      </c>
    </row>
    <row r="2246">
      <c r="A2246" t="inlineStr">
        <is>
          <t>9d3ec17c877b8a749b1f9523a47773c8</t>
        </is>
      </c>
      <c r="B2246" t="inlineStr">
        <is>
          <t>2017-12-25</t>
        </is>
      </c>
      <c r="C2246" t="inlineStr">
        <is>
          <t>2017-12</t>
        </is>
      </c>
      <c r="D2246" t="inlineStr">
        <is>
          <t>RJ</t>
        </is>
      </c>
      <c r="E2246" t="inlineStr">
        <is>
          <t>telephony</t>
        </is>
      </c>
      <c r="F2246" t="n">
        <v>1</v>
      </c>
      <c r="G2246" t="n">
        <v>27.99</v>
      </c>
      <c r="H2246" t="n">
        <v>15.1</v>
      </c>
      <c r="I2246" t="inlineStr">
        <is>
          <t>credit_card</t>
        </is>
      </c>
      <c r="J2246" t="n">
        <v>9</v>
      </c>
      <c r="K2246" t="inlineStr">
        <is>
          <t>On Time</t>
        </is>
      </c>
      <c r="L2246" t="n">
        <v>4</v>
      </c>
      <c r="M2246">
        <f>VLOOKUP(D2246,State_Lookup!$A$2:$B$28,2,FALSE)</f>
        <v/>
      </c>
    </row>
    <row r="2247">
      <c r="A2247" t="inlineStr">
        <is>
          <t>6c673e7f0e59af3f88e62db4bde6b126</t>
        </is>
      </c>
      <c r="B2247" t="inlineStr">
        <is>
          <t>2017-12-26</t>
        </is>
      </c>
      <c r="C2247" t="inlineStr">
        <is>
          <t>2017-12</t>
        </is>
      </c>
      <c r="D2247" t="inlineStr">
        <is>
          <t>SP</t>
        </is>
      </c>
      <c r="E2247" t="inlineStr">
        <is>
          <t>furniture_decor</t>
        </is>
      </c>
      <c r="F2247" t="n">
        <v>1</v>
      </c>
      <c r="G2247" t="n">
        <v>180</v>
      </c>
      <c r="H2247" t="n">
        <v>12.47</v>
      </c>
      <c r="I2247" t="inlineStr">
        <is>
          <t>credit_card</t>
        </is>
      </c>
      <c r="J2247" t="n">
        <v>2</v>
      </c>
      <c r="K2247" t="inlineStr">
        <is>
          <t>On Time</t>
        </is>
      </c>
      <c r="L2247" t="n">
        <v>5</v>
      </c>
      <c r="M2247">
        <f>VLOOKUP(D2247,State_Lookup!$A$2:$B$28,2,FALSE)</f>
        <v/>
      </c>
    </row>
    <row r="2248">
      <c r="A2248" t="inlineStr">
        <is>
          <t>e2078bdcaaa9e81bb8bab8641489dcd8</t>
        </is>
      </c>
      <c r="B2248" t="inlineStr">
        <is>
          <t>2017-12-26</t>
        </is>
      </c>
      <c r="C2248" t="inlineStr">
        <is>
          <t>2017-12</t>
        </is>
      </c>
      <c r="D2248" t="inlineStr">
        <is>
          <t>SP</t>
        </is>
      </c>
      <c r="E2248" t="inlineStr">
        <is>
          <t>bed_bath_table</t>
        </is>
      </c>
      <c r="F2248" t="n">
        <v>1</v>
      </c>
      <c r="G2248" t="n">
        <v>80</v>
      </c>
      <c r="H2248" t="n">
        <v>12.9</v>
      </c>
      <c r="I2248" t="inlineStr">
        <is>
          <t>credit_card</t>
        </is>
      </c>
      <c r="J2248" t="n">
        <v>7</v>
      </c>
      <c r="K2248" t="inlineStr">
        <is>
          <t>On Time</t>
        </is>
      </c>
      <c r="L2248" t="n">
        <v>5</v>
      </c>
      <c r="M2248">
        <f>VLOOKUP(D2248,State_Lookup!$A$2:$B$28,2,FALSE)</f>
        <v/>
      </c>
    </row>
    <row r="2249">
      <c r="A2249" t="inlineStr">
        <is>
          <t>98515e643e7cc228244834ea1b21a345</t>
        </is>
      </c>
      <c r="B2249" t="inlineStr">
        <is>
          <t>2017-12-26</t>
        </is>
      </c>
      <c r="C2249" t="inlineStr">
        <is>
          <t>2017-12</t>
        </is>
      </c>
      <c r="D2249" t="inlineStr">
        <is>
          <t>SP</t>
        </is>
      </c>
      <c r="E2249" t="inlineStr">
        <is>
          <t>toys</t>
        </is>
      </c>
      <c r="F2249" t="n">
        <v>1</v>
      </c>
      <c r="G2249" t="n">
        <v>69.98999999999999</v>
      </c>
      <c r="H2249" t="n">
        <v>9.34</v>
      </c>
      <c r="I2249" t="inlineStr">
        <is>
          <t>boleto</t>
        </is>
      </c>
      <c r="J2249" t="n">
        <v>2</v>
      </c>
      <c r="K2249" t="inlineStr">
        <is>
          <t>On Time</t>
        </is>
      </c>
      <c r="L2249" t="n">
        <v>5</v>
      </c>
      <c r="M2249">
        <f>VLOOKUP(D2249,State_Lookup!$A$2:$B$28,2,FALSE)</f>
        <v/>
      </c>
    </row>
    <row r="2250">
      <c r="A2250" t="inlineStr">
        <is>
          <t>55cab049972ffdc89fd0f17ab75ee52d</t>
        </is>
      </c>
      <c r="B2250" t="inlineStr">
        <is>
          <t>2017-12-26</t>
        </is>
      </c>
      <c r="C2250" t="inlineStr">
        <is>
          <t>2017-12</t>
        </is>
      </c>
      <c r="D2250" t="inlineStr">
        <is>
          <t>RS</t>
        </is>
      </c>
      <c r="E2250" t="inlineStr">
        <is>
          <t>telephony</t>
        </is>
      </c>
      <c r="F2250" t="n">
        <v>1</v>
      </c>
      <c r="G2250" t="n">
        <v>55</v>
      </c>
      <c r="H2250" t="n">
        <v>16.15</v>
      </c>
      <c r="I2250" t="inlineStr">
        <is>
          <t>boleto</t>
        </is>
      </c>
      <c r="J2250" t="n">
        <v>13</v>
      </c>
      <c r="K2250" t="inlineStr">
        <is>
          <t>On Time</t>
        </is>
      </c>
      <c r="L2250" t="n">
        <v>5</v>
      </c>
      <c r="M2250">
        <f>VLOOKUP(D2250,State_Lookup!$A$2:$B$28,2,FALSE)</f>
        <v/>
      </c>
    </row>
    <row r="2251">
      <c r="A2251" t="inlineStr">
        <is>
          <t>aef74ec8efdbc859026336c7110b4886</t>
        </is>
      </c>
      <c r="B2251" t="inlineStr">
        <is>
          <t>2017-12-26</t>
        </is>
      </c>
      <c r="C2251" t="inlineStr">
        <is>
          <t>2017-12</t>
        </is>
      </c>
      <c r="D2251" t="inlineStr">
        <is>
          <t>RJ</t>
        </is>
      </c>
      <c r="E2251" t="inlineStr">
        <is>
          <t>bed_bath_table</t>
        </is>
      </c>
      <c r="F2251" t="n">
        <v>1</v>
      </c>
      <c r="G2251" t="n">
        <v>135</v>
      </c>
      <c r="H2251" t="n">
        <v>18.2</v>
      </c>
      <c r="I2251" t="inlineStr">
        <is>
          <t>boleto</t>
        </is>
      </c>
      <c r="J2251" t="n">
        <v>22</v>
      </c>
      <c r="K2251" t="inlineStr">
        <is>
          <t>On Time</t>
        </is>
      </c>
      <c r="L2251" t="n">
        <v>1</v>
      </c>
      <c r="M2251">
        <f>VLOOKUP(D2251,State_Lookup!$A$2:$B$28,2,FALSE)</f>
        <v/>
      </c>
    </row>
    <row r="2252">
      <c r="A2252" t="inlineStr">
        <is>
          <t>c6ddeb6ecc91ffa34944150d8bfe960a</t>
        </is>
      </c>
      <c r="B2252" t="inlineStr">
        <is>
          <t>2017-12-26</t>
        </is>
      </c>
      <c r="C2252" t="inlineStr">
        <is>
          <t>2017-12</t>
        </is>
      </c>
      <c r="D2252" t="inlineStr">
        <is>
          <t>SP</t>
        </is>
      </c>
      <c r="E2252" t="inlineStr">
        <is>
          <t>perfumery</t>
        </is>
      </c>
      <c r="F2252" t="n">
        <v>1</v>
      </c>
      <c r="G2252" t="n">
        <v>13.99</v>
      </c>
      <c r="H2252" t="n">
        <v>11.85</v>
      </c>
      <c r="I2252" t="inlineStr">
        <is>
          <t>boleto</t>
        </is>
      </c>
      <c r="J2252" t="n">
        <v>20</v>
      </c>
      <c r="K2252" t="inlineStr">
        <is>
          <t>On Time</t>
        </is>
      </c>
      <c r="L2252" t="n">
        <v>5</v>
      </c>
      <c r="M2252">
        <f>VLOOKUP(D2252,State_Lookup!$A$2:$B$28,2,FALSE)</f>
        <v/>
      </c>
    </row>
    <row r="2253">
      <c r="A2253" t="inlineStr">
        <is>
          <t>801f0faf13878ee42788d7bd0e4c72fe</t>
        </is>
      </c>
      <c r="B2253" t="inlineStr">
        <is>
          <t>2017-12-26</t>
        </is>
      </c>
      <c r="C2253" t="inlineStr">
        <is>
          <t>2017-12</t>
        </is>
      </c>
      <c r="D2253" t="inlineStr">
        <is>
          <t>PR</t>
        </is>
      </c>
      <c r="E2253" t="inlineStr">
        <is>
          <t>bed_bath_table</t>
        </is>
      </c>
      <c r="F2253" t="n">
        <v>1</v>
      </c>
      <c r="G2253" t="n">
        <v>45.9</v>
      </c>
      <c r="H2253" t="n">
        <v>15.11</v>
      </c>
      <c r="I2253" t="inlineStr">
        <is>
          <t>credit_card</t>
        </is>
      </c>
      <c r="J2253" t="n">
        <v>10</v>
      </c>
      <c r="K2253" t="inlineStr">
        <is>
          <t>On Time</t>
        </is>
      </c>
      <c r="L2253" t="n">
        <v>5</v>
      </c>
      <c r="M2253">
        <f>VLOOKUP(D2253,State_Lookup!$A$2:$B$28,2,FALSE)</f>
        <v/>
      </c>
    </row>
    <row r="2254">
      <c r="A2254" t="inlineStr">
        <is>
          <t>ef0dcf520a0a4634713a5ef4806433c2</t>
        </is>
      </c>
      <c r="B2254" t="inlineStr">
        <is>
          <t>2017-12-27</t>
        </is>
      </c>
      <c r="C2254" t="inlineStr">
        <is>
          <t>2017-12</t>
        </is>
      </c>
      <c r="D2254" t="inlineStr">
        <is>
          <t>MG</t>
        </is>
      </c>
      <c r="E2254" t="inlineStr">
        <is>
          <t>cool_stuff</t>
        </is>
      </c>
      <c r="F2254" t="n">
        <v>1</v>
      </c>
      <c r="G2254" t="n">
        <v>229.99</v>
      </c>
      <c r="H2254" t="n">
        <v>22.1</v>
      </c>
      <c r="I2254" t="inlineStr">
        <is>
          <t>credit_card</t>
        </is>
      </c>
      <c r="J2254" t="n">
        <v>8</v>
      </c>
      <c r="K2254" t="inlineStr">
        <is>
          <t>On Time</t>
        </is>
      </c>
      <c r="L2254" t="n">
        <v>5</v>
      </c>
      <c r="M2254">
        <f>VLOOKUP(D2254,State_Lookup!$A$2:$B$28,2,FALSE)</f>
        <v/>
      </c>
    </row>
    <row r="2255">
      <c r="A2255" t="inlineStr">
        <is>
          <t>58f43661df7f4ebc6182ed467729a405</t>
        </is>
      </c>
      <c r="B2255" t="inlineStr">
        <is>
          <t>2017-12-27</t>
        </is>
      </c>
      <c r="C2255" t="inlineStr">
        <is>
          <t>2017-12</t>
        </is>
      </c>
      <c r="D2255" t="inlineStr">
        <is>
          <t>RS</t>
        </is>
      </c>
      <c r="E2255" t="inlineStr">
        <is>
          <t>fashion_bags_accessories</t>
        </is>
      </c>
      <c r="F2255" t="n">
        <v>1</v>
      </c>
      <c r="G2255" t="n">
        <v>429</v>
      </c>
      <c r="H2255" t="n">
        <v>19.44</v>
      </c>
      <c r="I2255" t="inlineStr">
        <is>
          <t>credit_card</t>
        </is>
      </c>
      <c r="J2255" t="n">
        <v>33</v>
      </c>
      <c r="K2255" t="inlineStr">
        <is>
          <t>Late</t>
        </is>
      </c>
      <c r="L2255" t="n">
        <v>1</v>
      </c>
      <c r="M2255">
        <f>VLOOKUP(D2255,State_Lookup!$A$2:$B$28,2,FALSE)</f>
        <v/>
      </c>
    </row>
    <row r="2256">
      <c r="A2256" t="inlineStr">
        <is>
          <t>316495342fc714e50303c6cf4feea79f</t>
        </is>
      </c>
      <c r="B2256" t="inlineStr">
        <is>
          <t>2017-12-27</t>
        </is>
      </c>
      <c r="C2256" t="inlineStr">
        <is>
          <t>2017-12</t>
        </is>
      </c>
      <c r="D2256" t="inlineStr">
        <is>
          <t>SP</t>
        </is>
      </c>
      <c r="E2256" t="inlineStr">
        <is>
          <t>furniture_decor</t>
        </is>
      </c>
      <c r="F2256" t="n">
        <v>1</v>
      </c>
      <c r="G2256" t="n">
        <v>40.9</v>
      </c>
      <c r="H2256" t="n">
        <v>7.78</v>
      </c>
      <c r="I2256" t="inlineStr">
        <is>
          <t>credit_card</t>
        </is>
      </c>
      <c r="J2256" t="n">
        <v>8</v>
      </c>
      <c r="K2256" t="inlineStr">
        <is>
          <t>On Time</t>
        </is>
      </c>
      <c r="L2256" t="n">
        <v>5</v>
      </c>
      <c r="M2256">
        <f>VLOOKUP(D2256,State_Lookup!$A$2:$B$28,2,FALSE)</f>
        <v/>
      </c>
    </row>
    <row r="2257">
      <c r="A2257" t="inlineStr">
        <is>
          <t>eb6c151662d92e0f9c6b1c3f30122348</t>
        </is>
      </c>
      <c r="B2257" t="inlineStr">
        <is>
          <t>2017-12-27</t>
        </is>
      </c>
      <c r="C2257" t="inlineStr">
        <is>
          <t>2017-12</t>
        </is>
      </c>
      <c r="D2257" t="inlineStr">
        <is>
          <t>SP</t>
        </is>
      </c>
      <c r="E2257" t="inlineStr">
        <is>
          <t>pet_shop</t>
        </is>
      </c>
      <c r="F2257" t="n">
        <v>1</v>
      </c>
      <c r="G2257" t="n">
        <v>77.7</v>
      </c>
      <c r="H2257" t="n">
        <v>11.75</v>
      </c>
      <c r="I2257" t="inlineStr">
        <is>
          <t>voucher</t>
        </is>
      </c>
      <c r="J2257" t="n">
        <v>12</v>
      </c>
      <c r="K2257" t="inlineStr">
        <is>
          <t>On Time</t>
        </is>
      </c>
      <c r="L2257" t="n">
        <v>5</v>
      </c>
      <c r="M2257">
        <f>VLOOKUP(D2257,State_Lookup!$A$2:$B$28,2,FALSE)</f>
        <v/>
      </c>
    </row>
    <row r="2258">
      <c r="A2258" t="inlineStr">
        <is>
          <t>5dc5e6edeb0fc2cc0b95d21e149d996a</t>
        </is>
      </c>
      <c r="B2258" t="inlineStr">
        <is>
          <t>2017-12-27</t>
        </is>
      </c>
      <c r="C2258" t="inlineStr">
        <is>
          <t>2017-12</t>
        </is>
      </c>
      <c r="D2258" t="inlineStr">
        <is>
          <t>RJ</t>
        </is>
      </c>
      <c r="E2258" t="inlineStr">
        <is>
          <t>musical_instruments</t>
        </is>
      </c>
      <c r="F2258" t="n">
        <v>1</v>
      </c>
      <c r="G2258" t="n">
        <v>67.90000000000001</v>
      </c>
      <c r="H2258" t="n">
        <v>16.92</v>
      </c>
      <c r="I2258" t="inlineStr">
        <is>
          <t>credit_card</t>
        </is>
      </c>
      <c r="J2258" t="n">
        <v>36</v>
      </c>
      <c r="K2258" t="inlineStr">
        <is>
          <t>Late</t>
        </is>
      </c>
      <c r="L2258" t="n">
        <v>1</v>
      </c>
      <c r="M2258">
        <f>VLOOKUP(D2258,State_Lookup!$A$2:$B$28,2,FALSE)</f>
        <v/>
      </c>
    </row>
    <row r="2259">
      <c r="A2259" t="inlineStr">
        <is>
          <t>7b564c50e97389bff9754fc6f189fef2</t>
        </is>
      </c>
      <c r="B2259" t="inlineStr">
        <is>
          <t>2017-12-28</t>
        </is>
      </c>
      <c r="C2259" t="inlineStr">
        <is>
          <t>2017-12</t>
        </is>
      </c>
      <c r="D2259" t="inlineStr">
        <is>
          <t>SE</t>
        </is>
      </c>
      <c r="E2259" t="inlineStr">
        <is>
          <t>telephony</t>
        </is>
      </c>
      <c r="F2259" t="n">
        <v>1</v>
      </c>
      <c r="G2259" t="n">
        <v>82.98999999999999</v>
      </c>
      <c r="H2259" t="n">
        <v>17.83</v>
      </c>
      <c r="I2259" t="inlineStr">
        <is>
          <t>credit_card</t>
        </is>
      </c>
      <c r="J2259" t="n">
        <v>27</v>
      </c>
      <c r="K2259" t="inlineStr">
        <is>
          <t>On Time</t>
        </is>
      </c>
      <c r="L2259" t="n">
        <v>5</v>
      </c>
      <c r="M2259">
        <f>VLOOKUP(D2259,State_Lookup!$A$2:$B$28,2,FALSE)</f>
        <v/>
      </c>
    </row>
    <row r="2260">
      <c r="A2260" t="inlineStr">
        <is>
          <t>4677f9438ab0c129fd625699019e160f</t>
        </is>
      </c>
      <c r="B2260" t="inlineStr">
        <is>
          <t>2017-12-28</t>
        </is>
      </c>
      <c r="C2260" t="inlineStr">
        <is>
          <t>2017-12</t>
        </is>
      </c>
      <c r="D2260" t="inlineStr">
        <is>
          <t>SP</t>
        </is>
      </c>
      <c r="E2260" t="inlineStr">
        <is>
          <t>telephony</t>
        </is>
      </c>
      <c r="F2260" t="n">
        <v>1</v>
      </c>
      <c r="G2260" t="n">
        <v>24.99</v>
      </c>
      <c r="H2260" t="n">
        <v>7.78</v>
      </c>
      <c r="I2260" t="inlineStr">
        <is>
          <t>credit_card</t>
        </is>
      </c>
      <c r="J2260" t="n">
        <v>8</v>
      </c>
      <c r="K2260" t="inlineStr">
        <is>
          <t>On Time</t>
        </is>
      </c>
      <c r="L2260" t="n">
        <v>5</v>
      </c>
      <c r="M2260">
        <f>VLOOKUP(D2260,State_Lookup!$A$2:$B$28,2,FALSE)</f>
        <v/>
      </c>
    </row>
    <row r="2261">
      <c r="A2261" t="inlineStr">
        <is>
          <t>919a615149354b4e074eff65adaeae81</t>
        </is>
      </c>
      <c r="B2261" t="inlineStr">
        <is>
          <t>2017-12-28</t>
        </is>
      </c>
      <c r="C2261" t="inlineStr">
        <is>
          <t>2017-12</t>
        </is>
      </c>
      <c r="D2261" t="inlineStr">
        <is>
          <t>RS</t>
        </is>
      </c>
      <c r="E2261" t="inlineStr">
        <is>
          <t>furniture_decor</t>
        </is>
      </c>
      <c r="F2261" t="n">
        <v>1</v>
      </c>
      <c r="G2261" t="n">
        <v>45.99</v>
      </c>
      <c r="H2261" t="n">
        <v>14.1</v>
      </c>
      <c r="I2261" t="inlineStr">
        <is>
          <t>debit_card</t>
        </is>
      </c>
      <c r="J2261" t="n">
        <v>19</v>
      </c>
      <c r="K2261" t="inlineStr">
        <is>
          <t>On Time</t>
        </is>
      </c>
      <c r="L2261" t="n">
        <v>5</v>
      </c>
      <c r="M2261">
        <f>VLOOKUP(D2261,State_Lookup!$A$2:$B$28,2,FALSE)</f>
        <v/>
      </c>
    </row>
    <row r="2262">
      <c r="A2262" t="inlineStr">
        <is>
          <t>203a651bc28694f332b40c3e61bf8e04</t>
        </is>
      </c>
      <c r="B2262" t="inlineStr">
        <is>
          <t>2017-12-28</t>
        </is>
      </c>
      <c r="C2262" t="inlineStr">
        <is>
          <t>2017-12</t>
        </is>
      </c>
      <c r="D2262" t="inlineStr">
        <is>
          <t>MG</t>
        </is>
      </c>
      <c r="E2262" t="inlineStr">
        <is>
          <t>agro_industry_and_commerce</t>
        </is>
      </c>
      <c r="F2262" t="n">
        <v>1</v>
      </c>
      <c r="G2262" t="n">
        <v>412</v>
      </c>
      <c r="H2262" t="n">
        <v>30.26</v>
      </c>
      <c r="I2262" t="inlineStr">
        <is>
          <t>credit_card</t>
        </is>
      </c>
      <c r="J2262" t="n">
        <v>12</v>
      </c>
      <c r="K2262" t="inlineStr">
        <is>
          <t>On Time</t>
        </is>
      </c>
      <c r="L2262" t="n">
        <v>5</v>
      </c>
      <c r="M2262">
        <f>VLOOKUP(D2262,State_Lookup!$A$2:$B$28,2,FALSE)</f>
        <v/>
      </c>
    </row>
    <row r="2263">
      <c r="A2263" t="inlineStr">
        <is>
          <t>ef631f2168b86a6efd53a9fdfb9d4699</t>
        </is>
      </c>
      <c r="B2263" t="inlineStr">
        <is>
          <t>2017-12-28</t>
        </is>
      </c>
      <c r="C2263" t="inlineStr">
        <is>
          <t>2017-12</t>
        </is>
      </c>
      <c r="D2263" t="inlineStr">
        <is>
          <t>AM</t>
        </is>
      </c>
      <c r="E2263" t="inlineStr">
        <is>
          <t>stationery</t>
        </is>
      </c>
      <c r="F2263" t="n">
        <v>1</v>
      </c>
      <c r="G2263" t="n">
        <v>46.5</v>
      </c>
      <c r="H2263" t="n">
        <v>25.38</v>
      </c>
      <c r="I2263" t="inlineStr">
        <is>
          <t>credit_card</t>
        </is>
      </c>
      <c r="J2263" t="n">
        <v>41</v>
      </c>
      <c r="K2263" t="inlineStr">
        <is>
          <t>On Time</t>
        </is>
      </c>
      <c r="L2263" t="n">
        <v>5</v>
      </c>
      <c r="M2263">
        <f>VLOOKUP(D2263,State_Lookup!$A$2:$B$28,2,FALSE)</f>
        <v/>
      </c>
    </row>
    <row r="2264">
      <c r="A2264" t="inlineStr">
        <is>
          <t>cdab4d92ae28f85057ae6c55246c8049</t>
        </is>
      </c>
      <c r="B2264" t="inlineStr">
        <is>
          <t>2017-12-28</t>
        </is>
      </c>
      <c r="C2264" t="inlineStr">
        <is>
          <t>2017-12</t>
        </is>
      </c>
      <c r="D2264" t="inlineStr">
        <is>
          <t>SP</t>
        </is>
      </c>
      <c r="E2264" t="inlineStr">
        <is>
          <t>cool_stuff</t>
        </is>
      </c>
      <c r="F2264" t="n">
        <v>1</v>
      </c>
      <c r="G2264" t="n">
        <v>64.90000000000001</v>
      </c>
      <c r="H2264" t="n">
        <v>25.29</v>
      </c>
      <c r="I2264" t="inlineStr">
        <is>
          <t>credit_card</t>
        </is>
      </c>
      <c r="J2264" t="n">
        <v>10</v>
      </c>
      <c r="K2264" t="inlineStr">
        <is>
          <t>On Time</t>
        </is>
      </c>
      <c r="L2264" t="n">
        <v>5</v>
      </c>
      <c r="M2264">
        <f>VLOOKUP(D2264,State_Lookup!$A$2:$B$28,2,FALSE)</f>
        <v/>
      </c>
    </row>
    <row r="2265">
      <c r="A2265" t="inlineStr">
        <is>
          <t>74dacb2dfb8eb52a7a5130854cb9d58e</t>
        </is>
      </c>
      <c r="B2265" t="inlineStr">
        <is>
          <t>2017-12-28</t>
        </is>
      </c>
      <c r="C2265" t="inlineStr">
        <is>
          <t>2017-12</t>
        </is>
      </c>
      <c r="D2265" t="inlineStr">
        <is>
          <t>RJ</t>
        </is>
      </c>
      <c r="E2265" t="inlineStr">
        <is>
          <t>housewares</t>
        </is>
      </c>
      <c r="F2265" t="n">
        <v>1</v>
      </c>
      <c r="G2265" t="n">
        <v>42.9</v>
      </c>
      <c r="H2265" t="n">
        <v>16.11</v>
      </c>
      <c r="I2265" t="inlineStr">
        <is>
          <t>voucher</t>
        </is>
      </c>
      <c r="J2265" t="n">
        <v>25</v>
      </c>
      <c r="K2265" t="inlineStr">
        <is>
          <t>On Time</t>
        </is>
      </c>
      <c r="L2265" t="n">
        <v>5</v>
      </c>
      <c r="M2265">
        <f>VLOOKUP(D2265,State_Lookup!$A$2:$B$28,2,FALSE)</f>
        <v/>
      </c>
    </row>
    <row r="2266">
      <c r="A2266" t="inlineStr">
        <is>
          <t>d742edc736f4fa6a173ee4a049322e45</t>
        </is>
      </c>
      <c r="B2266" t="inlineStr">
        <is>
          <t>2017-12-28</t>
        </is>
      </c>
      <c r="C2266" t="inlineStr">
        <is>
          <t>2017-12</t>
        </is>
      </c>
      <c r="D2266" t="inlineStr">
        <is>
          <t>MG</t>
        </is>
      </c>
      <c r="E2266" t="inlineStr">
        <is>
          <t>computers_accessories</t>
        </is>
      </c>
      <c r="F2266" t="n">
        <v>1</v>
      </c>
      <c r="G2266" t="n">
        <v>149.99</v>
      </c>
      <c r="H2266" t="n">
        <v>23.85</v>
      </c>
      <c r="I2266" t="inlineStr">
        <is>
          <t>credit_card</t>
        </is>
      </c>
      <c r="J2266" t="n">
        <v>11</v>
      </c>
      <c r="K2266" t="inlineStr">
        <is>
          <t>On Time</t>
        </is>
      </c>
      <c r="L2266" t="n">
        <v>5</v>
      </c>
      <c r="M2266">
        <f>VLOOKUP(D2266,State_Lookup!$A$2:$B$28,2,FALSE)</f>
        <v/>
      </c>
    </row>
    <row r="2267">
      <c r="A2267" t="inlineStr">
        <is>
          <t>a4ff93cafe11fd211ea627c3cd253480</t>
        </is>
      </c>
      <c r="B2267" t="inlineStr">
        <is>
          <t>2017-12-29</t>
        </is>
      </c>
      <c r="C2267" t="inlineStr">
        <is>
          <t>2017-12</t>
        </is>
      </c>
      <c r="D2267" t="inlineStr">
        <is>
          <t>SP</t>
        </is>
      </c>
      <c r="E2267" t="inlineStr">
        <is>
          <t>computers_accessories</t>
        </is>
      </c>
      <c r="F2267" t="n">
        <v>1</v>
      </c>
      <c r="G2267" t="n">
        <v>181.01</v>
      </c>
      <c r="H2267" t="n">
        <v>15.02</v>
      </c>
      <c r="I2267" t="inlineStr">
        <is>
          <t>credit_card</t>
        </is>
      </c>
      <c r="J2267" t="n">
        <v>11</v>
      </c>
      <c r="K2267" t="inlineStr">
        <is>
          <t>On Time</t>
        </is>
      </c>
      <c r="L2267" t="n">
        <v>5</v>
      </c>
      <c r="M2267">
        <f>VLOOKUP(D2267,State_Lookup!$A$2:$B$28,2,FALSE)</f>
        <v/>
      </c>
    </row>
    <row r="2268">
      <c r="A2268" t="inlineStr">
        <is>
          <t>dcc9db54a4861b6fad2db082fbcdbffc</t>
        </is>
      </c>
      <c r="B2268" t="inlineStr">
        <is>
          <t>2017-12-29</t>
        </is>
      </c>
      <c r="C2268" t="inlineStr">
        <is>
          <t>2017-12</t>
        </is>
      </c>
      <c r="D2268" t="inlineStr">
        <is>
          <t>SP</t>
        </is>
      </c>
      <c r="E2268" t="inlineStr">
        <is>
          <t>luggage_accessories</t>
        </is>
      </c>
      <c r="F2268" t="n">
        <v>1</v>
      </c>
      <c r="G2268" t="n">
        <v>99.90000000000001</v>
      </c>
      <c r="H2268" t="n">
        <v>9.51</v>
      </c>
      <c r="I2268" t="inlineStr">
        <is>
          <t>credit_card</t>
        </is>
      </c>
      <c r="J2268" t="n">
        <v>9</v>
      </c>
      <c r="K2268" t="inlineStr">
        <is>
          <t>On Time</t>
        </is>
      </c>
      <c r="L2268" t="n">
        <v>5</v>
      </c>
      <c r="M2268">
        <f>VLOOKUP(D2268,State_Lookup!$A$2:$B$28,2,FALSE)</f>
        <v/>
      </c>
    </row>
    <row r="2269">
      <c r="A2269" t="inlineStr">
        <is>
          <t>47d4cec8efbcb39b6dad3398a957ae67</t>
        </is>
      </c>
      <c r="B2269" t="inlineStr">
        <is>
          <t>2017-12-29</t>
        </is>
      </c>
      <c r="C2269" t="inlineStr">
        <is>
          <t>2017-12</t>
        </is>
      </c>
      <c r="D2269" t="inlineStr">
        <is>
          <t>RJ</t>
        </is>
      </c>
      <c r="E2269" t="inlineStr">
        <is>
          <t>garden_tools</t>
        </is>
      </c>
      <c r="F2269" t="n">
        <v>1</v>
      </c>
      <c r="G2269" t="n">
        <v>89.98999999999999</v>
      </c>
      <c r="H2269" t="n">
        <v>45.09</v>
      </c>
      <c r="I2269" t="inlineStr">
        <is>
          <t>credit_card</t>
        </is>
      </c>
      <c r="J2269" t="n">
        <v>24</v>
      </c>
      <c r="K2269" t="inlineStr">
        <is>
          <t>On Time</t>
        </is>
      </c>
      <c r="L2269" t="n">
        <v>5</v>
      </c>
      <c r="M2269">
        <f>VLOOKUP(D2269,State_Lookup!$A$2:$B$28,2,FALSE)</f>
        <v/>
      </c>
    </row>
    <row r="2270">
      <c r="A2270" t="inlineStr">
        <is>
          <t>eaa327106ae5437fcdfca397f45beca9</t>
        </is>
      </c>
      <c r="B2270" t="inlineStr">
        <is>
          <t>2017-12-29</t>
        </is>
      </c>
      <c r="C2270" t="inlineStr">
        <is>
          <t>2017-12</t>
        </is>
      </c>
      <c r="D2270" t="inlineStr">
        <is>
          <t>SP</t>
        </is>
      </c>
      <c r="E2270" t="inlineStr">
        <is>
          <t>telephony</t>
        </is>
      </c>
      <c r="F2270" t="n">
        <v>1</v>
      </c>
      <c r="G2270" t="n">
        <v>18</v>
      </c>
      <c r="H2270" t="n">
        <v>7.78</v>
      </c>
      <c r="I2270" t="inlineStr">
        <is>
          <t>credit_card</t>
        </is>
      </c>
      <c r="J2270" t="n">
        <v>6</v>
      </c>
      <c r="K2270" t="inlineStr">
        <is>
          <t>On Time</t>
        </is>
      </c>
      <c r="L2270" t="n">
        <v>5</v>
      </c>
      <c r="M2270">
        <f>VLOOKUP(D2270,State_Lookup!$A$2:$B$28,2,FALSE)</f>
        <v/>
      </c>
    </row>
    <row r="2271">
      <c r="A2271" t="inlineStr">
        <is>
          <t>18bab9568c4898babcda154767606442</t>
        </is>
      </c>
      <c r="B2271" t="inlineStr">
        <is>
          <t>2017-12-30</t>
        </is>
      </c>
      <c r="C2271" t="inlineStr">
        <is>
          <t>2017-12</t>
        </is>
      </c>
      <c r="D2271" t="inlineStr">
        <is>
          <t>SP</t>
        </is>
      </c>
      <c r="E2271" t="inlineStr">
        <is>
          <t>consoles_games</t>
        </is>
      </c>
      <c r="F2271" t="n">
        <v>1</v>
      </c>
      <c r="G2271" t="n">
        <v>24.5</v>
      </c>
      <c r="H2271" t="n">
        <v>11.85</v>
      </c>
      <c r="I2271" t="inlineStr">
        <is>
          <t>credit_card</t>
        </is>
      </c>
      <c r="J2271" t="n">
        <v>7</v>
      </c>
      <c r="K2271" t="inlineStr">
        <is>
          <t>On Time</t>
        </is>
      </c>
      <c r="L2271" t="n">
        <v>2</v>
      </c>
      <c r="M2271">
        <f>VLOOKUP(D2271,State_Lookup!$A$2:$B$28,2,FALSE)</f>
        <v/>
      </c>
    </row>
    <row r="2272">
      <c r="A2272" t="inlineStr">
        <is>
          <t>4de6d713d9ceeaea4bc2e26389fd8c66</t>
        </is>
      </c>
      <c r="B2272" t="inlineStr">
        <is>
          <t>2017-12-30</t>
        </is>
      </c>
      <c r="C2272" t="inlineStr">
        <is>
          <t>2017-12</t>
        </is>
      </c>
      <c r="D2272" t="inlineStr">
        <is>
          <t>MG</t>
        </is>
      </c>
      <c r="E2272" t="inlineStr">
        <is>
          <t>garden_tools</t>
        </is>
      </c>
      <c r="F2272" t="n">
        <v>1</v>
      </c>
      <c r="G2272" t="n">
        <v>239.99</v>
      </c>
      <c r="H2272" t="n">
        <v>27.3</v>
      </c>
      <c r="I2272" t="inlineStr">
        <is>
          <t>credit_card</t>
        </is>
      </c>
      <c r="J2272" t="n">
        <v>10</v>
      </c>
      <c r="K2272" t="inlineStr">
        <is>
          <t>On Time</t>
        </is>
      </c>
      <c r="L2272" t="n">
        <v>3</v>
      </c>
      <c r="M2272">
        <f>VLOOKUP(D2272,State_Lookup!$A$2:$B$28,2,FALSE)</f>
        <v/>
      </c>
    </row>
    <row r="2273">
      <c r="A2273" t="inlineStr">
        <is>
          <t>c2df028c86d4158c1bae5a4028860656</t>
        </is>
      </c>
      <c r="B2273" t="inlineStr">
        <is>
          <t>2017-12-30</t>
        </is>
      </c>
      <c r="C2273" t="inlineStr">
        <is>
          <t>2017-12</t>
        </is>
      </c>
      <c r="D2273" t="inlineStr">
        <is>
          <t>RJ</t>
        </is>
      </c>
      <c r="E2273" t="inlineStr">
        <is>
          <t>health_beauty</t>
        </is>
      </c>
      <c r="F2273" t="n">
        <v>1</v>
      </c>
      <c r="G2273" t="n">
        <v>129.9</v>
      </c>
      <c r="H2273" t="n">
        <v>12.86</v>
      </c>
      <c r="I2273" t="inlineStr">
        <is>
          <t>credit_card</t>
        </is>
      </c>
      <c r="J2273" t="n">
        <v>5</v>
      </c>
      <c r="K2273" t="inlineStr">
        <is>
          <t>On Time</t>
        </is>
      </c>
      <c r="L2273" t="n">
        <v>5</v>
      </c>
      <c r="M2273">
        <f>VLOOKUP(D2273,State_Lookup!$A$2:$B$28,2,FALSE)</f>
        <v/>
      </c>
    </row>
    <row r="2274">
      <c r="A2274" t="inlineStr">
        <is>
          <t>cfc558750a7ad84d94c1348dfd89543c</t>
        </is>
      </c>
      <c r="B2274" t="inlineStr">
        <is>
          <t>2017-12-30</t>
        </is>
      </c>
      <c r="C2274" t="inlineStr">
        <is>
          <t>2017-12</t>
        </is>
      </c>
      <c r="D2274" t="inlineStr">
        <is>
          <t>MG</t>
        </is>
      </c>
      <c r="E2274" t="inlineStr">
        <is>
          <t>cool_stuff</t>
        </is>
      </c>
      <c r="F2274" t="n">
        <v>1</v>
      </c>
      <c r="G2274" t="n">
        <v>199</v>
      </c>
      <c r="H2274" t="n">
        <v>20.63</v>
      </c>
      <c r="I2274" t="inlineStr">
        <is>
          <t>credit_card</t>
        </is>
      </c>
      <c r="J2274" t="n">
        <v>12</v>
      </c>
      <c r="K2274" t="inlineStr">
        <is>
          <t>On Time</t>
        </is>
      </c>
      <c r="L2274" t="n">
        <v>4</v>
      </c>
      <c r="M2274">
        <f>VLOOKUP(D2274,State_Lookup!$A$2:$B$28,2,FALSE)</f>
        <v/>
      </c>
    </row>
    <row r="2275">
      <c r="A2275" t="inlineStr">
        <is>
          <t>1449e2bfe7a48a4534cd242f0d60e414</t>
        </is>
      </c>
      <c r="B2275" t="inlineStr">
        <is>
          <t>2017-12-30</t>
        </is>
      </c>
      <c r="C2275" t="inlineStr">
        <is>
          <t>2017-12</t>
        </is>
      </c>
      <c r="D2275" t="inlineStr">
        <is>
          <t>BA</t>
        </is>
      </c>
      <c r="E2275" t="inlineStr">
        <is>
          <t>computers_accessories</t>
        </is>
      </c>
      <c r="F2275" t="n">
        <v>1</v>
      </c>
      <c r="G2275" t="n">
        <v>235.92</v>
      </c>
      <c r="H2275" t="n">
        <v>19.22</v>
      </c>
      <c r="I2275" t="inlineStr">
        <is>
          <t>credit_card</t>
        </is>
      </c>
      <c r="J2275" t="n">
        <v>16</v>
      </c>
      <c r="K2275" t="inlineStr">
        <is>
          <t>On Time</t>
        </is>
      </c>
      <c r="L2275" t="n">
        <v>5</v>
      </c>
      <c r="M2275">
        <f>VLOOKUP(D2275,State_Lookup!$A$2:$B$28,2,FALSE)</f>
        <v/>
      </c>
    </row>
    <row r="2276">
      <c r="A2276" t="inlineStr">
        <is>
          <t>bf4ad1a5f0eccfffdad0fa4efd493d2a</t>
        </is>
      </c>
      <c r="B2276" t="inlineStr">
        <is>
          <t>2017-12-30</t>
        </is>
      </c>
      <c r="C2276" t="inlineStr">
        <is>
          <t>2017-12</t>
        </is>
      </c>
      <c r="D2276" t="inlineStr">
        <is>
          <t>SP</t>
        </is>
      </c>
      <c r="E2276" t="inlineStr">
        <is>
          <t>toys</t>
        </is>
      </c>
      <c r="F2276" t="n">
        <v>1</v>
      </c>
      <c r="G2276" t="n">
        <v>89.90000000000001</v>
      </c>
      <c r="H2276" t="n">
        <v>12.13</v>
      </c>
      <c r="I2276" t="inlineStr">
        <is>
          <t>credit_card</t>
        </is>
      </c>
      <c r="J2276" t="n">
        <v>11</v>
      </c>
      <c r="K2276" t="inlineStr">
        <is>
          <t>On Time</t>
        </is>
      </c>
      <c r="L2276" t="n">
        <v>5</v>
      </c>
      <c r="M2276">
        <f>VLOOKUP(D2276,State_Lookup!$A$2:$B$28,2,FALSE)</f>
        <v/>
      </c>
    </row>
    <row r="2277">
      <c r="A2277" t="inlineStr">
        <is>
          <t>4027aaf151a408af313fee7a5af64c5a</t>
        </is>
      </c>
      <c r="B2277" t="inlineStr">
        <is>
          <t>2017-12-31</t>
        </is>
      </c>
      <c r="C2277" t="inlineStr">
        <is>
          <t>2017-12</t>
        </is>
      </c>
      <c r="D2277" t="inlineStr">
        <is>
          <t>SP</t>
        </is>
      </c>
      <c r="E2277" t="inlineStr">
        <is>
          <t>fashion_bags_accessories</t>
        </is>
      </c>
      <c r="F2277" t="n">
        <v>1</v>
      </c>
      <c r="G2277" t="n">
        <v>34.9</v>
      </c>
      <c r="H2277" t="n">
        <v>15.1</v>
      </c>
      <c r="I2277" t="inlineStr">
        <is>
          <t>credit_card</t>
        </is>
      </c>
      <c r="J2277" t="n">
        <v>9</v>
      </c>
      <c r="K2277" t="inlineStr">
        <is>
          <t>On Time</t>
        </is>
      </c>
      <c r="L2277" t="n">
        <v>5</v>
      </c>
      <c r="M2277">
        <f>VLOOKUP(D2277,State_Lookup!$A$2:$B$28,2,FALSE)</f>
        <v/>
      </c>
    </row>
    <row r="2278">
      <c r="A2278" t="inlineStr">
        <is>
          <t>db640157e1dcec75f26ab07653111cf2</t>
        </is>
      </c>
      <c r="B2278" t="inlineStr">
        <is>
          <t>2017-12-31</t>
        </is>
      </c>
      <c r="C2278" t="inlineStr">
        <is>
          <t>2017-12</t>
        </is>
      </c>
      <c r="D2278" t="inlineStr">
        <is>
          <t>SP</t>
        </is>
      </c>
      <c r="E2278" t="inlineStr">
        <is>
          <t>unknown</t>
        </is>
      </c>
      <c r="F2278" t="n">
        <v>1</v>
      </c>
      <c r="G2278" t="n">
        <v>122.99</v>
      </c>
      <c r="H2278" t="n">
        <v>12.36</v>
      </c>
      <c r="I2278" t="inlineStr">
        <is>
          <t>credit_card</t>
        </is>
      </c>
      <c r="J2278" t="inlineStr"/>
      <c r="K2278" t="inlineStr">
        <is>
          <t>Not Delivered</t>
        </is>
      </c>
      <c r="L2278" t="n">
        <v>1</v>
      </c>
      <c r="M2278">
        <f>VLOOKUP(D2278,State_Lookup!$A$2:$B$28,2,FALSE)</f>
        <v/>
      </c>
    </row>
    <row r="2279">
      <c r="A2279" t="inlineStr">
        <is>
          <t>89ed06112208a473f65e0f9f40fc5af5</t>
        </is>
      </c>
      <c r="B2279" t="inlineStr">
        <is>
          <t>2017-12-31</t>
        </is>
      </c>
      <c r="C2279" t="inlineStr">
        <is>
          <t>2017-12</t>
        </is>
      </c>
      <c r="D2279" t="inlineStr">
        <is>
          <t>SC</t>
        </is>
      </c>
      <c r="E2279" t="inlineStr">
        <is>
          <t>drinks</t>
        </is>
      </c>
      <c r="F2279" t="n">
        <v>1</v>
      </c>
      <c r="G2279" t="n">
        <v>57.49</v>
      </c>
      <c r="H2279" t="n">
        <v>16.16</v>
      </c>
      <c r="I2279" t="inlineStr">
        <is>
          <t>credit_card</t>
        </is>
      </c>
      <c r="J2279" t="n">
        <v>26</v>
      </c>
      <c r="K2279" t="inlineStr">
        <is>
          <t>On Time</t>
        </is>
      </c>
      <c r="L2279" t="n">
        <v>5</v>
      </c>
      <c r="M2279">
        <f>VLOOKUP(D2279,State_Lookup!$A$2:$B$28,2,FALSE)</f>
        <v/>
      </c>
    </row>
    <row r="2280">
      <c r="A2280" t="inlineStr">
        <is>
          <t>2ae1a1178ebaf2ed27989112cf9f4a2d</t>
        </is>
      </c>
      <c r="B2280" t="inlineStr">
        <is>
          <t>2018-01-01</t>
        </is>
      </c>
      <c r="C2280" t="inlineStr">
        <is>
          <t>2018-01</t>
        </is>
      </c>
      <c r="D2280" t="inlineStr">
        <is>
          <t>RJ</t>
        </is>
      </c>
      <c r="E2280" t="inlineStr">
        <is>
          <t>sports_leisure</t>
        </is>
      </c>
      <c r="F2280" t="n">
        <v>1</v>
      </c>
      <c r="G2280" t="n">
        <v>249.9</v>
      </c>
      <c r="H2280" t="n">
        <v>16.5</v>
      </c>
      <c r="I2280" t="inlineStr">
        <is>
          <t>credit_card</t>
        </is>
      </c>
      <c r="J2280" t="n">
        <v>17</v>
      </c>
      <c r="K2280" t="inlineStr">
        <is>
          <t>On Time</t>
        </is>
      </c>
      <c r="L2280" t="n">
        <v>5</v>
      </c>
      <c r="M2280">
        <f>VLOOKUP(D2280,State_Lookup!$A$2:$B$28,2,FALSE)</f>
        <v/>
      </c>
    </row>
    <row r="2281">
      <c r="A2281" t="inlineStr">
        <is>
          <t>7bbf4d89a154102fdd36ae71da6e0326</t>
        </is>
      </c>
      <c r="B2281" t="inlineStr">
        <is>
          <t>2018-01-01</t>
        </is>
      </c>
      <c r="C2281" t="inlineStr">
        <is>
          <t>2018-01</t>
        </is>
      </c>
      <c r="D2281" t="inlineStr">
        <is>
          <t>PR</t>
        </is>
      </c>
      <c r="E2281" t="inlineStr">
        <is>
          <t>housewares</t>
        </is>
      </c>
      <c r="F2281" t="n">
        <v>1</v>
      </c>
      <c r="G2281" t="n">
        <v>72</v>
      </c>
      <c r="H2281" t="n">
        <v>15.25</v>
      </c>
      <c r="I2281" t="inlineStr">
        <is>
          <t>debit_card</t>
        </is>
      </c>
      <c r="J2281" t="n">
        <v>8</v>
      </c>
      <c r="K2281" t="inlineStr">
        <is>
          <t>On Time</t>
        </is>
      </c>
      <c r="L2281" t="n">
        <v>4</v>
      </c>
      <c r="M2281">
        <f>VLOOKUP(D2281,State_Lookup!$A$2:$B$28,2,FALSE)</f>
        <v/>
      </c>
    </row>
    <row r="2282">
      <c r="A2282" t="inlineStr">
        <is>
          <t>1537883594710d72e0f3e96f796fcd27</t>
        </is>
      </c>
      <c r="B2282" t="inlineStr">
        <is>
          <t>2018-01-01</t>
        </is>
      </c>
      <c r="C2282" t="inlineStr">
        <is>
          <t>2018-01</t>
        </is>
      </c>
      <c r="D2282" t="inlineStr">
        <is>
          <t>DF</t>
        </is>
      </c>
      <c r="E2282" t="inlineStr">
        <is>
          <t>fashion_bags_accessories</t>
        </is>
      </c>
      <c r="F2282" t="n">
        <v>1</v>
      </c>
      <c r="G2282" t="n">
        <v>20.3</v>
      </c>
      <c r="H2282" t="n">
        <v>15.1</v>
      </c>
      <c r="I2282" t="inlineStr">
        <is>
          <t>credit_card</t>
        </is>
      </c>
      <c r="J2282" t="n">
        <v>17</v>
      </c>
      <c r="K2282" t="inlineStr">
        <is>
          <t>On Time</t>
        </is>
      </c>
      <c r="L2282" t="n">
        <v>4</v>
      </c>
      <c r="M2282">
        <f>VLOOKUP(D2282,State_Lookup!$A$2:$B$28,2,FALSE)</f>
        <v/>
      </c>
    </row>
    <row r="2283">
      <c r="A2283" t="inlineStr">
        <is>
          <t>559115c14f48d999adcc027b4a702c8b</t>
        </is>
      </c>
      <c r="B2283" t="inlineStr">
        <is>
          <t>2018-01-01</t>
        </is>
      </c>
      <c r="C2283" t="inlineStr">
        <is>
          <t>2018-01</t>
        </is>
      </c>
      <c r="D2283" t="inlineStr">
        <is>
          <t>SP</t>
        </is>
      </c>
      <c r="E2283" t="inlineStr">
        <is>
          <t>watches_gifts</t>
        </is>
      </c>
      <c r="F2283" t="n">
        <v>1</v>
      </c>
      <c r="G2283" t="n">
        <v>49</v>
      </c>
      <c r="H2283" t="n">
        <v>7.78</v>
      </c>
      <c r="I2283" t="inlineStr">
        <is>
          <t>credit_card</t>
        </is>
      </c>
      <c r="J2283" t="n">
        <v>7</v>
      </c>
      <c r="K2283" t="inlineStr">
        <is>
          <t>On Time</t>
        </is>
      </c>
      <c r="L2283" t="n">
        <v>5</v>
      </c>
      <c r="M2283">
        <f>VLOOKUP(D2283,State_Lookup!$A$2:$B$28,2,FALSE)</f>
        <v/>
      </c>
    </row>
    <row r="2284">
      <c r="A2284" t="inlineStr">
        <is>
          <t>af74091f111e705ab46de44f0f46aee0</t>
        </is>
      </c>
      <c r="B2284" t="inlineStr">
        <is>
          <t>2018-01-01</t>
        </is>
      </c>
      <c r="C2284" t="inlineStr">
        <is>
          <t>2018-01</t>
        </is>
      </c>
      <c r="D2284" t="inlineStr">
        <is>
          <t>RJ</t>
        </is>
      </c>
      <c r="E2284" t="inlineStr">
        <is>
          <t>health_beauty</t>
        </is>
      </c>
      <c r="F2284" t="n">
        <v>1</v>
      </c>
      <c r="G2284" t="n">
        <v>89.90000000000001</v>
      </c>
      <c r="H2284" t="n">
        <v>16.07</v>
      </c>
      <c r="I2284" t="inlineStr">
        <is>
          <t>boleto</t>
        </is>
      </c>
      <c r="J2284" t="n">
        <v>31</v>
      </c>
      <c r="K2284" t="inlineStr">
        <is>
          <t>On Time</t>
        </is>
      </c>
      <c r="L2284" t="n">
        <v>5</v>
      </c>
      <c r="M2284">
        <f>VLOOKUP(D2284,State_Lookup!$A$2:$B$28,2,FALSE)</f>
        <v/>
      </c>
    </row>
    <row r="2285">
      <c r="A2285" t="inlineStr">
        <is>
          <t>7efedf2c0bfaa6cae462a2d447584503</t>
        </is>
      </c>
      <c r="B2285" t="inlineStr">
        <is>
          <t>2018-01-02</t>
        </is>
      </c>
      <c r="C2285" t="inlineStr">
        <is>
          <t>2018-01</t>
        </is>
      </c>
      <c r="D2285" t="inlineStr">
        <is>
          <t>SP</t>
        </is>
      </c>
      <c r="E2285" t="inlineStr">
        <is>
          <t>garden_tools</t>
        </is>
      </c>
      <c r="F2285" t="n">
        <v>1</v>
      </c>
      <c r="G2285" t="n">
        <v>248</v>
      </c>
      <c r="H2285" t="n">
        <v>16.49</v>
      </c>
      <c r="I2285" t="inlineStr">
        <is>
          <t>boleto</t>
        </is>
      </c>
      <c r="J2285" t="n">
        <v>14</v>
      </c>
      <c r="K2285" t="inlineStr">
        <is>
          <t>On Time</t>
        </is>
      </c>
      <c r="L2285" t="n">
        <v>5</v>
      </c>
      <c r="M2285">
        <f>VLOOKUP(D2285,State_Lookup!$A$2:$B$28,2,FALSE)</f>
        <v/>
      </c>
    </row>
    <row r="2286">
      <c r="A2286" t="inlineStr">
        <is>
          <t>dd3d73f70b77e2a07f64360620621ca4</t>
        </is>
      </c>
      <c r="B2286" t="inlineStr">
        <is>
          <t>2018-01-02</t>
        </is>
      </c>
      <c r="C2286" t="inlineStr">
        <is>
          <t>2018-01</t>
        </is>
      </c>
      <c r="D2286" t="inlineStr">
        <is>
          <t>SP</t>
        </is>
      </c>
      <c r="E2286" t="inlineStr">
        <is>
          <t>furniture_decor</t>
        </is>
      </c>
      <c r="F2286" t="n">
        <v>1</v>
      </c>
      <c r="G2286" t="n">
        <v>249.99</v>
      </c>
      <c r="H2286" t="n">
        <v>12.95</v>
      </c>
      <c r="I2286" t="inlineStr">
        <is>
          <t>credit_card</t>
        </is>
      </c>
      <c r="J2286" t="n">
        <v>2</v>
      </c>
      <c r="K2286" t="inlineStr">
        <is>
          <t>On Time</t>
        </is>
      </c>
      <c r="L2286" t="n">
        <v>2</v>
      </c>
      <c r="M2286">
        <f>VLOOKUP(D2286,State_Lookup!$A$2:$B$28,2,FALSE)</f>
        <v/>
      </c>
    </row>
    <row r="2287">
      <c r="A2287" t="inlineStr">
        <is>
          <t>bf0f1a792476855668552e27ec7d263f</t>
        </is>
      </c>
      <c r="B2287" t="inlineStr">
        <is>
          <t>2018-01-02</t>
        </is>
      </c>
      <c r="C2287" t="inlineStr">
        <is>
          <t>2018-01</t>
        </is>
      </c>
      <c r="D2287" t="inlineStr">
        <is>
          <t>PR</t>
        </is>
      </c>
      <c r="E2287" t="inlineStr">
        <is>
          <t>electronics</t>
        </is>
      </c>
      <c r="F2287" t="n">
        <v>1</v>
      </c>
      <c r="G2287" t="n">
        <v>12.25</v>
      </c>
      <c r="H2287" t="n">
        <v>14.1</v>
      </c>
      <c r="I2287" t="inlineStr">
        <is>
          <t>credit_card</t>
        </is>
      </c>
      <c r="J2287" t="n">
        <v>7</v>
      </c>
      <c r="K2287" t="inlineStr">
        <is>
          <t>On Time</t>
        </is>
      </c>
      <c r="L2287" t="n">
        <v>5</v>
      </c>
      <c r="M2287">
        <f>VLOOKUP(D2287,State_Lookup!$A$2:$B$28,2,FALSE)</f>
        <v/>
      </c>
    </row>
    <row r="2288">
      <c r="A2288" t="inlineStr">
        <is>
          <t>a34caabc66a97d7d5228c0c98789ea62</t>
        </is>
      </c>
      <c r="B2288" t="inlineStr">
        <is>
          <t>2018-01-02</t>
        </is>
      </c>
      <c r="C2288" t="inlineStr">
        <is>
          <t>2018-01</t>
        </is>
      </c>
      <c r="D2288" t="inlineStr">
        <is>
          <t>SE</t>
        </is>
      </c>
      <c r="E2288" t="inlineStr">
        <is>
          <t>health_beauty</t>
        </is>
      </c>
      <c r="F2288" t="n">
        <v>1</v>
      </c>
      <c r="G2288" t="n">
        <v>819.89</v>
      </c>
      <c r="H2288" t="n">
        <v>41.06</v>
      </c>
      <c r="I2288" t="inlineStr">
        <is>
          <t>credit_card</t>
        </is>
      </c>
      <c r="J2288" t="n">
        <v>9</v>
      </c>
      <c r="K2288" t="inlineStr">
        <is>
          <t>On Time</t>
        </is>
      </c>
      <c r="L2288" t="n">
        <v>5</v>
      </c>
      <c r="M2288">
        <f>VLOOKUP(D2288,State_Lookup!$A$2:$B$28,2,FALSE)</f>
        <v/>
      </c>
    </row>
    <row r="2289">
      <c r="A2289" t="inlineStr">
        <is>
          <t>25f1a44846759c52334309da493877c6</t>
        </is>
      </c>
      <c r="B2289" t="inlineStr">
        <is>
          <t>2018-01-02</t>
        </is>
      </c>
      <c r="C2289" t="inlineStr">
        <is>
          <t>2018-01</t>
        </is>
      </c>
      <c r="D2289" t="inlineStr">
        <is>
          <t>SP</t>
        </is>
      </c>
      <c r="E2289" t="inlineStr">
        <is>
          <t>health_beauty</t>
        </is>
      </c>
      <c r="F2289" t="n">
        <v>1</v>
      </c>
      <c r="G2289" t="n">
        <v>119.9</v>
      </c>
      <c r="H2289" t="n">
        <v>14.59</v>
      </c>
      <c r="I2289" t="inlineStr">
        <is>
          <t>credit_card</t>
        </is>
      </c>
      <c r="J2289" t="n">
        <v>9</v>
      </c>
      <c r="K2289" t="inlineStr">
        <is>
          <t>On Time</t>
        </is>
      </c>
      <c r="L2289" t="n">
        <v>1</v>
      </c>
      <c r="M2289">
        <f>VLOOKUP(D2289,State_Lookup!$A$2:$B$28,2,FALSE)</f>
        <v/>
      </c>
    </row>
    <row r="2290">
      <c r="A2290" t="inlineStr">
        <is>
          <t>0378193927bcea58a229c432fa102ba9</t>
        </is>
      </c>
      <c r="B2290" t="inlineStr">
        <is>
          <t>2018-01-02</t>
        </is>
      </c>
      <c r="C2290" t="inlineStr">
        <is>
          <t>2018-01</t>
        </is>
      </c>
      <c r="D2290" t="inlineStr">
        <is>
          <t>SP</t>
        </is>
      </c>
      <c r="E2290" t="inlineStr">
        <is>
          <t>health_beauty</t>
        </is>
      </c>
      <c r="F2290" t="n">
        <v>1</v>
      </c>
      <c r="G2290" t="n">
        <v>98</v>
      </c>
      <c r="H2290" t="n">
        <v>13.03</v>
      </c>
      <c r="I2290" t="inlineStr">
        <is>
          <t>credit_card</t>
        </is>
      </c>
      <c r="J2290" t="n">
        <v>8</v>
      </c>
      <c r="K2290" t="inlineStr">
        <is>
          <t>On Time</t>
        </is>
      </c>
      <c r="L2290" t="n">
        <v>4</v>
      </c>
      <c r="M2290">
        <f>VLOOKUP(D2290,State_Lookup!$A$2:$B$28,2,FALSE)</f>
        <v/>
      </c>
    </row>
    <row r="2291">
      <c r="A2291" t="inlineStr">
        <is>
          <t>b29d96922098efb8c23532318576dffc</t>
        </is>
      </c>
      <c r="B2291" t="inlineStr">
        <is>
          <t>2018-01-02</t>
        </is>
      </c>
      <c r="C2291" t="inlineStr">
        <is>
          <t>2018-01</t>
        </is>
      </c>
      <c r="D2291" t="inlineStr">
        <is>
          <t>SP</t>
        </is>
      </c>
      <c r="E2291" t="inlineStr">
        <is>
          <t>small_appliances</t>
        </is>
      </c>
      <c r="F2291" t="n">
        <v>1</v>
      </c>
      <c r="G2291" t="n">
        <v>179.9</v>
      </c>
      <c r="H2291" t="n">
        <v>10.07</v>
      </c>
      <c r="I2291" t="inlineStr">
        <is>
          <t>boleto</t>
        </is>
      </c>
      <c r="J2291" t="n">
        <v>3</v>
      </c>
      <c r="K2291" t="inlineStr">
        <is>
          <t>On Time</t>
        </is>
      </c>
      <c r="L2291" t="n">
        <v>5</v>
      </c>
      <c r="M2291">
        <f>VLOOKUP(D2291,State_Lookup!$A$2:$B$28,2,FALSE)</f>
        <v/>
      </c>
    </row>
    <row r="2292">
      <c r="A2292" t="inlineStr">
        <is>
          <t>173cd9df6006351e8e5151ea0f400bd3</t>
        </is>
      </c>
      <c r="B2292" t="inlineStr">
        <is>
          <t>2018-01-02</t>
        </is>
      </c>
      <c r="C2292" t="inlineStr">
        <is>
          <t>2018-01</t>
        </is>
      </c>
      <c r="D2292" t="inlineStr">
        <is>
          <t>SP</t>
        </is>
      </c>
      <c r="E2292" t="inlineStr">
        <is>
          <t>auto</t>
        </is>
      </c>
      <c r="F2292" t="n">
        <v>2</v>
      </c>
      <c r="G2292" t="n">
        <v>228.38</v>
      </c>
      <c r="H2292" t="n">
        <v>28.91</v>
      </c>
      <c r="I2292" t="inlineStr">
        <is>
          <t>credit_card</t>
        </is>
      </c>
      <c r="J2292" t="n">
        <v>6</v>
      </c>
      <c r="K2292" t="inlineStr">
        <is>
          <t>On Time</t>
        </is>
      </c>
      <c r="L2292" t="n">
        <v>4</v>
      </c>
      <c r="M2292">
        <f>VLOOKUP(D2292,State_Lookup!$A$2:$B$28,2,FALSE)</f>
        <v/>
      </c>
    </row>
    <row r="2293">
      <c r="A2293" t="inlineStr">
        <is>
          <t>3829f15c6412e72045f01b63e798d413</t>
        </is>
      </c>
      <c r="B2293" t="inlineStr">
        <is>
          <t>2018-01-02</t>
        </is>
      </c>
      <c r="C2293" t="inlineStr">
        <is>
          <t>2018-01</t>
        </is>
      </c>
      <c r="D2293" t="inlineStr">
        <is>
          <t>RJ</t>
        </is>
      </c>
      <c r="E2293" t="inlineStr">
        <is>
          <t>bed_bath_table</t>
        </is>
      </c>
      <c r="F2293" t="n">
        <v>1</v>
      </c>
      <c r="G2293" t="n">
        <v>179.9</v>
      </c>
      <c r="H2293" t="n">
        <v>21.75</v>
      </c>
      <c r="I2293" t="inlineStr">
        <is>
          <t>voucher</t>
        </is>
      </c>
      <c r="J2293" t="n">
        <v>13</v>
      </c>
      <c r="K2293" t="inlineStr">
        <is>
          <t>On Time</t>
        </is>
      </c>
      <c r="L2293" t="n">
        <v>5</v>
      </c>
      <c r="M2293">
        <f>VLOOKUP(D2293,State_Lookup!$A$2:$B$28,2,FALSE)</f>
        <v/>
      </c>
    </row>
    <row r="2294">
      <c r="A2294" t="inlineStr">
        <is>
          <t>23e9d59ee7ad86ca85f8fc571420345e</t>
        </is>
      </c>
      <c r="B2294" t="inlineStr">
        <is>
          <t>2018-01-02</t>
        </is>
      </c>
      <c r="C2294" t="inlineStr">
        <is>
          <t>2018-01</t>
        </is>
      </c>
      <c r="D2294" t="inlineStr">
        <is>
          <t>GO</t>
        </is>
      </c>
      <c r="E2294" t="inlineStr">
        <is>
          <t>unknown</t>
        </is>
      </c>
      <c r="F2294" t="n">
        <v>1</v>
      </c>
      <c r="G2294" t="n">
        <v>122.99</v>
      </c>
      <c r="H2294" t="n">
        <v>14.61</v>
      </c>
      <c r="I2294" t="inlineStr">
        <is>
          <t>credit_card</t>
        </is>
      </c>
      <c r="J2294" t="n">
        <v>12</v>
      </c>
      <c r="K2294" t="inlineStr">
        <is>
          <t>On Time</t>
        </is>
      </c>
      <c r="L2294" t="n">
        <v>4</v>
      </c>
      <c r="M2294">
        <f>VLOOKUP(D2294,State_Lookup!$A$2:$B$28,2,FALSE)</f>
        <v/>
      </c>
    </row>
    <row r="2295">
      <c r="A2295" t="inlineStr">
        <is>
          <t>4b16b807a377f833778fc8b96f6d9ac4</t>
        </is>
      </c>
      <c r="B2295" t="inlineStr">
        <is>
          <t>2018-01-02</t>
        </is>
      </c>
      <c r="C2295" t="inlineStr">
        <is>
          <t>2018-01</t>
        </is>
      </c>
      <c r="D2295" t="inlineStr">
        <is>
          <t>RO</t>
        </is>
      </c>
      <c r="E2295" t="inlineStr">
        <is>
          <t>cool_stuff</t>
        </is>
      </c>
      <c r="F2295" t="n">
        <v>1</v>
      </c>
      <c r="G2295" t="n">
        <v>199.98</v>
      </c>
      <c r="H2295" t="n">
        <v>35.2</v>
      </c>
      <c r="I2295" t="inlineStr">
        <is>
          <t>credit_card</t>
        </is>
      </c>
      <c r="J2295" t="n">
        <v>27</v>
      </c>
      <c r="K2295" t="inlineStr">
        <is>
          <t>On Time</t>
        </is>
      </c>
      <c r="L2295" t="n">
        <v>5</v>
      </c>
      <c r="M2295">
        <f>VLOOKUP(D2295,State_Lookup!$A$2:$B$28,2,FALSE)</f>
        <v/>
      </c>
    </row>
    <row r="2296">
      <c r="A2296" t="inlineStr">
        <is>
          <t>19c2ba00be4e129ae7890ad07836befb</t>
        </is>
      </c>
      <c r="B2296" t="inlineStr">
        <is>
          <t>2018-01-02</t>
        </is>
      </c>
      <c r="C2296" t="inlineStr">
        <is>
          <t>2018-01</t>
        </is>
      </c>
      <c r="D2296" t="inlineStr">
        <is>
          <t>SP</t>
        </is>
      </c>
      <c r="E2296" t="inlineStr">
        <is>
          <t>cool_stuff</t>
        </is>
      </c>
      <c r="F2296" t="n">
        <v>1</v>
      </c>
      <c r="G2296" t="n">
        <v>166.99</v>
      </c>
      <c r="H2296" t="n">
        <v>13.72</v>
      </c>
      <c r="I2296" t="inlineStr">
        <is>
          <t>credit_card</t>
        </is>
      </c>
      <c r="J2296" t="n">
        <v>2</v>
      </c>
      <c r="K2296" t="inlineStr">
        <is>
          <t>On Time</t>
        </is>
      </c>
      <c r="L2296" t="n">
        <v>4</v>
      </c>
      <c r="M2296">
        <f>VLOOKUP(D2296,State_Lookup!$A$2:$B$28,2,FALSE)</f>
        <v/>
      </c>
    </row>
    <row r="2297">
      <c r="A2297" t="inlineStr">
        <is>
          <t>09914aa3bf0c742de9a4819692ec756b</t>
        </is>
      </c>
      <c r="B2297" t="inlineStr">
        <is>
          <t>2018-01-03</t>
        </is>
      </c>
      <c r="C2297" t="inlineStr">
        <is>
          <t>2018-01</t>
        </is>
      </c>
      <c r="D2297" t="inlineStr">
        <is>
          <t>PR</t>
        </is>
      </c>
      <c r="E2297" t="inlineStr">
        <is>
          <t>furniture_decor</t>
        </is>
      </c>
      <c r="F2297" t="n">
        <v>1</v>
      </c>
      <c r="G2297" t="n">
        <v>230</v>
      </c>
      <c r="H2297" t="n">
        <v>22.1</v>
      </c>
      <c r="I2297" t="inlineStr">
        <is>
          <t>boleto</t>
        </is>
      </c>
      <c r="J2297" t="n">
        <v>8</v>
      </c>
      <c r="K2297" t="inlineStr">
        <is>
          <t>On Time</t>
        </is>
      </c>
      <c r="L2297" t="n">
        <v>5</v>
      </c>
      <c r="M2297">
        <f>VLOOKUP(D2297,State_Lookup!$A$2:$B$28,2,FALSE)</f>
        <v/>
      </c>
    </row>
    <row r="2298">
      <c r="A2298" t="inlineStr">
        <is>
          <t>d2cb7c100806e87a227d413e9157cb76</t>
        </is>
      </c>
      <c r="B2298" t="inlineStr">
        <is>
          <t>2018-01-03</t>
        </is>
      </c>
      <c r="C2298" t="inlineStr">
        <is>
          <t>2018-01</t>
        </is>
      </c>
      <c r="D2298" t="inlineStr">
        <is>
          <t>SC</t>
        </is>
      </c>
      <c r="E2298" t="inlineStr">
        <is>
          <t>fashion_sport</t>
        </is>
      </c>
      <c r="F2298" t="n">
        <v>1</v>
      </c>
      <c r="G2298" t="n">
        <v>59.9</v>
      </c>
      <c r="H2298" t="n">
        <v>15.17</v>
      </c>
      <c r="I2298" t="inlineStr">
        <is>
          <t>boleto</t>
        </is>
      </c>
      <c r="J2298" t="n">
        <v>13</v>
      </c>
      <c r="K2298" t="inlineStr">
        <is>
          <t>On Time</t>
        </is>
      </c>
      <c r="L2298" t="n">
        <v>5</v>
      </c>
      <c r="M2298">
        <f>VLOOKUP(D2298,State_Lookup!$A$2:$B$28,2,FALSE)</f>
        <v/>
      </c>
    </row>
    <row r="2299">
      <c r="A2299" t="inlineStr">
        <is>
          <t>7c65caaf993acf13ce6a8c0aba410801</t>
        </is>
      </c>
      <c r="B2299" t="inlineStr">
        <is>
          <t>2018-01-03</t>
        </is>
      </c>
      <c r="C2299" t="inlineStr">
        <is>
          <t>2018-01</t>
        </is>
      </c>
      <c r="D2299" t="inlineStr">
        <is>
          <t>PR</t>
        </is>
      </c>
      <c r="E2299" t="inlineStr">
        <is>
          <t>telephony</t>
        </is>
      </c>
      <c r="F2299" t="n">
        <v>1</v>
      </c>
      <c r="G2299" t="n">
        <v>27.99</v>
      </c>
      <c r="H2299" t="n">
        <v>15.1</v>
      </c>
      <c r="I2299" t="inlineStr">
        <is>
          <t>boleto</t>
        </is>
      </c>
      <c r="J2299" t="n">
        <v>34</v>
      </c>
      <c r="K2299" t="inlineStr">
        <is>
          <t>Late</t>
        </is>
      </c>
      <c r="L2299" t="n">
        <v>1</v>
      </c>
      <c r="M2299">
        <f>VLOOKUP(D2299,State_Lookup!$A$2:$B$28,2,FALSE)</f>
        <v/>
      </c>
    </row>
    <row r="2300">
      <c r="A2300" t="inlineStr">
        <is>
          <t>67648ec95026605e68918a83edf5f13a</t>
        </is>
      </c>
      <c r="B2300" t="inlineStr">
        <is>
          <t>2018-01-03</t>
        </is>
      </c>
      <c r="C2300" t="inlineStr">
        <is>
          <t>2018-01</t>
        </is>
      </c>
      <c r="D2300" t="inlineStr">
        <is>
          <t>SP</t>
        </is>
      </c>
      <c r="E2300" t="inlineStr">
        <is>
          <t>bed_bath_table</t>
        </is>
      </c>
      <c r="F2300" t="n">
        <v>1</v>
      </c>
      <c r="G2300" t="n">
        <v>75.5</v>
      </c>
      <c r="H2300" t="n">
        <v>11.73</v>
      </c>
      <c r="I2300" t="inlineStr">
        <is>
          <t>credit_card</t>
        </is>
      </c>
      <c r="J2300" t="n">
        <v>8</v>
      </c>
      <c r="K2300" t="inlineStr">
        <is>
          <t>On Time</t>
        </is>
      </c>
      <c r="L2300" t="n">
        <v>3</v>
      </c>
      <c r="M2300">
        <f>VLOOKUP(D2300,State_Lookup!$A$2:$B$28,2,FALSE)</f>
        <v/>
      </c>
    </row>
    <row r="2301">
      <c r="A2301" t="inlineStr">
        <is>
          <t>37e1d9b8fc877b2c60bf51d2c4d8dbc6</t>
        </is>
      </c>
      <c r="B2301" t="inlineStr">
        <is>
          <t>2018-01-03</t>
        </is>
      </c>
      <c r="C2301" t="inlineStr">
        <is>
          <t>2018-01</t>
        </is>
      </c>
      <c r="D2301" t="inlineStr">
        <is>
          <t>SP</t>
        </is>
      </c>
      <c r="E2301" t="inlineStr">
        <is>
          <t>sports_leisure</t>
        </is>
      </c>
      <c r="F2301" t="n">
        <v>1</v>
      </c>
      <c r="G2301" t="n">
        <v>93.48999999999999</v>
      </c>
      <c r="H2301" t="n">
        <v>14.05</v>
      </c>
      <c r="I2301" t="inlineStr">
        <is>
          <t>credit_card</t>
        </is>
      </c>
      <c r="J2301" t="n">
        <v>5</v>
      </c>
      <c r="K2301" t="inlineStr">
        <is>
          <t>On Time</t>
        </is>
      </c>
      <c r="L2301" t="n">
        <v>5</v>
      </c>
      <c r="M2301">
        <f>VLOOKUP(D2301,State_Lookup!$A$2:$B$28,2,FALSE)</f>
        <v/>
      </c>
    </row>
    <row r="2302">
      <c r="A2302" t="inlineStr">
        <is>
          <t>d16d1d91feaf7e5d293ea1ebb0a60b7f</t>
        </is>
      </c>
      <c r="B2302" t="inlineStr">
        <is>
          <t>2018-01-03</t>
        </is>
      </c>
      <c r="C2302" t="inlineStr">
        <is>
          <t>2018-01</t>
        </is>
      </c>
      <c r="D2302" t="inlineStr">
        <is>
          <t>SP</t>
        </is>
      </c>
      <c r="E2302" t="inlineStr">
        <is>
          <t>telephony</t>
        </is>
      </c>
      <c r="F2302" t="n">
        <v>1</v>
      </c>
      <c r="G2302" t="n">
        <v>18.99</v>
      </c>
      <c r="H2302" t="n">
        <v>7.78</v>
      </c>
      <c r="I2302" t="inlineStr">
        <is>
          <t>voucher</t>
        </is>
      </c>
      <c r="J2302" t="n">
        <v>5</v>
      </c>
      <c r="K2302" t="inlineStr">
        <is>
          <t>On Time</t>
        </is>
      </c>
      <c r="L2302" t="n">
        <v>4</v>
      </c>
      <c r="M2302">
        <f>VLOOKUP(D2302,State_Lookup!$A$2:$B$28,2,FALSE)</f>
        <v/>
      </c>
    </row>
    <row r="2303">
      <c r="A2303" t="inlineStr">
        <is>
          <t>e98fdad1f9ba500a9aecfaa90e1662cd</t>
        </is>
      </c>
      <c r="B2303" t="inlineStr">
        <is>
          <t>2018-01-03</t>
        </is>
      </c>
      <c r="C2303" t="inlineStr">
        <is>
          <t>2018-01</t>
        </is>
      </c>
      <c r="D2303" t="inlineStr">
        <is>
          <t>SP</t>
        </is>
      </c>
      <c r="E2303" t="inlineStr">
        <is>
          <t>office_furniture</t>
        </is>
      </c>
      <c r="F2303" t="n">
        <v>3</v>
      </c>
      <c r="G2303" t="n">
        <v>236.97</v>
      </c>
      <c r="H2303" t="n">
        <v>64.67999999999999</v>
      </c>
      <c r="I2303" t="inlineStr">
        <is>
          <t>boleto</t>
        </is>
      </c>
      <c r="J2303" t="n">
        <v>27</v>
      </c>
      <c r="K2303" t="inlineStr">
        <is>
          <t>On Time</t>
        </is>
      </c>
      <c r="L2303" t="n">
        <v>4</v>
      </c>
      <c r="M2303">
        <f>VLOOKUP(D2303,State_Lookup!$A$2:$B$28,2,FALSE)</f>
        <v/>
      </c>
    </row>
    <row r="2304">
      <c r="A2304" t="inlineStr">
        <is>
          <t>bf7c6e08d475b7f505065edf5357ba16</t>
        </is>
      </c>
      <c r="B2304" t="inlineStr">
        <is>
          <t>2018-01-03</t>
        </is>
      </c>
      <c r="C2304" t="inlineStr">
        <is>
          <t>2018-01</t>
        </is>
      </c>
      <c r="D2304" t="inlineStr">
        <is>
          <t>SP</t>
        </is>
      </c>
      <c r="E2304" t="inlineStr">
        <is>
          <t>electronics</t>
        </is>
      </c>
      <c r="F2304" t="n">
        <v>1</v>
      </c>
      <c r="G2304" t="n">
        <v>109.9</v>
      </c>
      <c r="H2304" t="n">
        <v>8.02</v>
      </c>
      <c r="I2304" t="inlineStr">
        <is>
          <t>credit_card</t>
        </is>
      </c>
      <c r="J2304" t="n">
        <v>15</v>
      </c>
      <c r="K2304" t="inlineStr">
        <is>
          <t>On Time</t>
        </is>
      </c>
      <c r="L2304" t="n">
        <v>3</v>
      </c>
      <c r="M2304">
        <f>VLOOKUP(D2304,State_Lookup!$A$2:$B$28,2,FALSE)</f>
        <v/>
      </c>
    </row>
    <row r="2305">
      <c r="A2305" t="inlineStr">
        <is>
          <t>9d80c772b0c65884e80514abb626b94d</t>
        </is>
      </c>
      <c r="B2305" t="inlineStr">
        <is>
          <t>2018-01-03</t>
        </is>
      </c>
      <c r="C2305" t="inlineStr">
        <is>
          <t>2018-01</t>
        </is>
      </c>
      <c r="D2305" t="inlineStr">
        <is>
          <t>SP</t>
        </is>
      </c>
      <c r="E2305" t="inlineStr">
        <is>
          <t>telephony</t>
        </is>
      </c>
      <c r="F2305" t="n">
        <v>1</v>
      </c>
      <c r="G2305" t="n">
        <v>49</v>
      </c>
      <c r="H2305" t="n">
        <v>9.27</v>
      </c>
      <c r="I2305" t="inlineStr">
        <is>
          <t>boleto</t>
        </is>
      </c>
      <c r="J2305" t="n">
        <v>4</v>
      </c>
      <c r="K2305" t="inlineStr">
        <is>
          <t>On Time</t>
        </is>
      </c>
      <c r="L2305" t="n">
        <v>5</v>
      </c>
      <c r="M2305">
        <f>VLOOKUP(D2305,State_Lookup!$A$2:$B$28,2,FALSE)</f>
        <v/>
      </c>
    </row>
    <row r="2306">
      <c r="A2306" t="inlineStr">
        <is>
          <t>e83d7904c216c3a03eb6c215d82b7fec</t>
        </is>
      </c>
      <c r="B2306" t="inlineStr">
        <is>
          <t>2018-01-03</t>
        </is>
      </c>
      <c r="C2306" t="inlineStr">
        <is>
          <t>2018-01</t>
        </is>
      </c>
      <c r="D2306" t="inlineStr">
        <is>
          <t>MT</t>
        </is>
      </c>
      <c r="E2306" t="inlineStr">
        <is>
          <t>telephony</t>
        </is>
      </c>
      <c r="F2306" t="n">
        <v>1</v>
      </c>
      <c r="G2306" t="n">
        <v>29.99</v>
      </c>
      <c r="H2306" t="n">
        <v>16.79</v>
      </c>
      <c r="I2306" t="inlineStr">
        <is>
          <t>boleto</t>
        </is>
      </c>
      <c r="J2306" t="n">
        <v>12</v>
      </c>
      <c r="K2306" t="inlineStr">
        <is>
          <t>On Time</t>
        </is>
      </c>
      <c r="L2306" t="n">
        <v>4</v>
      </c>
      <c r="M2306">
        <f>VLOOKUP(D2306,State_Lookup!$A$2:$B$28,2,FALSE)</f>
        <v/>
      </c>
    </row>
    <row r="2307">
      <c r="A2307" t="inlineStr">
        <is>
          <t>ca801e184e659bcf7b7e4f4995d30ba8</t>
        </is>
      </c>
      <c r="B2307" t="inlineStr">
        <is>
          <t>2018-01-03</t>
        </is>
      </c>
      <c r="C2307" t="inlineStr">
        <is>
          <t>2018-01</t>
        </is>
      </c>
      <c r="D2307" t="inlineStr">
        <is>
          <t>RS</t>
        </is>
      </c>
      <c r="E2307" t="inlineStr">
        <is>
          <t>health_beauty</t>
        </is>
      </c>
      <c r="F2307" t="n">
        <v>1</v>
      </c>
      <c r="G2307" t="n">
        <v>149.99</v>
      </c>
      <c r="H2307" t="n">
        <v>15.81</v>
      </c>
      <c r="I2307" t="inlineStr">
        <is>
          <t>debit_card</t>
        </is>
      </c>
      <c r="J2307" t="n">
        <v>16</v>
      </c>
      <c r="K2307" t="inlineStr">
        <is>
          <t>On Time</t>
        </is>
      </c>
      <c r="L2307" t="n">
        <v>5</v>
      </c>
      <c r="M2307">
        <f>VLOOKUP(D2307,State_Lookup!$A$2:$B$28,2,FALSE)</f>
        <v/>
      </c>
    </row>
    <row r="2308">
      <c r="A2308" t="inlineStr">
        <is>
          <t>652436e8f3a1ba0f1eb9798fedb75426</t>
        </is>
      </c>
      <c r="B2308" t="inlineStr">
        <is>
          <t>2018-01-03</t>
        </is>
      </c>
      <c r="C2308" t="inlineStr">
        <is>
          <t>2018-01</t>
        </is>
      </c>
      <c r="D2308" t="inlineStr">
        <is>
          <t>GO</t>
        </is>
      </c>
      <c r="E2308" t="inlineStr">
        <is>
          <t>health_beauty</t>
        </is>
      </c>
      <c r="F2308" t="n">
        <v>1</v>
      </c>
      <c r="G2308" t="n">
        <v>69.98999999999999</v>
      </c>
      <c r="H2308" t="n">
        <v>14.24</v>
      </c>
      <c r="I2308" t="inlineStr">
        <is>
          <t>credit_card</t>
        </is>
      </c>
      <c r="J2308" t="n">
        <v>19</v>
      </c>
      <c r="K2308" t="inlineStr">
        <is>
          <t>On Time</t>
        </is>
      </c>
      <c r="L2308" t="n">
        <v>5</v>
      </c>
      <c r="M2308">
        <f>VLOOKUP(D2308,State_Lookup!$A$2:$B$28,2,FALSE)</f>
        <v/>
      </c>
    </row>
    <row r="2309">
      <c r="A2309" t="inlineStr">
        <is>
          <t>17b18aa0bfdcebddefdf2d7da5718181</t>
        </is>
      </c>
      <c r="B2309" t="inlineStr">
        <is>
          <t>2018-01-03</t>
        </is>
      </c>
      <c r="C2309" t="inlineStr">
        <is>
          <t>2018-01</t>
        </is>
      </c>
      <c r="D2309" t="inlineStr">
        <is>
          <t>SC</t>
        </is>
      </c>
      <c r="E2309" t="inlineStr">
        <is>
          <t>health_beauty</t>
        </is>
      </c>
      <c r="F2309" t="n">
        <v>1</v>
      </c>
      <c r="G2309" t="n">
        <v>84.98999999999999</v>
      </c>
      <c r="H2309" t="n">
        <v>16.35</v>
      </c>
      <c r="I2309" t="inlineStr">
        <is>
          <t>credit_card</t>
        </is>
      </c>
      <c r="J2309" t="n">
        <v>7</v>
      </c>
      <c r="K2309" t="inlineStr">
        <is>
          <t>On Time</t>
        </is>
      </c>
      <c r="L2309" t="n">
        <v>5</v>
      </c>
      <c r="M2309">
        <f>VLOOKUP(D2309,State_Lookup!$A$2:$B$28,2,FALSE)</f>
        <v/>
      </c>
    </row>
    <row r="2310">
      <c r="A2310" t="inlineStr">
        <is>
          <t>b00122d54463704c33f4768470c6db03</t>
        </is>
      </c>
      <c r="B2310" t="inlineStr">
        <is>
          <t>2018-01-03</t>
        </is>
      </c>
      <c r="C2310" t="inlineStr">
        <is>
          <t>2018-01</t>
        </is>
      </c>
      <c r="D2310" t="inlineStr">
        <is>
          <t>BA</t>
        </is>
      </c>
      <c r="E2310" t="inlineStr">
        <is>
          <t>watches_gifts</t>
        </is>
      </c>
      <c r="F2310" t="n">
        <v>1</v>
      </c>
      <c r="G2310" t="n">
        <v>299.99</v>
      </c>
      <c r="H2310" t="n">
        <v>19.67</v>
      </c>
      <c r="I2310" t="inlineStr">
        <is>
          <t>credit_card</t>
        </is>
      </c>
      <c r="J2310" t="n">
        <v>12</v>
      </c>
      <c r="K2310" t="inlineStr">
        <is>
          <t>On Time</t>
        </is>
      </c>
      <c r="L2310" t="n">
        <v>5</v>
      </c>
      <c r="M2310">
        <f>VLOOKUP(D2310,State_Lookup!$A$2:$B$28,2,FALSE)</f>
        <v/>
      </c>
    </row>
    <row r="2311">
      <c r="A2311" t="inlineStr">
        <is>
          <t>638ef1788b79081e63829d44a8f15e0c</t>
        </is>
      </c>
      <c r="B2311" t="inlineStr">
        <is>
          <t>2018-01-03</t>
        </is>
      </c>
      <c r="C2311" t="inlineStr">
        <is>
          <t>2018-01</t>
        </is>
      </c>
      <c r="D2311" t="inlineStr">
        <is>
          <t>MA</t>
        </is>
      </c>
      <c r="E2311" t="inlineStr">
        <is>
          <t>stationery</t>
        </is>
      </c>
      <c r="F2311" t="n">
        <v>1</v>
      </c>
      <c r="G2311" t="n">
        <v>79</v>
      </c>
      <c r="H2311" t="n">
        <v>38.1</v>
      </c>
      <c r="I2311" t="inlineStr">
        <is>
          <t>credit_card</t>
        </is>
      </c>
      <c r="J2311" t="n">
        <v>23</v>
      </c>
      <c r="K2311" t="inlineStr">
        <is>
          <t>On Time</t>
        </is>
      </c>
      <c r="L2311" t="n">
        <v>4</v>
      </c>
      <c r="M2311">
        <f>VLOOKUP(D2311,State_Lookup!$A$2:$B$28,2,FALSE)</f>
        <v/>
      </c>
    </row>
    <row r="2312">
      <c r="A2312" t="inlineStr">
        <is>
          <t>5f38b72f814e9f46ed3792fed53fa221</t>
        </is>
      </c>
      <c r="B2312" t="inlineStr">
        <is>
          <t>2018-01-04</t>
        </is>
      </c>
      <c r="C2312" t="inlineStr">
        <is>
          <t>2018-01</t>
        </is>
      </c>
      <c r="D2312" t="inlineStr">
        <is>
          <t>SP</t>
        </is>
      </c>
      <c r="E2312" t="inlineStr">
        <is>
          <t>watches_gifts</t>
        </is>
      </c>
      <c r="F2312" t="n">
        <v>1</v>
      </c>
      <c r="G2312" t="n">
        <v>199</v>
      </c>
      <c r="H2312" t="n">
        <v>12.89</v>
      </c>
      <c r="I2312" t="inlineStr">
        <is>
          <t>credit_card</t>
        </is>
      </c>
      <c r="J2312" t="n">
        <v>11</v>
      </c>
      <c r="K2312" t="inlineStr">
        <is>
          <t>On Time</t>
        </is>
      </c>
      <c r="L2312" t="n">
        <v>5</v>
      </c>
      <c r="M2312">
        <f>VLOOKUP(D2312,State_Lookup!$A$2:$B$28,2,FALSE)</f>
        <v/>
      </c>
    </row>
    <row r="2313">
      <c r="A2313" t="inlineStr">
        <is>
          <t>3da7a532b6ae989967fda8b6e790f2da</t>
        </is>
      </c>
      <c r="B2313" t="inlineStr">
        <is>
          <t>2018-01-04</t>
        </is>
      </c>
      <c r="C2313" t="inlineStr">
        <is>
          <t>2018-01</t>
        </is>
      </c>
      <c r="D2313" t="inlineStr">
        <is>
          <t>SP</t>
        </is>
      </c>
      <c r="E2313" t="inlineStr">
        <is>
          <t>toys</t>
        </is>
      </c>
      <c r="F2313" t="n">
        <v>1</v>
      </c>
      <c r="G2313" t="n">
        <v>389.9</v>
      </c>
      <c r="H2313" t="n">
        <v>11.54</v>
      </c>
      <c r="I2313" t="inlineStr">
        <is>
          <t>credit_card</t>
        </is>
      </c>
      <c r="J2313" t="n">
        <v>4</v>
      </c>
      <c r="K2313" t="inlineStr">
        <is>
          <t>On Time</t>
        </is>
      </c>
      <c r="L2313" t="n">
        <v>5</v>
      </c>
      <c r="M2313">
        <f>VLOOKUP(D2313,State_Lookup!$A$2:$B$28,2,FALSE)</f>
        <v/>
      </c>
    </row>
    <row r="2314">
      <c r="A2314" t="inlineStr">
        <is>
          <t>489d362ded79f4394b61b6e58453ab18</t>
        </is>
      </c>
      <c r="B2314" t="inlineStr">
        <is>
          <t>2018-01-04</t>
        </is>
      </c>
      <c r="C2314" t="inlineStr">
        <is>
          <t>2018-01</t>
        </is>
      </c>
      <c r="D2314" t="inlineStr">
        <is>
          <t>SP</t>
        </is>
      </c>
      <c r="E2314" t="inlineStr">
        <is>
          <t>furniture_decor</t>
        </is>
      </c>
      <c r="F2314" t="n">
        <v>1</v>
      </c>
      <c r="G2314" t="n">
        <v>14.9</v>
      </c>
      <c r="H2314" t="n">
        <v>15.1</v>
      </c>
      <c r="I2314" t="inlineStr">
        <is>
          <t>credit_card</t>
        </is>
      </c>
      <c r="J2314" t="n">
        <v>14</v>
      </c>
      <c r="K2314" t="inlineStr">
        <is>
          <t>On Time</t>
        </is>
      </c>
      <c r="L2314" t="n">
        <v>5</v>
      </c>
      <c r="M2314">
        <f>VLOOKUP(D2314,State_Lookup!$A$2:$B$28,2,FALSE)</f>
        <v/>
      </c>
    </row>
    <row r="2315">
      <c r="A2315" t="inlineStr">
        <is>
          <t>2939b6d48c2488e276205bc547c56aac</t>
        </is>
      </c>
      <c r="B2315" t="inlineStr">
        <is>
          <t>2018-01-04</t>
        </is>
      </c>
      <c r="C2315" t="inlineStr">
        <is>
          <t>2018-01</t>
        </is>
      </c>
      <c r="D2315" t="inlineStr">
        <is>
          <t>SP</t>
        </is>
      </c>
      <c r="E2315" t="inlineStr">
        <is>
          <t>bed_bath_table</t>
        </is>
      </c>
      <c r="F2315" t="n">
        <v>1</v>
      </c>
      <c r="G2315" t="n">
        <v>179.9</v>
      </c>
      <c r="H2315" t="n">
        <v>15.46</v>
      </c>
      <c r="I2315" t="inlineStr">
        <is>
          <t>boleto</t>
        </is>
      </c>
      <c r="J2315" t="n">
        <v>7</v>
      </c>
      <c r="K2315" t="inlineStr">
        <is>
          <t>On Time</t>
        </is>
      </c>
      <c r="L2315" t="n">
        <v>5</v>
      </c>
      <c r="M2315">
        <f>VLOOKUP(D2315,State_Lookup!$A$2:$B$28,2,FALSE)</f>
        <v/>
      </c>
    </row>
    <row r="2316">
      <c r="A2316" t="inlineStr">
        <is>
          <t>e809c167a9cfd31aee1293abe8995065</t>
        </is>
      </c>
      <c r="B2316" t="inlineStr">
        <is>
          <t>2018-01-04</t>
        </is>
      </c>
      <c r="C2316" t="inlineStr">
        <is>
          <t>2018-01</t>
        </is>
      </c>
      <c r="D2316" t="inlineStr">
        <is>
          <t>MG</t>
        </is>
      </c>
      <c r="E2316" t="inlineStr">
        <is>
          <t>watches_gifts</t>
        </is>
      </c>
      <c r="F2316" t="n">
        <v>1</v>
      </c>
      <c r="G2316" t="n">
        <v>129.9</v>
      </c>
      <c r="H2316" t="n">
        <v>15.66</v>
      </c>
      <c r="I2316" t="inlineStr">
        <is>
          <t>boleto</t>
        </is>
      </c>
      <c r="J2316" t="inlineStr"/>
      <c r="K2316" t="inlineStr">
        <is>
          <t>Not Delivered</t>
        </is>
      </c>
      <c r="L2316" t="n">
        <v>1</v>
      </c>
      <c r="M2316">
        <f>VLOOKUP(D2316,State_Lookup!$A$2:$B$28,2,FALSE)</f>
        <v/>
      </c>
    </row>
    <row r="2317">
      <c r="A2317" t="inlineStr">
        <is>
          <t>ff08fd76861967a9d7cf3b5443efb8d7</t>
        </is>
      </c>
      <c r="B2317" t="inlineStr">
        <is>
          <t>2018-01-04</t>
        </is>
      </c>
      <c r="C2317" t="inlineStr">
        <is>
          <t>2018-01</t>
        </is>
      </c>
      <c r="D2317" t="inlineStr">
        <is>
          <t>SP</t>
        </is>
      </c>
      <c r="E2317" t="inlineStr">
        <is>
          <t>bed_bath_table</t>
        </is>
      </c>
      <c r="F2317" t="n">
        <v>1</v>
      </c>
      <c r="G2317" t="n">
        <v>137.8</v>
      </c>
      <c r="H2317" t="n">
        <v>25.8</v>
      </c>
      <c r="I2317" t="inlineStr">
        <is>
          <t>credit_card</t>
        </is>
      </c>
      <c r="J2317" t="n">
        <v>18</v>
      </c>
      <c r="K2317" t="inlineStr">
        <is>
          <t>On Time</t>
        </is>
      </c>
      <c r="L2317" t="n">
        <v>4</v>
      </c>
      <c r="M2317">
        <f>VLOOKUP(D2317,State_Lookup!$A$2:$B$28,2,FALSE)</f>
        <v/>
      </c>
    </row>
    <row r="2318">
      <c r="A2318" t="inlineStr">
        <is>
          <t>e58ed0440e44bc5b5e5cba33106e3f66</t>
        </is>
      </c>
      <c r="B2318" t="inlineStr">
        <is>
          <t>2018-01-04</t>
        </is>
      </c>
      <c r="C2318" t="inlineStr">
        <is>
          <t>2018-01</t>
        </is>
      </c>
      <c r="D2318" t="inlineStr">
        <is>
          <t>SP</t>
        </is>
      </c>
      <c r="E2318" t="inlineStr">
        <is>
          <t>telephony</t>
        </is>
      </c>
      <c r="F2318" t="n">
        <v>1</v>
      </c>
      <c r="G2318" t="n">
        <v>49.99</v>
      </c>
      <c r="H2318" t="n">
        <v>7.78</v>
      </c>
      <c r="I2318" t="inlineStr">
        <is>
          <t>credit_card</t>
        </is>
      </c>
      <c r="J2318" t="n">
        <v>6</v>
      </c>
      <c r="K2318" t="inlineStr">
        <is>
          <t>On Time</t>
        </is>
      </c>
      <c r="L2318" t="n">
        <v>5</v>
      </c>
      <c r="M2318">
        <f>VLOOKUP(D2318,State_Lookup!$A$2:$B$28,2,FALSE)</f>
        <v/>
      </c>
    </row>
    <row r="2319">
      <c r="A2319" t="inlineStr">
        <is>
          <t>aec77276e0dacfea29f58e0908b46e21</t>
        </is>
      </c>
      <c r="B2319" t="inlineStr">
        <is>
          <t>2018-01-04</t>
        </is>
      </c>
      <c r="C2319" t="inlineStr">
        <is>
          <t>2018-01</t>
        </is>
      </c>
      <c r="D2319" t="inlineStr">
        <is>
          <t>SC</t>
        </is>
      </c>
      <c r="E2319" t="inlineStr">
        <is>
          <t>health_beauty</t>
        </is>
      </c>
      <c r="F2319" t="n">
        <v>1</v>
      </c>
      <c r="G2319" t="n">
        <v>16.04</v>
      </c>
      <c r="H2319" t="n">
        <v>15.1</v>
      </c>
      <c r="I2319" t="inlineStr">
        <is>
          <t>voucher</t>
        </is>
      </c>
      <c r="J2319" t="n">
        <v>29</v>
      </c>
      <c r="K2319" t="inlineStr">
        <is>
          <t>On Time</t>
        </is>
      </c>
      <c r="L2319" t="n">
        <v>4</v>
      </c>
      <c r="M2319">
        <f>VLOOKUP(D2319,State_Lookup!$A$2:$B$28,2,FALSE)</f>
        <v/>
      </c>
    </row>
    <row r="2320">
      <c r="A2320" t="inlineStr">
        <is>
          <t>b0ba58e96fcf1892b604e398e472af5e</t>
        </is>
      </c>
      <c r="B2320" t="inlineStr">
        <is>
          <t>2018-01-04</t>
        </is>
      </c>
      <c r="C2320" t="inlineStr">
        <is>
          <t>2018-01</t>
        </is>
      </c>
      <c r="D2320" t="inlineStr">
        <is>
          <t>PA</t>
        </is>
      </c>
      <c r="E2320" t="inlineStr">
        <is>
          <t>auto</t>
        </is>
      </c>
      <c r="F2320" t="n">
        <v>1</v>
      </c>
      <c r="G2320" t="n">
        <v>59.47</v>
      </c>
      <c r="H2320" t="n">
        <v>26.96</v>
      </c>
      <c r="I2320" t="inlineStr">
        <is>
          <t>boleto</t>
        </is>
      </c>
      <c r="J2320" t="n">
        <v>53</v>
      </c>
      <c r="K2320" t="inlineStr">
        <is>
          <t>Late</t>
        </is>
      </c>
      <c r="L2320" t="n">
        <v>1</v>
      </c>
      <c r="M2320">
        <f>VLOOKUP(D2320,State_Lookup!$A$2:$B$28,2,FALSE)</f>
        <v/>
      </c>
    </row>
    <row r="2321">
      <c r="A2321" t="inlineStr">
        <is>
          <t>55898410e4c5e6aff68607cf55c05847</t>
        </is>
      </c>
      <c r="B2321" t="inlineStr">
        <is>
          <t>2018-01-04</t>
        </is>
      </c>
      <c r="C2321" t="inlineStr">
        <is>
          <t>2018-01</t>
        </is>
      </c>
      <c r="D2321" t="inlineStr">
        <is>
          <t>SP</t>
        </is>
      </c>
      <c r="E2321" t="inlineStr">
        <is>
          <t>bed_bath_table</t>
        </is>
      </c>
      <c r="F2321" t="n">
        <v>1</v>
      </c>
      <c r="G2321" t="n">
        <v>99.90000000000001</v>
      </c>
      <c r="H2321" t="n">
        <v>12.4</v>
      </c>
      <c r="I2321" t="inlineStr">
        <is>
          <t>credit_card</t>
        </is>
      </c>
      <c r="J2321" t="n">
        <v>4</v>
      </c>
      <c r="K2321" t="inlineStr">
        <is>
          <t>On Time</t>
        </is>
      </c>
      <c r="L2321" t="n">
        <v>5</v>
      </c>
      <c r="M2321">
        <f>VLOOKUP(D2321,State_Lookup!$A$2:$B$28,2,FALSE)</f>
        <v/>
      </c>
    </row>
    <row r="2322">
      <c r="A2322" t="inlineStr">
        <is>
          <t>672bf50de46d0642f77ef0d01a96bf06</t>
        </is>
      </c>
      <c r="B2322" t="inlineStr">
        <is>
          <t>2018-01-04</t>
        </is>
      </c>
      <c r="C2322" t="inlineStr">
        <is>
          <t>2018-01</t>
        </is>
      </c>
      <c r="D2322" t="inlineStr">
        <is>
          <t>MA</t>
        </is>
      </c>
      <c r="E2322" t="inlineStr">
        <is>
          <t>watches_gifts</t>
        </is>
      </c>
      <c r="F2322" t="n">
        <v>1</v>
      </c>
      <c r="G2322" t="n">
        <v>56</v>
      </c>
      <c r="H2322" t="n">
        <v>34.19</v>
      </c>
      <c r="I2322" t="inlineStr">
        <is>
          <t>credit_card</t>
        </is>
      </c>
      <c r="J2322" t="n">
        <v>12</v>
      </c>
      <c r="K2322" t="inlineStr">
        <is>
          <t>On Time</t>
        </is>
      </c>
      <c r="L2322" t="n">
        <v>5</v>
      </c>
      <c r="M2322">
        <f>VLOOKUP(D2322,State_Lookup!$A$2:$B$28,2,FALSE)</f>
        <v/>
      </c>
    </row>
    <row r="2323">
      <c r="A2323" t="inlineStr">
        <is>
          <t>dbfa3d8c05cc5d84083fc259a9feb5bc</t>
        </is>
      </c>
      <c r="B2323" t="inlineStr">
        <is>
          <t>2018-01-04</t>
        </is>
      </c>
      <c r="C2323" t="inlineStr">
        <is>
          <t>2018-01</t>
        </is>
      </c>
      <c r="D2323" t="inlineStr">
        <is>
          <t>MS</t>
        </is>
      </c>
      <c r="E2323" t="inlineStr">
        <is>
          <t>electronics</t>
        </is>
      </c>
      <c r="F2323" t="n">
        <v>1</v>
      </c>
      <c r="G2323" t="n">
        <v>129.9</v>
      </c>
      <c r="H2323" t="n">
        <v>34.27</v>
      </c>
      <c r="I2323" t="inlineStr">
        <is>
          <t>boleto</t>
        </is>
      </c>
      <c r="J2323" t="n">
        <v>17</v>
      </c>
      <c r="K2323" t="inlineStr">
        <is>
          <t>On Time</t>
        </is>
      </c>
      <c r="L2323" t="n">
        <v>5</v>
      </c>
      <c r="M2323">
        <f>VLOOKUP(D2323,State_Lookup!$A$2:$B$28,2,FALSE)</f>
        <v/>
      </c>
    </row>
    <row r="2324">
      <c r="A2324" t="inlineStr">
        <is>
          <t>9abcbe39820292dab15332cef33e7a3c</t>
        </is>
      </c>
      <c r="B2324" t="inlineStr">
        <is>
          <t>2018-01-04</t>
        </is>
      </c>
      <c r="C2324" t="inlineStr">
        <is>
          <t>2018-01</t>
        </is>
      </c>
      <c r="D2324" t="inlineStr">
        <is>
          <t>RS</t>
        </is>
      </c>
      <c r="E2324" t="inlineStr">
        <is>
          <t>health_beauty</t>
        </is>
      </c>
      <c r="F2324" t="n">
        <v>1</v>
      </c>
      <c r="G2324" t="n">
        <v>81.90000000000001</v>
      </c>
      <c r="H2324" t="n">
        <v>16.82</v>
      </c>
      <c r="I2324" t="inlineStr">
        <is>
          <t>credit_card</t>
        </is>
      </c>
      <c r="J2324" t="n">
        <v>16</v>
      </c>
      <c r="K2324" t="inlineStr">
        <is>
          <t>On Time</t>
        </is>
      </c>
      <c r="L2324" t="n">
        <v>4</v>
      </c>
      <c r="M2324">
        <f>VLOOKUP(D2324,State_Lookup!$A$2:$B$28,2,FALSE)</f>
        <v/>
      </c>
    </row>
    <row r="2325">
      <c r="A2325" t="inlineStr">
        <is>
          <t>c9b8a39ed5297ea28a01944f413d6636</t>
        </is>
      </c>
      <c r="B2325" t="inlineStr">
        <is>
          <t>2018-01-05</t>
        </is>
      </c>
      <c r="C2325" t="inlineStr">
        <is>
          <t>2018-01</t>
        </is>
      </c>
      <c r="D2325" t="inlineStr">
        <is>
          <t>RJ</t>
        </is>
      </c>
      <c r="E2325" t="inlineStr">
        <is>
          <t>stationery</t>
        </is>
      </c>
      <c r="F2325" t="n">
        <v>1</v>
      </c>
      <c r="G2325" t="n">
        <v>79</v>
      </c>
      <c r="H2325" t="n">
        <v>17.8</v>
      </c>
      <c r="I2325" t="inlineStr">
        <is>
          <t>credit_card</t>
        </is>
      </c>
      <c r="J2325" t="n">
        <v>29</v>
      </c>
      <c r="K2325" t="inlineStr">
        <is>
          <t>On Time</t>
        </is>
      </c>
      <c r="L2325" t="n">
        <v>5</v>
      </c>
      <c r="M2325">
        <f>VLOOKUP(D2325,State_Lookup!$A$2:$B$28,2,FALSE)</f>
        <v/>
      </c>
    </row>
    <row r="2326">
      <c r="A2326" t="inlineStr">
        <is>
          <t>5eca24d683e367960eb71efa3fbad661</t>
        </is>
      </c>
      <c r="B2326" t="inlineStr">
        <is>
          <t>2018-01-05</t>
        </is>
      </c>
      <c r="C2326" t="inlineStr">
        <is>
          <t>2018-01</t>
        </is>
      </c>
      <c r="D2326" t="inlineStr">
        <is>
          <t>BA</t>
        </is>
      </c>
      <c r="E2326" t="inlineStr">
        <is>
          <t>bed_bath_table</t>
        </is>
      </c>
      <c r="F2326" t="n">
        <v>2</v>
      </c>
      <c r="G2326" t="n">
        <v>79.98</v>
      </c>
      <c r="H2326" t="n">
        <v>33.58</v>
      </c>
      <c r="I2326" t="inlineStr">
        <is>
          <t>credit_card</t>
        </is>
      </c>
      <c r="J2326" t="n">
        <v>15</v>
      </c>
      <c r="K2326" t="inlineStr">
        <is>
          <t>On Time</t>
        </is>
      </c>
      <c r="L2326" t="n">
        <v>3</v>
      </c>
      <c r="M2326">
        <f>VLOOKUP(D2326,State_Lookup!$A$2:$B$28,2,FALSE)</f>
        <v/>
      </c>
    </row>
    <row r="2327">
      <c r="A2327" t="inlineStr">
        <is>
          <t>6f0c925fc5d548afcddeea046d4e30d1</t>
        </is>
      </c>
      <c r="B2327" t="inlineStr">
        <is>
          <t>2018-01-05</t>
        </is>
      </c>
      <c r="C2327" t="inlineStr">
        <is>
          <t>2018-01</t>
        </is>
      </c>
      <c r="D2327" t="inlineStr">
        <is>
          <t>PR</t>
        </is>
      </c>
      <c r="E2327" t="inlineStr">
        <is>
          <t>cool_stuff</t>
        </is>
      </c>
      <c r="F2327" t="n">
        <v>1</v>
      </c>
      <c r="G2327" t="n">
        <v>238</v>
      </c>
      <c r="H2327" t="n">
        <v>17.92</v>
      </c>
      <c r="I2327" t="inlineStr">
        <is>
          <t>credit_card</t>
        </is>
      </c>
      <c r="J2327" t="n">
        <v>17</v>
      </c>
      <c r="K2327" t="inlineStr">
        <is>
          <t>On Time</t>
        </is>
      </c>
      <c r="L2327" t="n">
        <v>5</v>
      </c>
      <c r="M2327">
        <f>VLOOKUP(D2327,State_Lookup!$A$2:$B$28,2,FALSE)</f>
        <v/>
      </c>
    </row>
    <row r="2328">
      <c r="A2328" t="inlineStr">
        <is>
          <t>ad926ae0ce086bc0ae23f92128253ede</t>
        </is>
      </c>
      <c r="B2328" t="inlineStr">
        <is>
          <t>2018-01-05</t>
        </is>
      </c>
      <c r="C2328" t="inlineStr">
        <is>
          <t>2018-01</t>
        </is>
      </c>
      <c r="D2328" t="inlineStr">
        <is>
          <t>AP</t>
        </is>
      </c>
      <c r="E2328" t="inlineStr">
        <is>
          <t>watches_gifts</t>
        </is>
      </c>
      <c r="F2328" t="n">
        <v>1</v>
      </c>
      <c r="G2328" t="n">
        <v>219</v>
      </c>
      <c r="H2328" t="n">
        <v>35.33</v>
      </c>
      <c r="I2328" t="inlineStr">
        <is>
          <t>boleto</t>
        </is>
      </c>
      <c r="J2328" t="n">
        <v>31</v>
      </c>
      <c r="K2328" t="inlineStr">
        <is>
          <t>On Time</t>
        </is>
      </c>
      <c r="L2328" t="n">
        <v>4</v>
      </c>
      <c r="M2328">
        <f>VLOOKUP(D2328,State_Lookup!$A$2:$B$28,2,FALSE)</f>
        <v/>
      </c>
    </row>
    <row r="2329">
      <c r="A2329" t="inlineStr">
        <is>
          <t>6e6fe7a46410884d0ad0f30ac48f7c4b</t>
        </is>
      </c>
      <c r="B2329" t="inlineStr">
        <is>
          <t>2018-01-05</t>
        </is>
      </c>
      <c r="C2329" t="inlineStr">
        <is>
          <t>2018-01</t>
        </is>
      </c>
      <c r="D2329" t="inlineStr">
        <is>
          <t>SP</t>
        </is>
      </c>
      <c r="E2329" t="inlineStr">
        <is>
          <t>fashion_bags_accessories</t>
        </is>
      </c>
      <c r="F2329" t="n">
        <v>1</v>
      </c>
      <c r="G2329" t="n">
        <v>34.3</v>
      </c>
      <c r="H2329" t="n">
        <v>8.109999999999999</v>
      </c>
      <c r="I2329" t="inlineStr">
        <is>
          <t>debit_card</t>
        </is>
      </c>
      <c r="J2329" t="n">
        <v>4</v>
      </c>
      <c r="K2329" t="inlineStr">
        <is>
          <t>On Time</t>
        </is>
      </c>
      <c r="L2329" t="n">
        <v>5</v>
      </c>
      <c r="M2329">
        <f>VLOOKUP(D2329,State_Lookup!$A$2:$B$28,2,FALSE)</f>
        <v/>
      </c>
    </row>
    <row r="2330">
      <c r="A2330" t="inlineStr">
        <is>
          <t>e713fb4142ff3dd5799a73faf546c9cb</t>
        </is>
      </c>
      <c r="B2330" t="inlineStr">
        <is>
          <t>2018-01-05</t>
        </is>
      </c>
      <c r="C2330" t="inlineStr">
        <is>
          <t>2018-01</t>
        </is>
      </c>
      <c r="D2330" t="inlineStr">
        <is>
          <t>RS</t>
        </is>
      </c>
      <c r="E2330" t="inlineStr">
        <is>
          <t>telephony</t>
        </is>
      </c>
      <c r="F2330" t="n">
        <v>1</v>
      </c>
      <c r="G2330" t="n">
        <v>24.99</v>
      </c>
      <c r="H2330" t="n">
        <v>15.1</v>
      </c>
      <c r="I2330" t="inlineStr">
        <is>
          <t>credit_card</t>
        </is>
      </c>
      <c r="J2330" t="n">
        <v>14</v>
      </c>
      <c r="K2330" t="inlineStr">
        <is>
          <t>On Time</t>
        </is>
      </c>
      <c r="L2330" t="n">
        <v>4</v>
      </c>
      <c r="M2330">
        <f>VLOOKUP(D2330,State_Lookup!$A$2:$B$28,2,FALSE)</f>
        <v/>
      </c>
    </row>
    <row r="2331">
      <c r="A2331" t="inlineStr">
        <is>
          <t>43150008aa4569cfef4be756bd7dbdd3</t>
        </is>
      </c>
      <c r="B2331" t="inlineStr">
        <is>
          <t>2018-01-05</t>
        </is>
      </c>
      <c r="C2331" t="inlineStr">
        <is>
          <t>2018-01</t>
        </is>
      </c>
      <c r="D2331" t="inlineStr">
        <is>
          <t>PR</t>
        </is>
      </c>
      <c r="E2331" t="inlineStr">
        <is>
          <t>sports_leisure</t>
        </is>
      </c>
      <c r="F2331" t="n">
        <v>2</v>
      </c>
      <c r="G2331" t="n">
        <v>90</v>
      </c>
      <c r="H2331" t="n">
        <v>32.22</v>
      </c>
      <c r="I2331" t="inlineStr">
        <is>
          <t>credit_card</t>
        </is>
      </c>
      <c r="J2331" t="n">
        <v>12</v>
      </c>
      <c r="K2331" t="inlineStr">
        <is>
          <t>On Time</t>
        </is>
      </c>
      <c r="L2331" t="n">
        <v>2</v>
      </c>
      <c r="M2331">
        <f>VLOOKUP(D2331,State_Lookup!$A$2:$B$28,2,FALSE)</f>
        <v/>
      </c>
    </row>
    <row r="2332">
      <c r="A2332" t="inlineStr">
        <is>
          <t>47c93dc8a83b7fcf68ce05de387fa24a</t>
        </is>
      </c>
      <c r="B2332" t="inlineStr">
        <is>
          <t>2018-01-05</t>
        </is>
      </c>
      <c r="C2332" t="inlineStr">
        <is>
          <t>2018-01</t>
        </is>
      </c>
      <c r="D2332" t="inlineStr">
        <is>
          <t>SP</t>
        </is>
      </c>
      <c r="E2332" t="inlineStr">
        <is>
          <t>health_beauty</t>
        </is>
      </c>
      <c r="F2332" t="n">
        <v>1</v>
      </c>
      <c r="G2332" t="n">
        <v>39.9</v>
      </c>
      <c r="H2332" t="n">
        <v>7.78</v>
      </c>
      <c r="I2332" t="inlineStr">
        <is>
          <t>credit_card</t>
        </is>
      </c>
      <c r="J2332" t="n">
        <v>6</v>
      </c>
      <c r="K2332" t="inlineStr">
        <is>
          <t>On Time</t>
        </is>
      </c>
      <c r="L2332" t="n">
        <v>5</v>
      </c>
      <c r="M2332">
        <f>VLOOKUP(D2332,State_Lookup!$A$2:$B$28,2,FALSE)</f>
        <v/>
      </c>
    </row>
    <row r="2333">
      <c r="A2333" t="inlineStr">
        <is>
          <t>6c8fdc6f1b35e5126442a74c3bcc36d5</t>
        </is>
      </c>
      <c r="B2333" t="inlineStr">
        <is>
          <t>2018-01-05</t>
        </is>
      </c>
      <c r="C2333" t="inlineStr">
        <is>
          <t>2018-01</t>
        </is>
      </c>
      <c r="D2333" t="inlineStr">
        <is>
          <t>RJ</t>
        </is>
      </c>
      <c r="E2333" t="inlineStr">
        <is>
          <t>health_beauty</t>
        </is>
      </c>
      <c r="F2333" t="n">
        <v>1</v>
      </c>
      <c r="G2333" t="n">
        <v>259.9</v>
      </c>
      <c r="H2333" t="n">
        <v>17.26</v>
      </c>
      <c r="I2333" t="inlineStr">
        <is>
          <t>credit_card</t>
        </is>
      </c>
      <c r="J2333" t="n">
        <v>28</v>
      </c>
      <c r="K2333" t="inlineStr">
        <is>
          <t>On Time</t>
        </is>
      </c>
      <c r="L2333" t="n">
        <v>5</v>
      </c>
      <c r="M2333">
        <f>VLOOKUP(D2333,State_Lookup!$A$2:$B$28,2,FALSE)</f>
        <v/>
      </c>
    </row>
    <row r="2334">
      <c r="A2334" t="inlineStr">
        <is>
          <t>fed058642b519335c834d73b851e20d0</t>
        </is>
      </c>
      <c r="B2334" t="inlineStr">
        <is>
          <t>2018-01-05</t>
        </is>
      </c>
      <c r="C2334" t="inlineStr">
        <is>
          <t>2018-01</t>
        </is>
      </c>
      <c r="D2334" t="inlineStr">
        <is>
          <t>CE</t>
        </is>
      </c>
      <c r="E2334" t="inlineStr">
        <is>
          <t>cool_stuff</t>
        </is>
      </c>
      <c r="F2334" t="n">
        <v>1</v>
      </c>
      <c r="G2334" t="n">
        <v>129.99</v>
      </c>
      <c r="H2334" t="n">
        <v>29.31</v>
      </c>
      <c r="I2334" t="inlineStr">
        <is>
          <t>credit_card</t>
        </is>
      </c>
      <c r="J2334" t="n">
        <v>17</v>
      </c>
      <c r="K2334" t="inlineStr">
        <is>
          <t>On Time</t>
        </is>
      </c>
      <c r="L2334" t="n">
        <v>3</v>
      </c>
      <c r="M2334">
        <f>VLOOKUP(D2334,State_Lookup!$A$2:$B$28,2,FALSE)</f>
        <v/>
      </c>
    </row>
    <row r="2335">
      <c r="A2335" t="inlineStr">
        <is>
          <t>225d8e0b99ff5a086559a0ec1b21f7c5</t>
        </is>
      </c>
      <c r="B2335" t="inlineStr">
        <is>
          <t>2018-01-06</t>
        </is>
      </c>
      <c r="C2335" t="inlineStr">
        <is>
          <t>2018-01</t>
        </is>
      </c>
      <c r="D2335" t="inlineStr">
        <is>
          <t>SP</t>
        </is>
      </c>
      <c r="E2335" t="inlineStr">
        <is>
          <t>bed_bath_table</t>
        </is>
      </c>
      <c r="F2335" t="n">
        <v>1</v>
      </c>
      <c r="G2335" t="n">
        <v>78</v>
      </c>
      <c r="H2335" t="n">
        <v>9.359999999999999</v>
      </c>
      <c r="I2335" t="inlineStr">
        <is>
          <t>credit_card</t>
        </is>
      </c>
      <c r="J2335" t="n">
        <v>5</v>
      </c>
      <c r="K2335" t="inlineStr">
        <is>
          <t>On Time</t>
        </is>
      </c>
      <c r="L2335" t="n">
        <v>5</v>
      </c>
      <c r="M2335">
        <f>VLOOKUP(D2335,State_Lookup!$A$2:$B$28,2,FALSE)</f>
        <v/>
      </c>
    </row>
    <row r="2336">
      <c r="A2336" t="inlineStr">
        <is>
          <t>bbe32ce108f0fa16e209fbaee6005f2b</t>
        </is>
      </c>
      <c r="B2336" t="inlineStr">
        <is>
          <t>2018-01-06</t>
        </is>
      </c>
      <c r="C2336" t="inlineStr">
        <is>
          <t>2018-01</t>
        </is>
      </c>
      <c r="D2336" t="inlineStr">
        <is>
          <t>MG</t>
        </is>
      </c>
      <c r="E2336" t="inlineStr">
        <is>
          <t>office_furniture</t>
        </is>
      </c>
      <c r="F2336" t="n">
        <v>1</v>
      </c>
      <c r="G2336" t="n">
        <v>139.99</v>
      </c>
      <c r="H2336" t="n">
        <v>17</v>
      </c>
      <c r="I2336" t="inlineStr">
        <is>
          <t>credit_card</t>
        </is>
      </c>
      <c r="J2336" t="n">
        <v>42</v>
      </c>
      <c r="K2336" t="inlineStr">
        <is>
          <t>On Time</t>
        </is>
      </c>
      <c r="L2336" t="n">
        <v>1</v>
      </c>
      <c r="M2336">
        <f>VLOOKUP(D2336,State_Lookup!$A$2:$B$28,2,FALSE)</f>
        <v/>
      </c>
    </row>
    <row r="2337">
      <c r="A2337" t="inlineStr">
        <is>
          <t>47d5c4cb8aba6b76371169d9c9f8089b</t>
        </is>
      </c>
      <c r="B2337" t="inlineStr">
        <is>
          <t>2018-01-06</t>
        </is>
      </c>
      <c r="C2337" t="inlineStr">
        <is>
          <t>2018-01</t>
        </is>
      </c>
      <c r="D2337" t="inlineStr">
        <is>
          <t>SP</t>
        </is>
      </c>
      <c r="E2337" t="inlineStr">
        <is>
          <t>sports_leisure</t>
        </is>
      </c>
      <c r="F2337" t="n">
        <v>1</v>
      </c>
      <c r="G2337" t="n">
        <v>39.6</v>
      </c>
      <c r="H2337" t="n">
        <v>7.78</v>
      </c>
      <c r="I2337" t="inlineStr">
        <is>
          <t>credit_card</t>
        </is>
      </c>
      <c r="J2337" t="n">
        <v>3</v>
      </c>
      <c r="K2337" t="inlineStr">
        <is>
          <t>On Time</t>
        </is>
      </c>
      <c r="L2337" t="n">
        <v>3</v>
      </c>
      <c r="M2337">
        <f>VLOOKUP(D2337,State_Lookup!$A$2:$B$28,2,FALSE)</f>
        <v/>
      </c>
    </row>
    <row r="2338">
      <c r="A2338" t="inlineStr">
        <is>
          <t>37fc96845277017406e269d41347fb37</t>
        </is>
      </c>
      <c r="B2338" t="inlineStr">
        <is>
          <t>2018-01-06</t>
        </is>
      </c>
      <c r="C2338" t="inlineStr">
        <is>
          <t>2018-01</t>
        </is>
      </c>
      <c r="D2338" t="inlineStr">
        <is>
          <t>MG</t>
        </is>
      </c>
      <c r="E2338" t="inlineStr">
        <is>
          <t>furniture_decor</t>
        </is>
      </c>
      <c r="F2338" t="n">
        <v>1</v>
      </c>
      <c r="G2338" t="n">
        <v>69.90000000000001</v>
      </c>
      <c r="H2338" t="n">
        <v>26.11</v>
      </c>
      <c r="I2338" t="inlineStr">
        <is>
          <t>boleto</t>
        </is>
      </c>
      <c r="J2338" t="n">
        <v>9</v>
      </c>
      <c r="K2338" t="inlineStr">
        <is>
          <t>On Time</t>
        </is>
      </c>
      <c r="L2338" t="n">
        <v>5</v>
      </c>
      <c r="M2338">
        <f>VLOOKUP(D2338,State_Lookup!$A$2:$B$28,2,FALSE)</f>
        <v/>
      </c>
    </row>
    <row r="2339">
      <c r="A2339" t="inlineStr">
        <is>
          <t>7538c7b3219a1c960b4a0561e2099cae</t>
        </is>
      </c>
      <c r="B2339" t="inlineStr">
        <is>
          <t>2018-01-06</t>
        </is>
      </c>
      <c r="C2339" t="inlineStr">
        <is>
          <t>2018-01</t>
        </is>
      </c>
      <c r="D2339" t="inlineStr">
        <is>
          <t>PR</t>
        </is>
      </c>
      <c r="E2339" t="inlineStr">
        <is>
          <t>books_general_interest</t>
        </is>
      </c>
      <c r="F2339" t="n">
        <v>1</v>
      </c>
      <c r="G2339" t="n">
        <v>19.95</v>
      </c>
      <c r="H2339" t="n">
        <v>15.1</v>
      </c>
      <c r="I2339" t="inlineStr">
        <is>
          <t>credit_card</t>
        </is>
      </c>
      <c r="J2339" t="n">
        <v>17</v>
      </c>
      <c r="K2339" t="inlineStr">
        <is>
          <t>On Time</t>
        </is>
      </c>
      <c r="L2339" t="n">
        <v>5</v>
      </c>
      <c r="M2339">
        <f>VLOOKUP(D2339,State_Lookup!$A$2:$B$28,2,FALSE)</f>
        <v/>
      </c>
    </row>
    <row r="2340">
      <c r="A2340" t="inlineStr">
        <is>
          <t>f7bb1808de8fcbb7b751fd8f7687f14d</t>
        </is>
      </c>
      <c r="B2340" t="inlineStr">
        <is>
          <t>2018-01-06</t>
        </is>
      </c>
      <c r="C2340" t="inlineStr">
        <is>
          <t>2018-01</t>
        </is>
      </c>
      <c r="D2340" t="inlineStr">
        <is>
          <t>BA</t>
        </is>
      </c>
      <c r="E2340" t="inlineStr">
        <is>
          <t>sports_leisure</t>
        </is>
      </c>
      <c r="F2340" t="n">
        <v>1</v>
      </c>
      <c r="G2340" t="n">
        <v>17.9</v>
      </c>
      <c r="H2340" t="n">
        <v>16.79</v>
      </c>
      <c r="I2340" t="inlineStr">
        <is>
          <t>boleto</t>
        </is>
      </c>
      <c r="J2340" t="n">
        <v>12</v>
      </c>
      <c r="K2340" t="inlineStr">
        <is>
          <t>On Time</t>
        </is>
      </c>
      <c r="L2340" t="n">
        <v>5</v>
      </c>
      <c r="M2340">
        <f>VLOOKUP(D2340,State_Lookup!$A$2:$B$28,2,FALSE)</f>
        <v/>
      </c>
    </row>
    <row r="2341">
      <c r="A2341" t="inlineStr">
        <is>
          <t>1b0b1c71db83d610e4cb483d0481a6eb</t>
        </is>
      </c>
      <c r="B2341" t="inlineStr">
        <is>
          <t>2018-01-06</t>
        </is>
      </c>
      <c r="C2341" t="inlineStr">
        <is>
          <t>2018-01</t>
        </is>
      </c>
      <c r="D2341" t="inlineStr">
        <is>
          <t>SC</t>
        </is>
      </c>
      <c r="E2341" t="inlineStr">
        <is>
          <t>toys</t>
        </is>
      </c>
      <c r="F2341" t="n">
        <v>1</v>
      </c>
      <c r="G2341" t="n">
        <v>149.9</v>
      </c>
      <c r="H2341" t="n">
        <v>18.35</v>
      </c>
      <c r="I2341" t="inlineStr">
        <is>
          <t>credit_card</t>
        </is>
      </c>
      <c r="J2341" t="n">
        <v>27</v>
      </c>
      <c r="K2341" t="inlineStr">
        <is>
          <t>On Time</t>
        </is>
      </c>
      <c r="L2341" t="n">
        <v>1</v>
      </c>
      <c r="M2341">
        <f>VLOOKUP(D2341,State_Lookup!$A$2:$B$28,2,FALSE)</f>
        <v/>
      </c>
    </row>
    <row r="2342">
      <c r="A2342" t="inlineStr">
        <is>
          <t>6df2cfb6624c3e0b13775087f1cda182</t>
        </is>
      </c>
      <c r="B2342" t="inlineStr">
        <is>
          <t>2018-01-06</t>
        </is>
      </c>
      <c r="C2342" t="inlineStr">
        <is>
          <t>2018-01</t>
        </is>
      </c>
      <c r="D2342" t="inlineStr">
        <is>
          <t>SP</t>
        </is>
      </c>
      <c r="E2342" t="inlineStr">
        <is>
          <t>bed_bath_table</t>
        </is>
      </c>
      <c r="F2342" t="n">
        <v>1</v>
      </c>
      <c r="G2342" t="n">
        <v>69.2</v>
      </c>
      <c r="H2342" t="n">
        <v>20.97</v>
      </c>
      <c r="I2342" t="inlineStr">
        <is>
          <t>credit_card</t>
        </is>
      </c>
      <c r="J2342" t="n">
        <v>23</v>
      </c>
      <c r="K2342" t="inlineStr">
        <is>
          <t>On Time</t>
        </is>
      </c>
      <c r="L2342" t="n">
        <v>4</v>
      </c>
      <c r="M2342">
        <f>VLOOKUP(D2342,State_Lookup!$A$2:$B$28,2,FALSE)</f>
        <v/>
      </c>
    </row>
    <row r="2343">
      <c r="A2343" t="inlineStr">
        <is>
          <t>43439c4b45b39d5a7d27a31d6cebe43c</t>
        </is>
      </c>
      <c r="B2343" t="inlineStr">
        <is>
          <t>2018-01-06</t>
        </is>
      </c>
      <c r="C2343" t="inlineStr">
        <is>
          <t>2018-01</t>
        </is>
      </c>
      <c r="D2343" t="inlineStr">
        <is>
          <t>MG</t>
        </is>
      </c>
      <c r="E2343" t="inlineStr">
        <is>
          <t>toys</t>
        </is>
      </c>
      <c r="F2343" t="n">
        <v>1</v>
      </c>
      <c r="G2343" t="n">
        <v>64.90000000000001</v>
      </c>
      <c r="H2343" t="n">
        <v>16.89</v>
      </c>
      <c r="I2343" t="inlineStr">
        <is>
          <t>boleto</t>
        </is>
      </c>
      <c r="J2343" t="n">
        <v>20</v>
      </c>
      <c r="K2343" t="inlineStr">
        <is>
          <t>On Time</t>
        </is>
      </c>
      <c r="L2343" t="n">
        <v>3</v>
      </c>
      <c r="M2343">
        <f>VLOOKUP(D2343,State_Lookup!$A$2:$B$28,2,FALSE)</f>
        <v/>
      </c>
    </row>
    <row r="2344">
      <c r="A2344" t="inlineStr">
        <is>
          <t>19f60164db6130153f77c00960387648</t>
        </is>
      </c>
      <c r="B2344" t="inlineStr">
        <is>
          <t>2018-01-06</t>
        </is>
      </c>
      <c r="C2344" t="inlineStr">
        <is>
          <t>2018-01</t>
        </is>
      </c>
      <c r="D2344" t="inlineStr">
        <is>
          <t>SP</t>
        </is>
      </c>
      <c r="E2344" t="inlineStr">
        <is>
          <t>housewares</t>
        </is>
      </c>
      <c r="F2344" t="n">
        <v>1</v>
      </c>
      <c r="G2344" t="n">
        <v>89.18000000000001</v>
      </c>
      <c r="H2344" t="n">
        <v>12.96</v>
      </c>
      <c r="I2344" t="inlineStr">
        <is>
          <t>boleto</t>
        </is>
      </c>
      <c r="J2344" t="n">
        <v>10</v>
      </c>
      <c r="K2344" t="inlineStr">
        <is>
          <t>On Time</t>
        </is>
      </c>
      <c r="L2344" t="n">
        <v>1</v>
      </c>
      <c r="M2344">
        <f>VLOOKUP(D2344,State_Lookup!$A$2:$B$28,2,FALSE)</f>
        <v/>
      </c>
    </row>
    <row r="2345">
      <c r="A2345" t="inlineStr">
        <is>
          <t>af18dcad5c76de4eec9a63dfc1672296</t>
        </is>
      </c>
      <c r="B2345" t="inlineStr">
        <is>
          <t>2018-01-07</t>
        </is>
      </c>
      <c r="C2345" t="inlineStr">
        <is>
          <t>2018-01</t>
        </is>
      </c>
      <c r="D2345" t="inlineStr">
        <is>
          <t>RJ</t>
        </is>
      </c>
      <c r="E2345" t="inlineStr">
        <is>
          <t>electronics</t>
        </is>
      </c>
      <c r="F2345" t="n">
        <v>1</v>
      </c>
      <c r="G2345" t="n">
        <v>18.9</v>
      </c>
      <c r="H2345" t="n">
        <v>16.79</v>
      </c>
      <c r="I2345" t="inlineStr">
        <is>
          <t>credit_card</t>
        </is>
      </c>
      <c r="J2345" t="n">
        <v>15</v>
      </c>
      <c r="K2345" t="inlineStr">
        <is>
          <t>On Time</t>
        </is>
      </c>
      <c r="L2345" t="n">
        <v>5</v>
      </c>
      <c r="M2345">
        <f>VLOOKUP(D2345,State_Lookup!$A$2:$B$28,2,FALSE)</f>
        <v/>
      </c>
    </row>
    <row r="2346">
      <c r="A2346" t="inlineStr">
        <is>
          <t>41ed8506413669db4dc723ccad490421</t>
        </is>
      </c>
      <c r="B2346" t="inlineStr">
        <is>
          <t>2018-01-07</t>
        </is>
      </c>
      <c r="C2346" t="inlineStr">
        <is>
          <t>2018-01</t>
        </is>
      </c>
      <c r="D2346" t="inlineStr">
        <is>
          <t>SP</t>
        </is>
      </c>
      <c r="E2346" t="inlineStr">
        <is>
          <t>health_beauty</t>
        </is>
      </c>
      <c r="F2346" t="n">
        <v>1</v>
      </c>
      <c r="G2346" t="n">
        <v>349.9</v>
      </c>
      <c r="H2346" t="n">
        <v>18.7</v>
      </c>
      <c r="I2346" t="inlineStr">
        <is>
          <t>credit_card</t>
        </is>
      </c>
      <c r="J2346" t="n">
        <v>15</v>
      </c>
      <c r="K2346" t="inlineStr">
        <is>
          <t>On Time</t>
        </is>
      </c>
      <c r="L2346" t="n">
        <v>4</v>
      </c>
      <c r="M2346">
        <f>VLOOKUP(D2346,State_Lookup!$A$2:$B$28,2,FALSE)</f>
        <v/>
      </c>
    </row>
    <row r="2347">
      <c r="A2347" t="inlineStr">
        <is>
          <t>f1f595bed1ee64a492e47dfdd7306983</t>
        </is>
      </c>
      <c r="B2347" t="inlineStr">
        <is>
          <t>2018-01-07</t>
        </is>
      </c>
      <c r="C2347" t="inlineStr">
        <is>
          <t>2018-01</t>
        </is>
      </c>
      <c r="D2347" t="inlineStr">
        <is>
          <t>RJ</t>
        </is>
      </c>
      <c r="E2347" t="inlineStr">
        <is>
          <t>perfumery</t>
        </is>
      </c>
      <c r="F2347" t="n">
        <v>1</v>
      </c>
      <c r="G2347" t="n">
        <v>98</v>
      </c>
      <c r="H2347" t="n">
        <v>36.01</v>
      </c>
      <c r="I2347" t="inlineStr">
        <is>
          <t>credit_card</t>
        </is>
      </c>
      <c r="J2347" t="n">
        <v>16</v>
      </c>
      <c r="K2347" t="inlineStr">
        <is>
          <t>On Time</t>
        </is>
      </c>
      <c r="L2347" t="n">
        <v>5</v>
      </c>
      <c r="M2347">
        <f>VLOOKUP(D2347,State_Lookup!$A$2:$B$28,2,FALSE)</f>
        <v/>
      </c>
    </row>
    <row r="2348">
      <c r="A2348" t="inlineStr">
        <is>
          <t>110002a2f7cc77699dcd81a24423cfc1</t>
        </is>
      </c>
      <c r="B2348" t="inlineStr">
        <is>
          <t>2018-01-07</t>
        </is>
      </c>
      <c r="C2348" t="inlineStr">
        <is>
          <t>2018-01</t>
        </is>
      </c>
      <c r="D2348" t="inlineStr">
        <is>
          <t>SP</t>
        </is>
      </c>
      <c r="E2348" t="inlineStr">
        <is>
          <t>toys</t>
        </is>
      </c>
      <c r="F2348" t="n">
        <v>1</v>
      </c>
      <c r="G2348" t="n">
        <v>45</v>
      </c>
      <c r="H2348" t="n">
        <v>12.69</v>
      </c>
      <c r="I2348" t="inlineStr">
        <is>
          <t>credit_card</t>
        </is>
      </c>
      <c r="J2348" t="n">
        <v>3</v>
      </c>
      <c r="K2348" t="inlineStr">
        <is>
          <t>On Time</t>
        </is>
      </c>
      <c r="L2348" t="n">
        <v>3</v>
      </c>
      <c r="M2348">
        <f>VLOOKUP(D2348,State_Lookup!$A$2:$B$28,2,FALSE)</f>
        <v/>
      </c>
    </row>
    <row r="2349">
      <c r="A2349" t="inlineStr">
        <is>
          <t>ef690426d84aff4f5560cb63d1092557</t>
        </is>
      </c>
      <c r="B2349" t="inlineStr">
        <is>
          <t>2018-01-07</t>
        </is>
      </c>
      <c r="C2349" t="inlineStr">
        <is>
          <t>2018-01</t>
        </is>
      </c>
      <c r="D2349" t="inlineStr">
        <is>
          <t>DF</t>
        </is>
      </c>
      <c r="E2349" t="inlineStr">
        <is>
          <t>auto</t>
        </is>
      </c>
      <c r="F2349" t="n">
        <v>1</v>
      </c>
      <c r="G2349" t="n">
        <v>110</v>
      </c>
      <c r="H2349" t="n">
        <v>20.26</v>
      </c>
      <c r="I2349" t="inlineStr">
        <is>
          <t>credit_card</t>
        </is>
      </c>
      <c r="J2349" t="n">
        <v>6</v>
      </c>
      <c r="K2349" t="inlineStr">
        <is>
          <t>On Time</t>
        </is>
      </c>
      <c r="L2349" t="n">
        <v>5</v>
      </c>
      <c r="M2349">
        <f>VLOOKUP(D2349,State_Lookup!$A$2:$B$28,2,FALSE)</f>
        <v/>
      </c>
    </row>
    <row r="2350">
      <c r="A2350" t="inlineStr">
        <is>
          <t>785c89d4e249aa8f0ec838dded807fd1</t>
        </is>
      </c>
      <c r="B2350" t="inlineStr">
        <is>
          <t>2018-01-07</t>
        </is>
      </c>
      <c r="C2350" t="inlineStr">
        <is>
          <t>2018-01</t>
        </is>
      </c>
      <c r="D2350" t="inlineStr">
        <is>
          <t>SP</t>
        </is>
      </c>
      <c r="E2350" t="inlineStr">
        <is>
          <t>drinks</t>
        </is>
      </c>
      <c r="F2350" t="n">
        <v>1</v>
      </c>
      <c r="G2350" t="n">
        <v>55.49</v>
      </c>
      <c r="H2350" t="n">
        <v>9.94</v>
      </c>
      <c r="I2350" t="inlineStr">
        <is>
          <t>credit_card</t>
        </is>
      </c>
      <c r="J2350" t="n">
        <v>5</v>
      </c>
      <c r="K2350" t="inlineStr">
        <is>
          <t>On Time</t>
        </is>
      </c>
      <c r="L2350" t="n">
        <v>5</v>
      </c>
      <c r="M2350">
        <f>VLOOKUP(D2350,State_Lookup!$A$2:$B$28,2,FALSE)</f>
        <v/>
      </c>
    </row>
    <row r="2351">
      <c r="A2351" t="inlineStr">
        <is>
          <t>e94db86cfc0247d6bb6ae5f1307b4805</t>
        </is>
      </c>
      <c r="B2351" t="inlineStr">
        <is>
          <t>2018-01-07</t>
        </is>
      </c>
      <c r="C2351" t="inlineStr">
        <is>
          <t>2018-01</t>
        </is>
      </c>
      <c r="D2351" t="inlineStr">
        <is>
          <t>RS</t>
        </is>
      </c>
      <c r="E2351" t="inlineStr">
        <is>
          <t>telephony</t>
        </is>
      </c>
      <c r="F2351" t="n">
        <v>1</v>
      </c>
      <c r="G2351" t="n">
        <v>19.9</v>
      </c>
      <c r="H2351" t="n">
        <v>15.1</v>
      </c>
      <c r="I2351" t="inlineStr">
        <is>
          <t>debit_card</t>
        </is>
      </c>
      <c r="J2351" t="n">
        <v>9</v>
      </c>
      <c r="K2351" t="inlineStr">
        <is>
          <t>On Time</t>
        </is>
      </c>
      <c r="L2351" t="n">
        <v>3</v>
      </c>
      <c r="M2351">
        <f>VLOOKUP(D2351,State_Lookup!$A$2:$B$28,2,FALSE)</f>
        <v/>
      </c>
    </row>
    <row r="2352">
      <c r="A2352" t="inlineStr">
        <is>
          <t>1c0eb7262ceb60db69b3825f1fb1deb8</t>
        </is>
      </c>
      <c r="B2352" t="inlineStr">
        <is>
          <t>2018-01-07</t>
        </is>
      </c>
      <c r="C2352" t="inlineStr">
        <is>
          <t>2018-01</t>
        </is>
      </c>
      <c r="D2352" t="inlineStr">
        <is>
          <t>SP</t>
        </is>
      </c>
      <c r="E2352" t="inlineStr">
        <is>
          <t>health_beauty</t>
        </is>
      </c>
      <c r="F2352" t="n">
        <v>1</v>
      </c>
      <c r="G2352" t="n">
        <v>54.39</v>
      </c>
      <c r="H2352" t="n">
        <v>12.72</v>
      </c>
      <c r="I2352" t="inlineStr">
        <is>
          <t>credit_card</t>
        </is>
      </c>
      <c r="J2352" t="n">
        <v>5</v>
      </c>
      <c r="K2352" t="inlineStr">
        <is>
          <t>On Time</t>
        </is>
      </c>
      <c r="L2352" t="n">
        <v>5</v>
      </c>
      <c r="M2352">
        <f>VLOOKUP(D2352,State_Lookup!$A$2:$B$28,2,FALSE)</f>
        <v/>
      </c>
    </row>
    <row r="2353">
      <c r="A2353" t="inlineStr">
        <is>
          <t>35a6518f311840d6bbc5998c7201db80</t>
        </is>
      </c>
      <c r="B2353" t="inlineStr">
        <is>
          <t>2018-01-08</t>
        </is>
      </c>
      <c r="C2353" t="inlineStr">
        <is>
          <t>2018-01</t>
        </is>
      </c>
      <c r="D2353" t="inlineStr">
        <is>
          <t>RS</t>
        </is>
      </c>
      <c r="E2353" t="inlineStr">
        <is>
          <t>bed_bath_table</t>
        </is>
      </c>
      <c r="F2353" t="n">
        <v>1</v>
      </c>
      <c r="G2353" t="n">
        <v>86.90000000000001</v>
      </c>
      <c r="H2353" t="n">
        <v>21.1</v>
      </c>
      <c r="I2353" t="inlineStr">
        <is>
          <t>credit_card</t>
        </is>
      </c>
      <c r="J2353" t="n">
        <v>23</v>
      </c>
      <c r="K2353" t="inlineStr">
        <is>
          <t>On Time</t>
        </is>
      </c>
      <c r="L2353" t="n">
        <v>5</v>
      </c>
      <c r="M2353">
        <f>VLOOKUP(D2353,State_Lookup!$A$2:$B$28,2,FALSE)</f>
        <v/>
      </c>
    </row>
    <row r="2354">
      <c r="A2354" t="inlineStr">
        <is>
          <t>d28b75209a5e2bb2ef86b7eb3b81dd55</t>
        </is>
      </c>
      <c r="B2354" t="inlineStr">
        <is>
          <t>2018-01-08</t>
        </is>
      </c>
      <c r="C2354" t="inlineStr">
        <is>
          <t>2018-01</t>
        </is>
      </c>
      <c r="D2354" t="inlineStr">
        <is>
          <t>GO</t>
        </is>
      </c>
      <c r="E2354" t="inlineStr">
        <is>
          <t>office_furniture</t>
        </is>
      </c>
      <c r="F2354" t="n">
        <v>1</v>
      </c>
      <c r="G2354" t="n">
        <v>114.6</v>
      </c>
      <c r="H2354" t="n">
        <v>30.64</v>
      </c>
      <c r="I2354" t="inlineStr">
        <is>
          <t>boleto</t>
        </is>
      </c>
      <c r="J2354" t="n">
        <v>23</v>
      </c>
      <c r="K2354" t="inlineStr">
        <is>
          <t>On Time</t>
        </is>
      </c>
      <c r="L2354" t="n">
        <v>4</v>
      </c>
      <c r="M2354">
        <f>VLOOKUP(D2354,State_Lookup!$A$2:$B$28,2,FALSE)</f>
        <v/>
      </c>
    </row>
    <row r="2355">
      <c r="A2355" t="inlineStr">
        <is>
          <t>d7ac124b50e54544b4cb85315b5f2793</t>
        </is>
      </c>
      <c r="B2355" t="inlineStr">
        <is>
          <t>2018-01-08</t>
        </is>
      </c>
      <c r="C2355" t="inlineStr">
        <is>
          <t>2018-01</t>
        </is>
      </c>
      <c r="D2355" t="inlineStr">
        <is>
          <t>SP</t>
        </is>
      </c>
      <c r="E2355" t="inlineStr">
        <is>
          <t>sports_leisure</t>
        </is>
      </c>
      <c r="F2355" t="n">
        <v>1</v>
      </c>
      <c r="G2355" t="n">
        <v>169.9</v>
      </c>
      <c r="H2355" t="n">
        <v>12.69</v>
      </c>
      <c r="I2355" t="inlineStr">
        <is>
          <t>credit_card</t>
        </is>
      </c>
      <c r="J2355" t="n">
        <v>10</v>
      </c>
      <c r="K2355" t="inlineStr">
        <is>
          <t>On Time</t>
        </is>
      </c>
      <c r="L2355" t="n">
        <v>5</v>
      </c>
      <c r="M2355">
        <f>VLOOKUP(D2355,State_Lookup!$A$2:$B$28,2,FALSE)</f>
        <v/>
      </c>
    </row>
    <row r="2356">
      <c r="A2356" t="inlineStr">
        <is>
          <t>4cbc42107122bbbbd5abe620ff9b9115</t>
        </is>
      </c>
      <c r="B2356" t="inlineStr">
        <is>
          <t>2018-01-08</t>
        </is>
      </c>
      <c r="C2356" t="inlineStr">
        <is>
          <t>2018-01</t>
        </is>
      </c>
      <c r="D2356" t="inlineStr">
        <is>
          <t>RJ</t>
        </is>
      </c>
      <c r="E2356" t="inlineStr">
        <is>
          <t>music</t>
        </is>
      </c>
      <c r="F2356" t="n">
        <v>1</v>
      </c>
      <c r="G2356" t="n">
        <v>24.97</v>
      </c>
      <c r="H2356" t="n">
        <v>15.1</v>
      </c>
      <c r="I2356" t="inlineStr">
        <is>
          <t>boleto</t>
        </is>
      </c>
      <c r="J2356" t="n">
        <v>8</v>
      </c>
      <c r="K2356" t="inlineStr">
        <is>
          <t>On Time</t>
        </is>
      </c>
      <c r="L2356" t="n">
        <v>5</v>
      </c>
      <c r="M2356">
        <f>VLOOKUP(D2356,State_Lookup!$A$2:$B$28,2,FALSE)</f>
        <v/>
      </c>
    </row>
    <row r="2357">
      <c r="A2357" t="inlineStr">
        <is>
          <t>0e62b7f0d74e42edd997cf3dfaac54c2</t>
        </is>
      </c>
      <c r="B2357" t="inlineStr">
        <is>
          <t>2018-01-08</t>
        </is>
      </c>
      <c r="C2357" t="inlineStr">
        <is>
          <t>2018-01</t>
        </is>
      </c>
      <c r="D2357" t="inlineStr">
        <is>
          <t>PE</t>
        </is>
      </c>
      <c r="E2357" t="inlineStr">
        <is>
          <t>computers_accessories</t>
        </is>
      </c>
      <c r="F2357" t="n">
        <v>1</v>
      </c>
      <c r="G2357" t="n">
        <v>949.9</v>
      </c>
      <c r="H2357" t="n">
        <v>104.73</v>
      </c>
      <c r="I2357" t="inlineStr">
        <is>
          <t>boleto</t>
        </is>
      </c>
      <c r="J2357" t="n">
        <v>14</v>
      </c>
      <c r="K2357" t="inlineStr">
        <is>
          <t>On Time</t>
        </is>
      </c>
      <c r="L2357" t="n">
        <v>4</v>
      </c>
      <c r="M2357">
        <f>VLOOKUP(D2357,State_Lookup!$A$2:$B$28,2,FALSE)</f>
        <v/>
      </c>
    </row>
    <row r="2358">
      <c r="A2358" t="inlineStr">
        <is>
          <t>682a34b810b30b9d81683fa8ad2113d5</t>
        </is>
      </c>
      <c r="B2358" t="inlineStr">
        <is>
          <t>2018-01-08</t>
        </is>
      </c>
      <c r="C2358" t="inlineStr">
        <is>
          <t>2018-01</t>
        </is>
      </c>
      <c r="D2358" t="inlineStr">
        <is>
          <t>MS</t>
        </is>
      </c>
      <c r="E2358" t="inlineStr">
        <is>
          <t>pet_shop</t>
        </is>
      </c>
      <c r="F2358" t="n">
        <v>1</v>
      </c>
      <c r="G2358" t="n">
        <v>75.98999999999999</v>
      </c>
      <c r="H2358" t="n">
        <v>23</v>
      </c>
      <c r="I2358" t="inlineStr">
        <is>
          <t>boleto</t>
        </is>
      </c>
      <c r="J2358" t="n">
        <v>9</v>
      </c>
      <c r="K2358" t="inlineStr">
        <is>
          <t>On Time</t>
        </is>
      </c>
      <c r="L2358" t="n">
        <v>5</v>
      </c>
      <c r="M2358">
        <f>VLOOKUP(D2358,State_Lookup!$A$2:$B$28,2,FALSE)</f>
        <v/>
      </c>
    </row>
    <row r="2359">
      <c r="A2359" t="inlineStr">
        <is>
          <t>ed09706e867828c762e46ad418d064d7</t>
        </is>
      </c>
      <c r="B2359" t="inlineStr">
        <is>
          <t>2018-01-08</t>
        </is>
      </c>
      <c r="C2359" t="inlineStr">
        <is>
          <t>2018-01</t>
        </is>
      </c>
      <c r="D2359" t="inlineStr">
        <is>
          <t>SP</t>
        </is>
      </c>
      <c r="E2359" t="inlineStr">
        <is>
          <t>office_furniture</t>
        </is>
      </c>
      <c r="F2359" t="n">
        <v>1</v>
      </c>
      <c r="G2359" t="n">
        <v>289.9</v>
      </c>
      <c r="H2359" t="n">
        <v>33.63</v>
      </c>
      <c r="I2359" t="inlineStr">
        <is>
          <t>boleto</t>
        </is>
      </c>
      <c r="J2359" t="n">
        <v>3</v>
      </c>
      <c r="K2359" t="inlineStr">
        <is>
          <t>On Time</t>
        </is>
      </c>
      <c r="L2359" t="n">
        <v>5</v>
      </c>
      <c r="M2359">
        <f>VLOOKUP(D2359,State_Lookup!$A$2:$B$28,2,FALSE)</f>
        <v/>
      </c>
    </row>
    <row r="2360">
      <c r="A2360" t="inlineStr">
        <is>
          <t>79736d8897b41dc2f3b2096def7a5f7e</t>
        </is>
      </c>
      <c r="B2360" t="inlineStr">
        <is>
          <t>2018-01-08</t>
        </is>
      </c>
      <c r="C2360" t="inlineStr">
        <is>
          <t>2018-01</t>
        </is>
      </c>
      <c r="D2360" t="inlineStr">
        <is>
          <t>CE</t>
        </is>
      </c>
      <c r="E2360" t="inlineStr">
        <is>
          <t>electronics</t>
        </is>
      </c>
      <c r="F2360" t="n">
        <v>1</v>
      </c>
      <c r="G2360" t="n">
        <v>13.65</v>
      </c>
      <c r="H2360" t="n">
        <v>17.63</v>
      </c>
      <c r="I2360" t="inlineStr">
        <is>
          <t>credit_card</t>
        </is>
      </c>
      <c r="J2360" t="n">
        <v>15</v>
      </c>
      <c r="K2360" t="inlineStr">
        <is>
          <t>On Time</t>
        </is>
      </c>
      <c r="L2360" t="n">
        <v>4</v>
      </c>
      <c r="M2360">
        <f>VLOOKUP(D2360,State_Lookup!$A$2:$B$28,2,FALSE)</f>
        <v/>
      </c>
    </row>
    <row r="2361">
      <c r="A2361" t="inlineStr">
        <is>
          <t>840d0fe65e307594f2f5fcd49d6898d7</t>
        </is>
      </c>
      <c r="B2361" t="inlineStr">
        <is>
          <t>2018-01-08</t>
        </is>
      </c>
      <c r="C2361" t="inlineStr">
        <is>
          <t>2018-01</t>
        </is>
      </c>
      <c r="D2361" t="inlineStr">
        <is>
          <t>SP</t>
        </is>
      </c>
      <c r="E2361" t="inlineStr">
        <is>
          <t>housewares</t>
        </is>
      </c>
      <c r="F2361" t="n">
        <v>1</v>
      </c>
      <c r="G2361" t="n">
        <v>5.31</v>
      </c>
      <c r="H2361" t="n">
        <v>9.34</v>
      </c>
      <c r="I2361" t="inlineStr">
        <is>
          <t>credit_card</t>
        </is>
      </c>
      <c r="J2361" t="n">
        <v>5</v>
      </c>
      <c r="K2361" t="inlineStr">
        <is>
          <t>On Time</t>
        </is>
      </c>
      <c r="L2361" t="n">
        <v>2</v>
      </c>
      <c r="M2361">
        <f>VLOOKUP(D2361,State_Lookup!$A$2:$B$28,2,FALSE)</f>
        <v/>
      </c>
    </row>
    <row r="2362">
      <c r="A2362" t="inlineStr">
        <is>
          <t>193dce17420e5a1662145bdba0605cd6</t>
        </is>
      </c>
      <c r="B2362" t="inlineStr">
        <is>
          <t>2018-01-08</t>
        </is>
      </c>
      <c r="C2362" t="inlineStr">
        <is>
          <t>2018-01</t>
        </is>
      </c>
      <c r="D2362" t="inlineStr">
        <is>
          <t>DF</t>
        </is>
      </c>
      <c r="E2362" t="inlineStr">
        <is>
          <t>bed_bath_table</t>
        </is>
      </c>
      <c r="F2362" t="n">
        <v>1</v>
      </c>
      <c r="G2362" t="n">
        <v>25</v>
      </c>
      <c r="H2362" t="n">
        <v>14.1</v>
      </c>
      <c r="I2362" t="inlineStr">
        <is>
          <t>voucher</t>
        </is>
      </c>
      <c r="J2362" t="n">
        <v>11</v>
      </c>
      <c r="K2362" t="inlineStr">
        <is>
          <t>On Time</t>
        </is>
      </c>
      <c r="L2362" t="n">
        <v>5</v>
      </c>
      <c r="M2362">
        <f>VLOOKUP(D2362,State_Lookup!$A$2:$B$28,2,FALSE)</f>
        <v/>
      </c>
    </row>
    <row r="2363">
      <c r="A2363" t="inlineStr">
        <is>
          <t>95266dbfb7e20354baba07964dac78d5</t>
        </is>
      </c>
      <c r="B2363" t="inlineStr">
        <is>
          <t>2018-01-08</t>
        </is>
      </c>
      <c r="C2363" t="inlineStr">
        <is>
          <t>2018-01</t>
        </is>
      </c>
      <c r="D2363" t="inlineStr">
        <is>
          <t>SC</t>
        </is>
      </c>
      <c r="E2363" t="inlineStr">
        <is>
          <t>baby</t>
        </is>
      </c>
      <c r="F2363" t="n">
        <v>1</v>
      </c>
      <c r="G2363" t="n">
        <v>129.99</v>
      </c>
      <c r="H2363" t="n">
        <v>57.58</v>
      </c>
      <c r="I2363" t="inlineStr">
        <is>
          <t>credit_card</t>
        </is>
      </c>
      <c r="J2363" t="n">
        <v>18</v>
      </c>
      <c r="K2363" t="inlineStr">
        <is>
          <t>On Time</t>
        </is>
      </c>
      <c r="L2363" t="n">
        <v>4</v>
      </c>
      <c r="M2363">
        <f>VLOOKUP(D2363,State_Lookup!$A$2:$B$28,2,FALSE)</f>
        <v/>
      </c>
    </row>
    <row r="2364">
      <c r="A2364" t="inlineStr">
        <is>
          <t>68b73b2773ff90dc774d217f5a554680</t>
        </is>
      </c>
      <c r="B2364" t="inlineStr">
        <is>
          <t>2018-01-08</t>
        </is>
      </c>
      <c r="C2364" t="inlineStr">
        <is>
          <t>2018-01</t>
        </is>
      </c>
      <c r="D2364" t="inlineStr">
        <is>
          <t>PB</t>
        </is>
      </c>
      <c r="E2364" t="inlineStr">
        <is>
          <t>toys</t>
        </is>
      </c>
      <c r="F2364" t="n">
        <v>1</v>
      </c>
      <c r="G2364" t="n">
        <v>89.90000000000001</v>
      </c>
      <c r="H2364" t="n">
        <v>21.43</v>
      </c>
      <c r="I2364" t="inlineStr">
        <is>
          <t>boleto</t>
        </is>
      </c>
      <c r="J2364" t="n">
        <v>12</v>
      </c>
      <c r="K2364" t="inlineStr">
        <is>
          <t>On Time</t>
        </is>
      </c>
      <c r="L2364" t="n">
        <v>5</v>
      </c>
      <c r="M2364">
        <f>VLOOKUP(D2364,State_Lookup!$A$2:$B$28,2,FALSE)</f>
        <v/>
      </c>
    </row>
    <row r="2365">
      <c r="A2365" t="inlineStr">
        <is>
          <t>5e0f498aef45e2d62d0c983110ef0892</t>
        </is>
      </c>
      <c r="B2365" t="inlineStr">
        <is>
          <t>2018-01-09</t>
        </is>
      </c>
      <c r="C2365" t="inlineStr">
        <is>
          <t>2018-01</t>
        </is>
      </c>
      <c r="D2365" t="inlineStr">
        <is>
          <t>MG</t>
        </is>
      </c>
      <c r="E2365" t="inlineStr">
        <is>
          <t>sports_leisure</t>
        </is>
      </c>
      <c r="F2365" t="n">
        <v>1</v>
      </c>
      <c r="G2365" t="n">
        <v>129.9</v>
      </c>
      <c r="H2365" t="n">
        <v>27.23</v>
      </c>
      <c r="I2365" t="inlineStr">
        <is>
          <t>boleto</t>
        </is>
      </c>
      <c r="J2365" t="n">
        <v>10</v>
      </c>
      <c r="K2365" t="inlineStr">
        <is>
          <t>On Time</t>
        </is>
      </c>
      <c r="L2365" t="n">
        <v>5</v>
      </c>
      <c r="M2365">
        <f>VLOOKUP(D2365,State_Lookup!$A$2:$B$28,2,FALSE)</f>
        <v/>
      </c>
    </row>
    <row r="2366">
      <c r="A2366" t="inlineStr">
        <is>
          <t>2522de34f8d922703d83ac636084a756</t>
        </is>
      </c>
      <c r="B2366" t="inlineStr">
        <is>
          <t>2018-01-09</t>
        </is>
      </c>
      <c r="C2366" t="inlineStr">
        <is>
          <t>2018-01</t>
        </is>
      </c>
      <c r="D2366" t="inlineStr">
        <is>
          <t>BA</t>
        </is>
      </c>
      <c r="E2366" t="inlineStr">
        <is>
          <t>pet_shop</t>
        </is>
      </c>
      <c r="F2366" t="n">
        <v>1</v>
      </c>
      <c r="G2366" t="n">
        <v>89.7</v>
      </c>
      <c r="H2366" t="n">
        <v>17.07</v>
      </c>
      <c r="I2366" t="inlineStr">
        <is>
          <t>boleto</t>
        </is>
      </c>
      <c r="J2366" t="n">
        <v>13</v>
      </c>
      <c r="K2366" t="inlineStr">
        <is>
          <t>On Time</t>
        </is>
      </c>
      <c r="L2366" t="n">
        <v>5</v>
      </c>
      <c r="M2366">
        <f>VLOOKUP(D2366,State_Lookup!$A$2:$B$28,2,FALSE)</f>
        <v/>
      </c>
    </row>
    <row r="2367">
      <c r="A2367" t="inlineStr">
        <is>
          <t>9bcc43446a687456408f7c92cf486f48</t>
        </is>
      </c>
      <c r="B2367" t="inlineStr">
        <is>
          <t>2018-01-09</t>
        </is>
      </c>
      <c r="C2367" t="inlineStr">
        <is>
          <t>2018-01</t>
        </is>
      </c>
      <c r="D2367" t="inlineStr">
        <is>
          <t>SP</t>
        </is>
      </c>
      <c r="E2367" t="inlineStr">
        <is>
          <t>sports_leisure</t>
        </is>
      </c>
      <c r="F2367" t="n">
        <v>1</v>
      </c>
      <c r="G2367" t="n">
        <v>23.8</v>
      </c>
      <c r="H2367" t="n">
        <v>15.1</v>
      </c>
      <c r="I2367" t="inlineStr">
        <is>
          <t>credit_card</t>
        </is>
      </c>
      <c r="J2367" t="n">
        <v>15</v>
      </c>
      <c r="K2367" t="inlineStr">
        <is>
          <t>On Time</t>
        </is>
      </c>
      <c r="L2367" t="n">
        <v>3</v>
      </c>
      <c r="M2367">
        <f>VLOOKUP(D2367,State_Lookup!$A$2:$B$28,2,FALSE)</f>
        <v/>
      </c>
    </row>
    <row r="2368">
      <c r="A2368" t="inlineStr">
        <is>
          <t>2f184c1f767b1dab8ce9aefda0db5b33</t>
        </is>
      </c>
      <c r="B2368" t="inlineStr">
        <is>
          <t>2018-01-09</t>
        </is>
      </c>
      <c r="C2368" t="inlineStr">
        <is>
          <t>2018-01</t>
        </is>
      </c>
      <c r="D2368" t="inlineStr">
        <is>
          <t>RS</t>
        </is>
      </c>
      <c r="E2368" t="inlineStr">
        <is>
          <t>toys</t>
        </is>
      </c>
      <c r="F2368" t="n">
        <v>1</v>
      </c>
      <c r="G2368" t="n">
        <v>597.9</v>
      </c>
      <c r="H2368" t="n">
        <v>21.44</v>
      </c>
      <c r="I2368" t="inlineStr">
        <is>
          <t>credit_card</t>
        </is>
      </c>
      <c r="J2368" t="n">
        <v>9</v>
      </c>
      <c r="K2368" t="inlineStr">
        <is>
          <t>On Time</t>
        </is>
      </c>
      <c r="L2368" t="n">
        <v>5</v>
      </c>
      <c r="M2368">
        <f>VLOOKUP(D2368,State_Lookup!$A$2:$B$28,2,FALSE)</f>
        <v/>
      </c>
    </row>
    <row r="2369">
      <c r="A2369" t="inlineStr">
        <is>
          <t>d70e8cbc1daa0295b64e9d465b8835a5</t>
        </is>
      </c>
      <c r="B2369" t="inlineStr">
        <is>
          <t>2018-01-09</t>
        </is>
      </c>
      <c r="C2369" t="inlineStr">
        <is>
          <t>2018-01</t>
        </is>
      </c>
      <c r="D2369" t="inlineStr">
        <is>
          <t>SP</t>
        </is>
      </c>
      <c r="E2369" t="inlineStr">
        <is>
          <t>sports_leisure</t>
        </is>
      </c>
      <c r="F2369" t="n">
        <v>1</v>
      </c>
      <c r="G2369" t="n">
        <v>107</v>
      </c>
      <c r="H2369" t="n">
        <v>12.25</v>
      </c>
      <c r="I2369" t="inlineStr">
        <is>
          <t>credit_card</t>
        </is>
      </c>
      <c r="J2369" t="n">
        <v>6</v>
      </c>
      <c r="K2369" t="inlineStr">
        <is>
          <t>On Time</t>
        </is>
      </c>
      <c r="L2369" t="n">
        <v>5</v>
      </c>
      <c r="M2369">
        <f>VLOOKUP(D2369,State_Lookup!$A$2:$B$28,2,FALSE)</f>
        <v/>
      </c>
    </row>
    <row r="2370">
      <c r="A2370" t="inlineStr">
        <is>
          <t>b0b54e4c452d66681d67e588398ecf7c</t>
        </is>
      </c>
      <c r="B2370" t="inlineStr">
        <is>
          <t>2018-01-09</t>
        </is>
      </c>
      <c r="C2370" t="inlineStr">
        <is>
          <t>2018-01</t>
        </is>
      </c>
      <c r="D2370" t="inlineStr">
        <is>
          <t>MG</t>
        </is>
      </c>
      <c r="E2370" t="inlineStr">
        <is>
          <t>auto</t>
        </is>
      </c>
      <c r="F2370" t="n">
        <v>1</v>
      </c>
      <c r="G2370" t="n">
        <v>135.99</v>
      </c>
      <c r="H2370" t="n">
        <v>23.27</v>
      </c>
      <c r="I2370" t="inlineStr">
        <is>
          <t>voucher</t>
        </is>
      </c>
      <c r="J2370" t="n">
        <v>7</v>
      </c>
      <c r="K2370" t="inlineStr">
        <is>
          <t>On Time</t>
        </is>
      </c>
      <c r="L2370" t="n">
        <v>4</v>
      </c>
      <c r="M2370">
        <f>VLOOKUP(D2370,State_Lookup!$A$2:$B$28,2,FALSE)</f>
        <v/>
      </c>
    </row>
    <row r="2371">
      <c r="A2371" t="inlineStr">
        <is>
          <t>c23b694adb7d7d7438e6d33f3d6c8ce8</t>
        </is>
      </c>
      <c r="B2371" t="inlineStr">
        <is>
          <t>2018-01-09</t>
        </is>
      </c>
      <c r="C2371" t="inlineStr">
        <is>
          <t>2018-01</t>
        </is>
      </c>
      <c r="D2371" t="inlineStr">
        <is>
          <t>SP</t>
        </is>
      </c>
      <c r="E2371" t="inlineStr">
        <is>
          <t>electronics</t>
        </is>
      </c>
      <c r="F2371" t="n">
        <v>1</v>
      </c>
      <c r="G2371" t="n">
        <v>13.65</v>
      </c>
      <c r="H2371" t="n">
        <v>11.85</v>
      </c>
      <c r="I2371" t="inlineStr">
        <is>
          <t>boleto</t>
        </is>
      </c>
      <c r="J2371" t="n">
        <v>14</v>
      </c>
      <c r="K2371" t="inlineStr">
        <is>
          <t>On Time</t>
        </is>
      </c>
      <c r="L2371" t="n">
        <v>5</v>
      </c>
      <c r="M2371">
        <f>VLOOKUP(D2371,State_Lookup!$A$2:$B$28,2,FALSE)</f>
        <v/>
      </c>
    </row>
    <row r="2372">
      <c r="A2372" t="inlineStr">
        <is>
          <t>37ef684ef56e80eac9ebcf864d5989b3</t>
        </is>
      </c>
      <c r="B2372" t="inlineStr">
        <is>
          <t>2018-01-09</t>
        </is>
      </c>
      <c r="C2372" t="inlineStr">
        <is>
          <t>2018-01</t>
        </is>
      </c>
      <c r="D2372" t="inlineStr">
        <is>
          <t>SP</t>
        </is>
      </c>
      <c r="E2372" t="inlineStr">
        <is>
          <t>bed_bath_table</t>
        </is>
      </c>
      <c r="F2372" t="n">
        <v>1</v>
      </c>
      <c r="G2372" t="n">
        <v>54.9</v>
      </c>
      <c r="H2372" t="n">
        <v>16.01</v>
      </c>
      <c r="I2372" t="inlineStr">
        <is>
          <t>credit_card</t>
        </is>
      </c>
      <c r="J2372" t="n">
        <v>12</v>
      </c>
      <c r="K2372" t="inlineStr">
        <is>
          <t>On Time</t>
        </is>
      </c>
      <c r="L2372" t="n">
        <v>4</v>
      </c>
      <c r="M2372">
        <f>VLOOKUP(D2372,State_Lookup!$A$2:$B$28,2,FALSE)</f>
        <v/>
      </c>
    </row>
    <row r="2373">
      <c r="A2373" t="inlineStr">
        <is>
          <t>38c61d1bbf5143a8c347ebaa490e234b</t>
        </is>
      </c>
      <c r="B2373" t="inlineStr">
        <is>
          <t>2018-01-09</t>
        </is>
      </c>
      <c r="C2373" t="inlineStr">
        <is>
          <t>2018-01</t>
        </is>
      </c>
      <c r="D2373" t="inlineStr">
        <is>
          <t>MG</t>
        </is>
      </c>
      <c r="E2373" t="inlineStr">
        <is>
          <t>luggage_accessories</t>
        </is>
      </c>
      <c r="F2373" t="n">
        <v>1</v>
      </c>
      <c r="G2373" t="n">
        <v>82.90000000000001</v>
      </c>
      <c r="H2373" t="n">
        <v>14.31</v>
      </c>
      <c r="I2373" t="inlineStr">
        <is>
          <t>voucher</t>
        </is>
      </c>
      <c r="J2373" t="n">
        <v>5</v>
      </c>
      <c r="K2373" t="inlineStr">
        <is>
          <t>On Time</t>
        </is>
      </c>
      <c r="L2373" t="n">
        <v>5</v>
      </c>
      <c r="M2373">
        <f>VLOOKUP(D2373,State_Lookup!$A$2:$B$28,2,FALSE)</f>
        <v/>
      </c>
    </row>
    <row r="2374">
      <c r="A2374" t="inlineStr">
        <is>
          <t>a393492a87f42dc60b9b63b4ec2f6480</t>
        </is>
      </c>
      <c r="B2374" t="inlineStr">
        <is>
          <t>2018-01-09</t>
        </is>
      </c>
      <c r="C2374" t="inlineStr">
        <is>
          <t>2018-01</t>
        </is>
      </c>
      <c r="D2374" t="inlineStr">
        <is>
          <t>GO</t>
        </is>
      </c>
      <c r="E2374" t="inlineStr">
        <is>
          <t>telephony</t>
        </is>
      </c>
      <c r="F2374" t="n">
        <v>1</v>
      </c>
      <c r="G2374" t="n">
        <v>39.99</v>
      </c>
      <c r="H2374" t="n">
        <v>14.1</v>
      </c>
      <c r="I2374" t="inlineStr">
        <is>
          <t>credit_card</t>
        </is>
      </c>
      <c r="J2374" t="n">
        <v>13</v>
      </c>
      <c r="K2374" t="inlineStr">
        <is>
          <t>On Time</t>
        </is>
      </c>
      <c r="L2374" t="n">
        <v>5</v>
      </c>
      <c r="M2374">
        <f>VLOOKUP(D2374,State_Lookup!$A$2:$B$28,2,FALSE)</f>
        <v/>
      </c>
    </row>
    <row r="2375">
      <c r="A2375" t="inlineStr">
        <is>
          <t>b740e269153085cde628edc64b3ef029</t>
        </is>
      </c>
      <c r="B2375" t="inlineStr">
        <is>
          <t>2018-01-09</t>
        </is>
      </c>
      <c r="C2375" t="inlineStr">
        <is>
          <t>2018-01</t>
        </is>
      </c>
      <c r="D2375" t="inlineStr">
        <is>
          <t>PB</t>
        </is>
      </c>
      <c r="E2375" t="inlineStr">
        <is>
          <t>computers_accessories</t>
        </is>
      </c>
      <c r="F2375" t="n">
        <v>1</v>
      </c>
      <c r="G2375" t="n">
        <v>39.9</v>
      </c>
      <c r="H2375" t="n">
        <v>15.1</v>
      </c>
      <c r="I2375" t="inlineStr">
        <is>
          <t>credit_card</t>
        </is>
      </c>
      <c r="J2375" t="n">
        <v>10</v>
      </c>
      <c r="K2375" t="inlineStr">
        <is>
          <t>On Time</t>
        </is>
      </c>
      <c r="L2375" t="n">
        <v>4</v>
      </c>
      <c r="M2375">
        <f>VLOOKUP(D2375,State_Lookup!$A$2:$B$28,2,FALSE)</f>
        <v/>
      </c>
    </row>
    <row r="2376">
      <c r="A2376" t="inlineStr">
        <is>
          <t>65709b9620e3ef6f575918b8348a8ece</t>
        </is>
      </c>
      <c r="B2376" t="inlineStr">
        <is>
          <t>2018-01-09</t>
        </is>
      </c>
      <c r="C2376" t="inlineStr">
        <is>
          <t>2018-01</t>
        </is>
      </c>
      <c r="D2376" t="inlineStr">
        <is>
          <t>SP</t>
        </is>
      </c>
      <c r="E2376" t="inlineStr">
        <is>
          <t>computers_accessories</t>
        </is>
      </c>
      <c r="F2376" t="n">
        <v>2</v>
      </c>
      <c r="G2376" t="n">
        <v>394.99</v>
      </c>
      <c r="H2376" t="n">
        <v>21.6</v>
      </c>
      <c r="I2376" t="inlineStr">
        <is>
          <t>credit_card</t>
        </is>
      </c>
      <c r="J2376" t="n">
        <v>8</v>
      </c>
      <c r="K2376" t="inlineStr">
        <is>
          <t>On Time</t>
        </is>
      </c>
      <c r="L2376" t="n">
        <v>3</v>
      </c>
      <c r="M2376">
        <f>VLOOKUP(D2376,State_Lookup!$A$2:$B$28,2,FALSE)</f>
        <v/>
      </c>
    </row>
    <row r="2377">
      <c r="A2377" t="inlineStr">
        <is>
          <t>0d778ab2a536db4175fd9e51f7022c91</t>
        </is>
      </c>
      <c r="B2377" t="inlineStr">
        <is>
          <t>2018-01-09</t>
        </is>
      </c>
      <c r="C2377" t="inlineStr">
        <is>
          <t>2018-01</t>
        </is>
      </c>
      <c r="D2377" t="inlineStr">
        <is>
          <t>PA</t>
        </is>
      </c>
      <c r="E2377" t="inlineStr">
        <is>
          <t>pet_shop</t>
        </is>
      </c>
      <c r="F2377" t="n">
        <v>1</v>
      </c>
      <c r="G2377" t="n">
        <v>159.9</v>
      </c>
      <c r="H2377" t="n">
        <v>33.57</v>
      </c>
      <c r="I2377" t="inlineStr">
        <is>
          <t>credit_card</t>
        </is>
      </c>
      <c r="J2377" t="n">
        <v>26</v>
      </c>
      <c r="K2377" t="inlineStr">
        <is>
          <t>On Time</t>
        </is>
      </c>
      <c r="L2377" t="n">
        <v>4</v>
      </c>
      <c r="M2377">
        <f>VLOOKUP(D2377,State_Lookup!$A$2:$B$28,2,FALSE)</f>
        <v/>
      </c>
    </row>
    <row r="2378">
      <c r="A2378" t="inlineStr">
        <is>
          <t>41cee5026118f211f95963f5638bcbe2</t>
        </is>
      </c>
      <c r="B2378" t="inlineStr">
        <is>
          <t>2018-01-09</t>
        </is>
      </c>
      <c r="C2378" t="inlineStr">
        <is>
          <t>2018-01</t>
        </is>
      </c>
      <c r="D2378" t="inlineStr">
        <is>
          <t>SP</t>
        </is>
      </c>
      <c r="E2378" t="inlineStr">
        <is>
          <t>bed_bath_table</t>
        </is>
      </c>
      <c r="F2378" t="n">
        <v>1</v>
      </c>
      <c r="G2378" t="n">
        <v>35</v>
      </c>
      <c r="H2378" t="n">
        <v>11.85</v>
      </c>
      <c r="I2378" t="inlineStr">
        <is>
          <t>boleto</t>
        </is>
      </c>
      <c r="J2378" t="n">
        <v>9</v>
      </c>
      <c r="K2378" t="inlineStr">
        <is>
          <t>On Time</t>
        </is>
      </c>
      <c r="L2378" t="n">
        <v>5</v>
      </c>
      <c r="M2378">
        <f>VLOOKUP(D2378,State_Lookup!$A$2:$B$28,2,FALSE)</f>
        <v/>
      </c>
    </row>
    <row r="2379">
      <c r="A2379" t="inlineStr">
        <is>
          <t>b77ffad8b6c7bb5dedfb6a61f8e7cf57</t>
        </is>
      </c>
      <c r="B2379" t="inlineStr">
        <is>
          <t>2018-01-09</t>
        </is>
      </c>
      <c r="C2379" t="inlineStr">
        <is>
          <t>2018-01</t>
        </is>
      </c>
      <c r="D2379" t="inlineStr">
        <is>
          <t>SC</t>
        </is>
      </c>
      <c r="E2379" t="inlineStr">
        <is>
          <t>housewares</t>
        </is>
      </c>
      <c r="F2379" t="n">
        <v>2</v>
      </c>
      <c r="G2379" t="n">
        <v>138</v>
      </c>
      <c r="H2379" t="n">
        <v>51.02</v>
      </c>
      <c r="I2379" t="inlineStr">
        <is>
          <t>credit_card</t>
        </is>
      </c>
      <c r="J2379" t="n">
        <v>29</v>
      </c>
      <c r="K2379" t="inlineStr">
        <is>
          <t>On Time</t>
        </is>
      </c>
      <c r="L2379" t="n">
        <v>5</v>
      </c>
      <c r="M2379">
        <f>VLOOKUP(D2379,State_Lookup!$A$2:$B$28,2,FALSE)</f>
        <v/>
      </c>
    </row>
    <row r="2380">
      <c r="A2380" t="inlineStr">
        <is>
          <t>e567001ce77d68566b016e7929c11bfa</t>
        </is>
      </c>
      <c r="B2380" t="inlineStr">
        <is>
          <t>2018-01-09</t>
        </is>
      </c>
      <c r="C2380" t="inlineStr">
        <is>
          <t>2018-01</t>
        </is>
      </c>
      <c r="D2380" t="inlineStr">
        <is>
          <t>SC</t>
        </is>
      </c>
      <c r="E2380" t="inlineStr">
        <is>
          <t>garden_tools</t>
        </is>
      </c>
      <c r="F2380" t="n">
        <v>2</v>
      </c>
      <c r="G2380" t="n">
        <v>99.8</v>
      </c>
      <c r="H2380" t="n">
        <v>35.2</v>
      </c>
      <c r="I2380" t="inlineStr">
        <is>
          <t>credit_card</t>
        </is>
      </c>
      <c r="J2380" t="n">
        <v>23</v>
      </c>
      <c r="K2380" t="inlineStr">
        <is>
          <t>On Time</t>
        </is>
      </c>
      <c r="L2380" t="n">
        <v>1</v>
      </c>
      <c r="M2380">
        <f>VLOOKUP(D2380,State_Lookup!$A$2:$B$28,2,FALSE)</f>
        <v/>
      </c>
    </row>
    <row r="2381">
      <c r="A2381" t="inlineStr">
        <is>
          <t>e6190dea235662449d160357e46eaec8</t>
        </is>
      </c>
      <c r="B2381" t="inlineStr">
        <is>
          <t>2018-01-09</t>
        </is>
      </c>
      <c r="C2381" t="inlineStr">
        <is>
          <t>2018-01</t>
        </is>
      </c>
      <c r="D2381" t="inlineStr">
        <is>
          <t>SP</t>
        </is>
      </c>
      <c r="E2381" t="inlineStr">
        <is>
          <t>health_beauty</t>
        </is>
      </c>
      <c r="F2381" t="n">
        <v>1</v>
      </c>
      <c r="G2381" t="n">
        <v>69.90000000000001</v>
      </c>
      <c r="H2381" t="n">
        <v>19.98</v>
      </c>
      <c r="I2381" t="inlineStr">
        <is>
          <t>credit_card</t>
        </is>
      </c>
      <c r="J2381" t="n">
        <v>6</v>
      </c>
      <c r="K2381" t="inlineStr">
        <is>
          <t>On Time</t>
        </is>
      </c>
      <c r="L2381" t="n">
        <v>5</v>
      </c>
      <c r="M2381">
        <f>VLOOKUP(D2381,State_Lookup!$A$2:$B$28,2,FALSE)</f>
        <v/>
      </c>
    </row>
    <row r="2382">
      <c r="A2382" t="inlineStr">
        <is>
          <t>98b71d23b2914a171ca5c5824a1d38b1</t>
        </is>
      </c>
      <c r="B2382" t="inlineStr">
        <is>
          <t>2018-01-09</t>
        </is>
      </c>
      <c r="C2382" t="inlineStr">
        <is>
          <t>2018-01</t>
        </is>
      </c>
      <c r="D2382" t="inlineStr">
        <is>
          <t>MG</t>
        </is>
      </c>
      <c r="E2382" t="inlineStr">
        <is>
          <t>baby</t>
        </is>
      </c>
      <c r="F2382" t="n">
        <v>1</v>
      </c>
      <c r="G2382" t="n">
        <v>27.9</v>
      </c>
      <c r="H2382" t="n">
        <v>15.1</v>
      </c>
      <c r="I2382" t="inlineStr">
        <is>
          <t>credit_card</t>
        </is>
      </c>
      <c r="J2382" t="n">
        <v>9</v>
      </c>
      <c r="K2382" t="inlineStr">
        <is>
          <t>On Time</t>
        </is>
      </c>
      <c r="L2382" t="n">
        <v>5</v>
      </c>
      <c r="M2382">
        <f>VLOOKUP(D2382,State_Lookup!$A$2:$B$28,2,FALSE)</f>
        <v/>
      </c>
    </row>
    <row r="2383">
      <c r="A2383" t="inlineStr">
        <is>
          <t>8b75efcac52e6144df576321437f12eb</t>
        </is>
      </c>
      <c r="B2383" t="inlineStr">
        <is>
          <t>2018-01-09</t>
        </is>
      </c>
      <c r="C2383" t="inlineStr">
        <is>
          <t>2018-01</t>
        </is>
      </c>
      <c r="D2383" t="inlineStr">
        <is>
          <t>SP</t>
        </is>
      </c>
      <c r="E2383" t="inlineStr">
        <is>
          <t>computers_accessories</t>
        </is>
      </c>
      <c r="F2383" t="n">
        <v>2</v>
      </c>
      <c r="G2383" t="n">
        <v>327.46</v>
      </c>
      <c r="H2383" t="n">
        <v>26.56</v>
      </c>
      <c r="I2383" t="inlineStr">
        <is>
          <t>credit_card</t>
        </is>
      </c>
      <c r="J2383" t="n">
        <v>8</v>
      </c>
      <c r="K2383" t="inlineStr">
        <is>
          <t>On Time</t>
        </is>
      </c>
      <c r="L2383" t="n">
        <v>5</v>
      </c>
      <c r="M2383">
        <f>VLOOKUP(D2383,State_Lookup!$A$2:$B$28,2,FALSE)</f>
        <v/>
      </c>
    </row>
    <row r="2384">
      <c r="A2384" t="inlineStr">
        <is>
          <t>6cb0e1664e861687126a22bcb14e9def</t>
        </is>
      </c>
      <c r="B2384" t="inlineStr">
        <is>
          <t>2018-01-09</t>
        </is>
      </c>
      <c r="C2384" t="inlineStr">
        <is>
          <t>2018-01</t>
        </is>
      </c>
      <c r="D2384" t="inlineStr">
        <is>
          <t>PR</t>
        </is>
      </c>
      <c r="E2384" t="inlineStr">
        <is>
          <t>telephony</t>
        </is>
      </c>
      <c r="F2384" t="n">
        <v>1</v>
      </c>
      <c r="G2384" t="n">
        <v>12.99</v>
      </c>
      <c r="H2384" t="n">
        <v>15.1</v>
      </c>
      <c r="I2384" t="inlineStr">
        <is>
          <t>credit_card</t>
        </is>
      </c>
      <c r="J2384" t="n">
        <v>8</v>
      </c>
      <c r="K2384" t="inlineStr">
        <is>
          <t>On Time</t>
        </is>
      </c>
      <c r="L2384" t="n">
        <v>5</v>
      </c>
      <c r="M2384">
        <f>VLOOKUP(D2384,State_Lookup!$A$2:$B$28,2,FALSE)</f>
        <v/>
      </c>
    </row>
    <row r="2385">
      <c r="A2385" t="inlineStr">
        <is>
          <t>a6d26cc151cf55506e5fa88970b09edf</t>
        </is>
      </c>
      <c r="B2385" t="inlineStr">
        <is>
          <t>2018-01-09</t>
        </is>
      </c>
      <c r="C2385" t="inlineStr">
        <is>
          <t>2018-01</t>
        </is>
      </c>
      <c r="D2385" t="inlineStr">
        <is>
          <t>SP</t>
        </is>
      </c>
      <c r="E2385" t="inlineStr">
        <is>
          <t>bed_bath_table</t>
        </is>
      </c>
      <c r="F2385" t="n">
        <v>1</v>
      </c>
      <c r="G2385" t="n">
        <v>150</v>
      </c>
      <c r="H2385" t="n">
        <v>9.859999999999999</v>
      </c>
      <c r="I2385" t="inlineStr">
        <is>
          <t>credit_card</t>
        </is>
      </c>
      <c r="J2385" t="n">
        <v>1</v>
      </c>
      <c r="K2385" t="inlineStr">
        <is>
          <t>On Time</t>
        </is>
      </c>
      <c r="L2385" t="n">
        <v>5</v>
      </c>
      <c r="M2385">
        <f>VLOOKUP(D2385,State_Lookup!$A$2:$B$28,2,FALSE)</f>
        <v/>
      </c>
    </row>
    <row r="2386">
      <c r="A2386" t="inlineStr">
        <is>
          <t>b8fba4dc6ff421731ed01f46c701084a</t>
        </is>
      </c>
      <c r="B2386" t="inlineStr">
        <is>
          <t>2018-01-09</t>
        </is>
      </c>
      <c r="C2386" t="inlineStr">
        <is>
          <t>2018-01</t>
        </is>
      </c>
      <c r="D2386" t="inlineStr">
        <is>
          <t>PR</t>
        </is>
      </c>
      <c r="E2386" t="inlineStr">
        <is>
          <t>telephony</t>
        </is>
      </c>
      <c r="F2386" t="n">
        <v>1</v>
      </c>
      <c r="G2386" t="n">
        <v>12.98</v>
      </c>
      <c r="H2386" t="n">
        <v>14.1</v>
      </c>
      <c r="I2386" t="inlineStr">
        <is>
          <t>boleto</t>
        </is>
      </c>
      <c r="J2386" t="n">
        <v>13</v>
      </c>
      <c r="K2386" t="inlineStr">
        <is>
          <t>On Time</t>
        </is>
      </c>
      <c r="L2386" t="n">
        <v>5</v>
      </c>
      <c r="M2386">
        <f>VLOOKUP(D2386,State_Lookup!$A$2:$B$28,2,FALSE)</f>
        <v/>
      </c>
    </row>
    <row r="2387">
      <c r="A2387" t="inlineStr">
        <is>
          <t>d8c70ddb5b67b5e92df691abb6bafd01</t>
        </is>
      </c>
      <c r="B2387" t="inlineStr">
        <is>
          <t>2018-01-09</t>
        </is>
      </c>
      <c r="C2387" t="inlineStr">
        <is>
          <t>2018-01</t>
        </is>
      </c>
      <c r="D2387" t="inlineStr">
        <is>
          <t>SP</t>
        </is>
      </c>
      <c r="E2387" t="inlineStr">
        <is>
          <t>office_furniture</t>
        </is>
      </c>
      <c r="F2387" t="n">
        <v>1</v>
      </c>
      <c r="G2387" t="n">
        <v>149.99</v>
      </c>
      <c r="H2387" t="n">
        <v>17.78</v>
      </c>
      <c r="I2387" t="inlineStr">
        <is>
          <t>boleto</t>
        </is>
      </c>
      <c r="J2387" t="n">
        <v>17</v>
      </c>
      <c r="K2387" t="inlineStr">
        <is>
          <t>On Time</t>
        </is>
      </c>
      <c r="L2387" t="n">
        <v>3</v>
      </c>
      <c r="M2387">
        <f>VLOOKUP(D2387,State_Lookup!$A$2:$B$28,2,FALSE)</f>
        <v/>
      </c>
    </row>
    <row r="2388">
      <c r="A2388" t="inlineStr">
        <is>
          <t>c99da7a5a4c3328c4d6494f061c4c3d2</t>
        </is>
      </c>
      <c r="B2388" t="inlineStr">
        <is>
          <t>2018-01-09</t>
        </is>
      </c>
      <c r="C2388" t="inlineStr">
        <is>
          <t>2018-01</t>
        </is>
      </c>
      <c r="D2388" t="inlineStr">
        <is>
          <t>CE</t>
        </is>
      </c>
      <c r="E2388" t="inlineStr">
        <is>
          <t>health_beauty</t>
        </is>
      </c>
      <c r="F2388" t="n">
        <v>1</v>
      </c>
      <c r="G2388" t="n">
        <v>89.98999999999999</v>
      </c>
      <c r="H2388" t="n">
        <v>27.17</v>
      </c>
      <c r="I2388" t="inlineStr">
        <is>
          <t>credit_card</t>
        </is>
      </c>
      <c r="J2388" t="n">
        <v>20</v>
      </c>
      <c r="K2388" t="inlineStr">
        <is>
          <t>On Time</t>
        </is>
      </c>
      <c r="L2388" t="n">
        <v>4</v>
      </c>
      <c r="M2388">
        <f>VLOOKUP(D2388,State_Lookup!$A$2:$B$28,2,FALSE)</f>
        <v/>
      </c>
    </row>
    <row r="2389">
      <c r="A2389" t="inlineStr">
        <is>
          <t>eb7ad8aef38707da6cf8a476dd47198e</t>
        </is>
      </c>
      <c r="B2389" t="inlineStr">
        <is>
          <t>2018-01-09</t>
        </is>
      </c>
      <c r="C2389" t="inlineStr">
        <is>
          <t>2018-01</t>
        </is>
      </c>
      <c r="D2389" t="inlineStr">
        <is>
          <t>SP</t>
        </is>
      </c>
      <c r="E2389" t="inlineStr">
        <is>
          <t>home_appliances</t>
        </is>
      </c>
      <c r="F2389" t="n">
        <v>1</v>
      </c>
      <c r="G2389" t="n">
        <v>155</v>
      </c>
      <c r="H2389" t="n">
        <v>8.83</v>
      </c>
      <c r="I2389" t="inlineStr">
        <is>
          <t>credit_card</t>
        </is>
      </c>
      <c r="J2389" t="n">
        <v>1</v>
      </c>
      <c r="K2389" t="inlineStr">
        <is>
          <t>On Time</t>
        </is>
      </c>
      <c r="L2389" t="n">
        <v>4</v>
      </c>
      <c r="M2389">
        <f>VLOOKUP(D2389,State_Lookup!$A$2:$B$28,2,FALSE)</f>
        <v/>
      </c>
    </row>
    <row r="2390">
      <c r="A2390" t="inlineStr">
        <is>
          <t>659ce33e2ba9b51a83056aaaf3fc92a1</t>
        </is>
      </c>
      <c r="B2390" t="inlineStr">
        <is>
          <t>2018-01-10</t>
        </is>
      </c>
      <c r="C2390" t="inlineStr">
        <is>
          <t>2018-01</t>
        </is>
      </c>
      <c r="D2390" t="inlineStr">
        <is>
          <t>SP</t>
        </is>
      </c>
      <c r="E2390" t="inlineStr">
        <is>
          <t>computers_accessories</t>
        </is>
      </c>
      <c r="F2390" t="n">
        <v>2</v>
      </c>
      <c r="G2390" t="n">
        <v>705.14</v>
      </c>
      <c r="H2390" t="n">
        <v>80.04000000000001</v>
      </c>
      <c r="I2390" t="inlineStr">
        <is>
          <t>credit_card</t>
        </is>
      </c>
      <c r="J2390" t="n">
        <v>13</v>
      </c>
      <c r="K2390" t="inlineStr">
        <is>
          <t>On Time</t>
        </is>
      </c>
      <c r="L2390" t="n">
        <v>4</v>
      </c>
      <c r="M2390">
        <f>VLOOKUP(D2390,State_Lookup!$A$2:$B$28,2,FALSE)</f>
        <v/>
      </c>
    </row>
    <row r="2391">
      <c r="A2391" t="inlineStr">
        <is>
          <t>64f8d43fc9ba9110bc3142d2f7a1f40a</t>
        </is>
      </c>
      <c r="B2391" t="inlineStr">
        <is>
          <t>2018-01-10</t>
        </is>
      </c>
      <c r="C2391" t="inlineStr">
        <is>
          <t>2018-01</t>
        </is>
      </c>
      <c r="D2391" t="inlineStr">
        <is>
          <t>RJ</t>
        </is>
      </c>
      <c r="E2391" t="inlineStr">
        <is>
          <t>computers_accessories</t>
        </is>
      </c>
      <c r="F2391" t="n">
        <v>1</v>
      </c>
      <c r="G2391" t="n">
        <v>184.79</v>
      </c>
      <c r="H2391" t="n">
        <v>17.05</v>
      </c>
      <c r="I2391" t="inlineStr">
        <is>
          <t>credit_card</t>
        </is>
      </c>
      <c r="J2391" t="n">
        <v>20</v>
      </c>
      <c r="K2391" t="inlineStr">
        <is>
          <t>On Time</t>
        </is>
      </c>
      <c r="L2391" t="n">
        <v>5</v>
      </c>
      <c r="M2391">
        <f>VLOOKUP(D2391,State_Lookup!$A$2:$B$28,2,FALSE)</f>
        <v/>
      </c>
    </row>
    <row r="2392">
      <c r="A2392" t="inlineStr">
        <is>
          <t>da48ff98ca6bec2aa39f5cce1db9f04b</t>
        </is>
      </c>
      <c r="B2392" t="inlineStr">
        <is>
          <t>2018-01-10</t>
        </is>
      </c>
      <c r="C2392" t="inlineStr">
        <is>
          <t>2018-01</t>
        </is>
      </c>
      <c r="D2392" t="inlineStr">
        <is>
          <t>RJ</t>
        </is>
      </c>
      <c r="E2392" t="inlineStr">
        <is>
          <t>computers_accessories</t>
        </is>
      </c>
      <c r="F2392" t="n">
        <v>1</v>
      </c>
      <c r="G2392" t="n">
        <v>28.9</v>
      </c>
      <c r="H2392" t="n">
        <v>15.1</v>
      </c>
      <c r="I2392" t="inlineStr">
        <is>
          <t>credit_card</t>
        </is>
      </c>
      <c r="J2392" t="n">
        <v>18</v>
      </c>
      <c r="K2392" t="inlineStr">
        <is>
          <t>On Time</t>
        </is>
      </c>
      <c r="L2392" t="n">
        <v>5</v>
      </c>
      <c r="M2392">
        <f>VLOOKUP(D2392,State_Lookup!$A$2:$B$28,2,FALSE)</f>
        <v/>
      </c>
    </row>
    <row r="2393">
      <c r="A2393" t="inlineStr">
        <is>
          <t>de859e22b1ba2980cdd352637fb1ab0a</t>
        </is>
      </c>
      <c r="B2393" t="inlineStr">
        <is>
          <t>2018-01-10</t>
        </is>
      </c>
      <c r="C2393" t="inlineStr">
        <is>
          <t>2018-01</t>
        </is>
      </c>
      <c r="D2393" t="inlineStr">
        <is>
          <t>RJ</t>
        </is>
      </c>
      <c r="E2393" t="inlineStr">
        <is>
          <t>baby</t>
        </is>
      </c>
      <c r="F2393" t="n">
        <v>1</v>
      </c>
      <c r="G2393" t="n">
        <v>109.9</v>
      </c>
      <c r="H2393" t="n">
        <v>20.01</v>
      </c>
      <c r="I2393" t="inlineStr">
        <is>
          <t>credit_card</t>
        </is>
      </c>
      <c r="J2393" t="n">
        <v>37</v>
      </c>
      <c r="K2393" t="inlineStr">
        <is>
          <t>Late</t>
        </is>
      </c>
      <c r="L2393" t="n">
        <v>1</v>
      </c>
      <c r="M2393">
        <f>VLOOKUP(D2393,State_Lookup!$A$2:$B$28,2,FALSE)</f>
        <v/>
      </c>
    </row>
    <row r="2394">
      <c r="A2394" t="inlineStr">
        <is>
          <t>219889e4dae6af086c47d02b538f0589</t>
        </is>
      </c>
      <c r="B2394" t="inlineStr">
        <is>
          <t>2018-01-10</t>
        </is>
      </c>
      <c r="C2394" t="inlineStr">
        <is>
          <t>2018-01</t>
        </is>
      </c>
      <c r="D2394" t="inlineStr">
        <is>
          <t>BA</t>
        </is>
      </c>
      <c r="E2394" t="inlineStr">
        <is>
          <t>sports_leisure</t>
        </is>
      </c>
      <c r="F2394" t="n">
        <v>2</v>
      </c>
      <c r="G2394" t="n">
        <v>71.8</v>
      </c>
      <c r="H2394" t="n">
        <v>33.58</v>
      </c>
      <c r="I2394" t="inlineStr">
        <is>
          <t>credit_card</t>
        </is>
      </c>
      <c r="J2394" t="n">
        <v>13</v>
      </c>
      <c r="K2394" t="inlineStr">
        <is>
          <t>On Time</t>
        </is>
      </c>
      <c r="L2394" t="n">
        <v>5</v>
      </c>
      <c r="M2394">
        <f>VLOOKUP(D2394,State_Lookup!$A$2:$B$28,2,FALSE)</f>
        <v/>
      </c>
    </row>
    <row r="2395">
      <c r="A2395" t="inlineStr">
        <is>
          <t>4d9974c8797599512e8216eeb315817d</t>
        </is>
      </c>
      <c r="B2395" t="inlineStr">
        <is>
          <t>2018-01-10</t>
        </is>
      </c>
      <c r="C2395" t="inlineStr">
        <is>
          <t>2018-01</t>
        </is>
      </c>
      <c r="D2395" t="inlineStr">
        <is>
          <t>MG</t>
        </is>
      </c>
      <c r="E2395" t="inlineStr">
        <is>
          <t>electronics</t>
        </is>
      </c>
      <c r="F2395" t="n">
        <v>1</v>
      </c>
      <c r="G2395" t="n">
        <v>30</v>
      </c>
      <c r="H2395" t="n">
        <v>11.85</v>
      </c>
      <c r="I2395" t="inlineStr">
        <is>
          <t>credit_card</t>
        </is>
      </c>
      <c r="J2395" t="n">
        <v>29</v>
      </c>
      <c r="K2395" t="inlineStr">
        <is>
          <t>Late</t>
        </is>
      </c>
      <c r="L2395" t="n">
        <v>1</v>
      </c>
      <c r="M2395">
        <f>VLOOKUP(D2395,State_Lookup!$A$2:$B$28,2,FALSE)</f>
        <v/>
      </c>
    </row>
    <row r="2396">
      <c r="A2396" t="inlineStr">
        <is>
          <t>1461dd5a43608d03158f13131d6fa3a8</t>
        </is>
      </c>
      <c r="B2396" t="inlineStr">
        <is>
          <t>2018-01-10</t>
        </is>
      </c>
      <c r="C2396" t="inlineStr">
        <is>
          <t>2018-01</t>
        </is>
      </c>
      <c r="D2396" t="inlineStr">
        <is>
          <t>PR</t>
        </is>
      </c>
      <c r="E2396" t="inlineStr">
        <is>
          <t>home_construction</t>
        </is>
      </c>
      <c r="F2396" t="n">
        <v>1</v>
      </c>
      <c r="G2396" t="n">
        <v>78</v>
      </c>
      <c r="H2396" t="n">
        <v>15.3</v>
      </c>
      <c r="I2396" t="inlineStr">
        <is>
          <t>credit_card</t>
        </is>
      </c>
      <c r="J2396" t="n">
        <v>13</v>
      </c>
      <c r="K2396" t="inlineStr">
        <is>
          <t>On Time</t>
        </is>
      </c>
      <c r="L2396" t="n">
        <v>5</v>
      </c>
      <c r="M2396">
        <f>VLOOKUP(D2396,State_Lookup!$A$2:$B$28,2,FALSE)</f>
        <v/>
      </c>
    </row>
    <row r="2397">
      <c r="A2397" t="inlineStr">
        <is>
          <t>1446390485bfa8ea593dbd273d725218</t>
        </is>
      </c>
      <c r="B2397" t="inlineStr">
        <is>
          <t>2018-01-10</t>
        </is>
      </c>
      <c r="C2397" t="inlineStr">
        <is>
          <t>2018-01</t>
        </is>
      </c>
      <c r="D2397" t="inlineStr">
        <is>
          <t>SP</t>
        </is>
      </c>
      <c r="E2397" t="inlineStr">
        <is>
          <t>stationery</t>
        </is>
      </c>
      <c r="F2397" t="n">
        <v>1</v>
      </c>
      <c r="G2397" t="n">
        <v>89</v>
      </c>
      <c r="H2397" t="n">
        <v>13.64</v>
      </c>
      <c r="I2397" t="inlineStr">
        <is>
          <t>credit_card</t>
        </is>
      </c>
      <c r="J2397" t="n">
        <v>7</v>
      </c>
      <c r="K2397" t="inlineStr">
        <is>
          <t>On Time</t>
        </is>
      </c>
      <c r="L2397" t="n">
        <v>5</v>
      </c>
      <c r="M2397">
        <f>VLOOKUP(D2397,State_Lookup!$A$2:$B$28,2,FALSE)</f>
        <v/>
      </c>
    </row>
    <row r="2398">
      <c r="A2398" t="inlineStr">
        <is>
          <t>46e5628ac4a223fe4ecb24dab9d6b26a</t>
        </is>
      </c>
      <c r="B2398" t="inlineStr">
        <is>
          <t>2018-01-10</t>
        </is>
      </c>
      <c r="C2398" t="inlineStr">
        <is>
          <t>2018-01</t>
        </is>
      </c>
      <c r="D2398" t="inlineStr">
        <is>
          <t>ES</t>
        </is>
      </c>
      <c r="E2398" t="inlineStr">
        <is>
          <t>electronics</t>
        </is>
      </c>
      <c r="F2398" t="n">
        <v>1</v>
      </c>
      <c r="G2398" t="n">
        <v>18.9</v>
      </c>
      <c r="H2398" t="n">
        <v>25.63</v>
      </c>
      <c r="I2398" t="inlineStr">
        <is>
          <t>credit_card</t>
        </is>
      </c>
      <c r="J2398" t="n">
        <v>20</v>
      </c>
      <c r="K2398" t="inlineStr">
        <is>
          <t>On Time</t>
        </is>
      </c>
      <c r="L2398" t="n">
        <v>5</v>
      </c>
      <c r="M2398">
        <f>VLOOKUP(D2398,State_Lookup!$A$2:$B$28,2,FALSE)</f>
        <v/>
      </c>
    </row>
    <row r="2399">
      <c r="A2399" t="inlineStr">
        <is>
          <t>ed9e4b8509d37b7dd87c23fb4cc69452</t>
        </is>
      </c>
      <c r="B2399" t="inlineStr">
        <is>
          <t>2018-01-10</t>
        </is>
      </c>
      <c r="C2399" t="inlineStr">
        <is>
          <t>2018-01</t>
        </is>
      </c>
      <c r="D2399" t="inlineStr">
        <is>
          <t>ES</t>
        </is>
      </c>
      <c r="E2399" t="inlineStr">
        <is>
          <t>fashion_bags_accessories</t>
        </is>
      </c>
      <c r="F2399" t="n">
        <v>1</v>
      </c>
      <c r="G2399" t="n">
        <v>27.3</v>
      </c>
      <c r="H2399" t="n">
        <v>15.1</v>
      </c>
      <c r="I2399" t="inlineStr">
        <is>
          <t>boleto</t>
        </is>
      </c>
      <c r="J2399" t="n">
        <v>28</v>
      </c>
      <c r="K2399" t="inlineStr">
        <is>
          <t>Late</t>
        </is>
      </c>
      <c r="L2399" t="n">
        <v>3</v>
      </c>
      <c r="M2399">
        <f>VLOOKUP(D2399,State_Lookup!$A$2:$B$28,2,FALSE)</f>
        <v/>
      </c>
    </row>
    <row r="2400">
      <c r="A2400" t="inlineStr">
        <is>
          <t>55e437ea6e09474dfdddee9b983aa798</t>
        </is>
      </c>
      <c r="B2400" t="inlineStr">
        <is>
          <t>2018-01-10</t>
        </is>
      </c>
      <c r="C2400" t="inlineStr">
        <is>
          <t>2018-01</t>
        </is>
      </c>
      <c r="D2400" t="inlineStr">
        <is>
          <t>SP</t>
        </is>
      </c>
      <c r="E2400" t="inlineStr">
        <is>
          <t>health_beauty</t>
        </is>
      </c>
      <c r="F2400" t="n">
        <v>1</v>
      </c>
      <c r="G2400" t="n">
        <v>29.9</v>
      </c>
      <c r="H2400" t="n">
        <v>8.27</v>
      </c>
      <c r="I2400" t="inlineStr">
        <is>
          <t>boleto</t>
        </is>
      </c>
      <c r="J2400" t="n">
        <v>2</v>
      </c>
      <c r="K2400" t="inlineStr">
        <is>
          <t>On Time</t>
        </is>
      </c>
      <c r="L2400" t="n">
        <v>5</v>
      </c>
      <c r="M2400">
        <f>VLOOKUP(D2400,State_Lookup!$A$2:$B$28,2,FALSE)</f>
        <v/>
      </c>
    </row>
    <row r="2401">
      <c r="A2401" t="inlineStr">
        <is>
          <t>dc6d833bfea9fd5fbb4336fbc918b39b</t>
        </is>
      </c>
      <c r="B2401" t="inlineStr">
        <is>
          <t>2018-01-10</t>
        </is>
      </c>
      <c r="C2401" t="inlineStr">
        <is>
          <t>2018-01</t>
        </is>
      </c>
      <c r="D2401" t="inlineStr">
        <is>
          <t>GO</t>
        </is>
      </c>
      <c r="E2401" t="inlineStr">
        <is>
          <t>telephony</t>
        </is>
      </c>
      <c r="F2401" t="n">
        <v>1</v>
      </c>
      <c r="G2401" t="n">
        <v>18.9</v>
      </c>
      <c r="H2401" t="n">
        <v>15.1</v>
      </c>
      <c r="I2401" t="inlineStr">
        <is>
          <t>credit_card</t>
        </is>
      </c>
      <c r="J2401" t="n">
        <v>6</v>
      </c>
      <c r="K2401" t="inlineStr">
        <is>
          <t>On Time</t>
        </is>
      </c>
      <c r="L2401" t="n">
        <v>5</v>
      </c>
      <c r="M2401">
        <f>VLOOKUP(D2401,State_Lookup!$A$2:$B$28,2,FALSE)</f>
        <v/>
      </c>
    </row>
    <row r="2402">
      <c r="A2402" t="inlineStr">
        <is>
          <t>d93a43bb061ed0512c59729ff759da67</t>
        </is>
      </c>
      <c r="B2402" t="inlineStr">
        <is>
          <t>2018-01-10</t>
        </is>
      </c>
      <c r="C2402" t="inlineStr">
        <is>
          <t>2018-01</t>
        </is>
      </c>
      <c r="D2402" t="inlineStr">
        <is>
          <t>SP</t>
        </is>
      </c>
      <c r="E2402" t="inlineStr">
        <is>
          <t>books_general_interest</t>
        </is>
      </c>
      <c r="F2402" t="n">
        <v>1</v>
      </c>
      <c r="G2402" t="n">
        <v>44.9</v>
      </c>
      <c r="H2402" t="n">
        <v>12.69</v>
      </c>
      <c r="I2402" t="inlineStr">
        <is>
          <t>credit_card</t>
        </is>
      </c>
      <c r="J2402" t="n">
        <v>5</v>
      </c>
      <c r="K2402" t="inlineStr">
        <is>
          <t>On Time</t>
        </is>
      </c>
      <c r="L2402" t="n">
        <v>5</v>
      </c>
      <c r="M2402">
        <f>VLOOKUP(D2402,State_Lookup!$A$2:$B$28,2,FALSE)</f>
        <v/>
      </c>
    </row>
    <row r="2403">
      <c r="A2403" t="inlineStr">
        <is>
          <t>af70a5f50d99c3d85f9cc17bf5a854f3</t>
        </is>
      </c>
      <c r="B2403" t="inlineStr">
        <is>
          <t>2018-01-10</t>
        </is>
      </c>
      <c r="C2403" t="inlineStr">
        <is>
          <t>2018-01</t>
        </is>
      </c>
      <c r="D2403" t="inlineStr">
        <is>
          <t>SC</t>
        </is>
      </c>
      <c r="E2403" t="inlineStr">
        <is>
          <t>stationery</t>
        </is>
      </c>
      <c r="F2403" t="n">
        <v>1</v>
      </c>
      <c r="G2403" t="n">
        <v>115.9</v>
      </c>
      <c r="H2403" t="n">
        <v>17.06</v>
      </c>
      <c r="I2403" t="inlineStr">
        <is>
          <t>credit_card</t>
        </is>
      </c>
      <c r="J2403" t="n">
        <v>20</v>
      </c>
      <c r="K2403" t="inlineStr">
        <is>
          <t>On Time</t>
        </is>
      </c>
      <c r="L2403" t="n">
        <v>4</v>
      </c>
      <c r="M2403">
        <f>VLOOKUP(D2403,State_Lookup!$A$2:$B$28,2,FALSE)</f>
        <v/>
      </c>
    </row>
    <row r="2404">
      <c r="A2404" t="inlineStr">
        <is>
          <t>b9f31e3a32f182587fd629c681118d79</t>
        </is>
      </c>
      <c r="B2404" t="inlineStr">
        <is>
          <t>2018-01-11</t>
        </is>
      </c>
      <c r="C2404" t="inlineStr">
        <is>
          <t>2018-01</t>
        </is>
      </c>
      <c r="D2404" t="inlineStr">
        <is>
          <t>SP</t>
        </is>
      </c>
      <c r="E2404" t="inlineStr">
        <is>
          <t>sports_leisure</t>
        </is>
      </c>
      <c r="F2404" t="n">
        <v>1</v>
      </c>
      <c r="G2404" t="n">
        <v>499</v>
      </c>
      <c r="H2404" t="n">
        <v>18.24</v>
      </c>
      <c r="I2404" t="inlineStr">
        <is>
          <t>credit_card</t>
        </is>
      </c>
      <c r="J2404" t="n">
        <v>11</v>
      </c>
      <c r="K2404" t="inlineStr">
        <is>
          <t>On Time</t>
        </is>
      </c>
      <c r="L2404" t="n">
        <v>4</v>
      </c>
      <c r="M2404">
        <f>VLOOKUP(D2404,State_Lookup!$A$2:$B$28,2,FALSE)</f>
        <v/>
      </c>
    </row>
    <row r="2405">
      <c r="A2405" t="inlineStr">
        <is>
          <t>1e7daa50f3b5b4b0325e1467947249f1</t>
        </is>
      </c>
      <c r="B2405" t="inlineStr">
        <is>
          <t>2018-01-11</t>
        </is>
      </c>
      <c r="C2405" t="inlineStr">
        <is>
          <t>2018-01</t>
        </is>
      </c>
      <c r="D2405" t="inlineStr">
        <is>
          <t>SP</t>
        </is>
      </c>
      <c r="E2405" t="inlineStr">
        <is>
          <t>computers_accessories</t>
        </is>
      </c>
      <c r="F2405" t="n">
        <v>2</v>
      </c>
      <c r="G2405" t="n">
        <v>225.8</v>
      </c>
      <c r="H2405" t="n">
        <v>22.53</v>
      </c>
      <c r="I2405" t="inlineStr">
        <is>
          <t>credit_card</t>
        </is>
      </c>
      <c r="J2405" t="n">
        <v>11</v>
      </c>
      <c r="K2405" t="inlineStr">
        <is>
          <t>On Time</t>
        </is>
      </c>
      <c r="L2405" t="n">
        <v>1</v>
      </c>
      <c r="M2405">
        <f>VLOOKUP(D2405,State_Lookup!$A$2:$B$28,2,FALSE)</f>
        <v/>
      </c>
    </row>
    <row r="2406">
      <c r="A2406" t="inlineStr">
        <is>
          <t>0653cf037de0812e8ba775b4a0ea9c2f</t>
        </is>
      </c>
      <c r="B2406" t="inlineStr">
        <is>
          <t>2018-01-11</t>
        </is>
      </c>
      <c r="C2406" t="inlineStr">
        <is>
          <t>2018-01</t>
        </is>
      </c>
      <c r="D2406" t="inlineStr">
        <is>
          <t>DF</t>
        </is>
      </c>
      <c r="E2406" t="inlineStr">
        <is>
          <t>housewares</t>
        </is>
      </c>
      <c r="F2406" t="n">
        <v>1</v>
      </c>
      <c r="G2406" t="n">
        <v>79.90000000000001</v>
      </c>
      <c r="H2406" t="n">
        <v>17.81</v>
      </c>
      <c r="I2406" t="inlineStr">
        <is>
          <t>credit_card</t>
        </is>
      </c>
      <c r="J2406" t="n">
        <v>11</v>
      </c>
      <c r="K2406" t="inlineStr">
        <is>
          <t>On Time</t>
        </is>
      </c>
      <c r="L2406" t="n">
        <v>1</v>
      </c>
      <c r="M2406">
        <f>VLOOKUP(D2406,State_Lookup!$A$2:$B$28,2,FALSE)</f>
        <v/>
      </c>
    </row>
    <row r="2407">
      <c r="A2407" t="inlineStr">
        <is>
          <t>9be2582f6092606b2b3e9607581df63e</t>
        </is>
      </c>
      <c r="B2407" t="inlineStr">
        <is>
          <t>2018-01-11</t>
        </is>
      </c>
      <c r="C2407" t="inlineStr">
        <is>
          <t>2018-01</t>
        </is>
      </c>
      <c r="D2407" t="inlineStr">
        <is>
          <t>MG</t>
        </is>
      </c>
      <c r="E2407" t="inlineStr">
        <is>
          <t>electronics</t>
        </is>
      </c>
      <c r="F2407" t="n">
        <v>1</v>
      </c>
      <c r="G2407" t="n">
        <v>13.65</v>
      </c>
      <c r="H2407" t="n">
        <v>11.85</v>
      </c>
      <c r="I2407" t="inlineStr">
        <is>
          <t>boleto</t>
        </is>
      </c>
      <c r="J2407" t="n">
        <v>7</v>
      </c>
      <c r="K2407" t="inlineStr">
        <is>
          <t>On Time</t>
        </is>
      </c>
      <c r="L2407" t="n">
        <v>4</v>
      </c>
      <c r="M2407">
        <f>VLOOKUP(D2407,State_Lookup!$A$2:$B$28,2,FALSE)</f>
        <v/>
      </c>
    </row>
    <row r="2408">
      <c r="A2408" t="inlineStr">
        <is>
          <t>e1dbf5fa2a0830e4f3464b2d7aeb1ed5</t>
        </is>
      </c>
      <c r="B2408" t="inlineStr">
        <is>
          <t>2018-01-11</t>
        </is>
      </c>
      <c r="C2408" t="inlineStr">
        <is>
          <t>2018-01</t>
        </is>
      </c>
      <c r="D2408" t="inlineStr">
        <is>
          <t>SP</t>
        </is>
      </c>
      <c r="E2408" t="inlineStr">
        <is>
          <t>bed_bath_table</t>
        </is>
      </c>
      <c r="F2408" t="n">
        <v>1</v>
      </c>
      <c r="G2408" t="n">
        <v>159.9</v>
      </c>
      <c r="H2408" t="n">
        <v>16.75</v>
      </c>
      <c r="I2408" t="inlineStr">
        <is>
          <t>credit_card</t>
        </is>
      </c>
      <c r="J2408" t="n">
        <v>7</v>
      </c>
      <c r="K2408" t="inlineStr">
        <is>
          <t>On Time</t>
        </is>
      </c>
      <c r="L2408" t="n">
        <v>5</v>
      </c>
      <c r="M2408">
        <f>VLOOKUP(D2408,State_Lookup!$A$2:$B$28,2,FALSE)</f>
        <v/>
      </c>
    </row>
    <row r="2409">
      <c r="A2409" t="inlineStr">
        <is>
          <t>e34289f949f822de6f3a2f6a8402e5cb</t>
        </is>
      </c>
      <c r="B2409" t="inlineStr">
        <is>
          <t>2018-01-11</t>
        </is>
      </c>
      <c r="C2409" t="inlineStr">
        <is>
          <t>2018-01</t>
        </is>
      </c>
      <c r="D2409" t="inlineStr">
        <is>
          <t>RS</t>
        </is>
      </c>
      <c r="E2409" t="inlineStr">
        <is>
          <t>computers_accessories</t>
        </is>
      </c>
      <c r="F2409" t="n">
        <v>1</v>
      </c>
      <c r="G2409" t="n">
        <v>104.9</v>
      </c>
      <c r="H2409" t="n">
        <v>34.53</v>
      </c>
      <c r="I2409" t="inlineStr">
        <is>
          <t>boleto</t>
        </is>
      </c>
      <c r="J2409" t="n">
        <v>12</v>
      </c>
      <c r="K2409" t="inlineStr">
        <is>
          <t>On Time</t>
        </is>
      </c>
      <c r="L2409" t="n">
        <v>5</v>
      </c>
      <c r="M2409">
        <f>VLOOKUP(D2409,State_Lookup!$A$2:$B$28,2,FALSE)</f>
        <v/>
      </c>
    </row>
    <row r="2410">
      <c r="A2410" t="inlineStr">
        <is>
          <t>3f72ea1795b17aa187fb729bd33b4f6f</t>
        </is>
      </c>
      <c r="B2410" t="inlineStr">
        <is>
          <t>2018-01-11</t>
        </is>
      </c>
      <c r="C2410" t="inlineStr">
        <is>
          <t>2018-01</t>
        </is>
      </c>
      <c r="D2410" t="inlineStr">
        <is>
          <t>ES</t>
        </is>
      </c>
      <c r="E2410" t="inlineStr">
        <is>
          <t>sports_leisure</t>
        </is>
      </c>
      <c r="F2410" t="n">
        <v>1</v>
      </c>
      <c r="G2410" t="n">
        <v>229.9</v>
      </c>
      <c r="H2410" t="n">
        <v>26.45</v>
      </c>
      <c r="I2410" t="inlineStr">
        <is>
          <t>credit_card</t>
        </is>
      </c>
      <c r="J2410" t="n">
        <v>17</v>
      </c>
      <c r="K2410" t="inlineStr">
        <is>
          <t>On Time</t>
        </is>
      </c>
      <c r="L2410" t="n">
        <v>5</v>
      </c>
      <c r="M2410">
        <f>VLOOKUP(D2410,State_Lookup!$A$2:$B$28,2,FALSE)</f>
        <v/>
      </c>
    </row>
    <row r="2411">
      <c r="A2411" t="inlineStr">
        <is>
          <t>38936627aa1233ea6b3f8046c93cd207</t>
        </is>
      </c>
      <c r="B2411" t="inlineStr">
        <is>
          <t>2018-01-11</t>
        </is>
      </c>
      <c r="C2411" t="inlineStr">
        <is>
          <t>2018-01</t>
        </is>
      </c>
      <c r="D2411" t="inlineStr">
        <is>
          <t>MG</t>
        </is>
      </c>
      <c r="E2411" t="inlineStr">
        <is>
          <t>cool_stuff</t>
        </is>
      </c>
      <c r="F2411" t="n">
        <v>1</v>
      </c>
      <c r="G2411" t="n">
        <v>29.5</v>
      </c>
      <c r="H2411" t="n">
        <v>19.84</v>
      </c>
      <c r="I2411" t="inlineStr">
        <is>
          <t>credit_card</t>
        </is>
      </c>
      <c r="J2411" t="n">
        <v>8</v>
      </c>
      <c r="K2411" t="inlineStr">
        <is>
          <t>On Time</t>
        </is>
      </c>
      <c r="L2411" t="n">
        <v>4</v>
      </c>
      <c r="M2411">
        <f>VLOOKUP(D2411,State_Lookup!$A$2:$B$28,2,FALSE)</f>
        <v/>
      </c>
    </row>
    <row r="2412">
      <c r="A2412" t="inlineStr">
        <is>
          <t>3f220b15c7ba9352cf87f6c869c55314</t>
        </is>
      </c>
      <c r="B2412" t="inlineStr">
        <is>
          <t>2018-01-11</t>
        </is>
      </c>
      <c r="C2412" t="inlineStr">
        <is>
          <t>2018-01</t>
        </is>
      </c>
      <c r="D2412" t="inlineStr">
        <is>
          <t>SP</t>
        </is>
      </c>
      <c r="E2412" t="inlineStr">
        <is>
          <t>musical_instruments</t>
        </is>
      </c>
      <c r="F2412" t="n">
        <v>1</v>
      </c>
      <c r="G2412" t="n">
        <v>102.9</v>
      </c>
      <c r="H2412" t="n">
        <v>13.74</v>
      </c>
      <c r="I2412" t="inlineStr">
        <is>
          <t>boleto</t>
        </is>
      </c>
      <c r="J2412" t="n">
        <v>18</v>
      </c>
      <c r="K2412" t="inlineStr">
        <is>
          <t>On Time</t>
        </is>
      </c>
      <c r="L2412" t="n">
        <v>4</v>
      </c>
      <c r="M2412">
        <f>VLOOKUP(D2412,State_Lookup!$A$2:$B$28,2,FALSE)</f>
        <v/>
      </c>
    </row>
    <row r="2413">
      <c r="A2413" t="inlineStr">
        <is>
          <t>6f433e1b5764eb255869aedbee1b9d72</t>
        </is>
      </c>
      <c r="B2413" t="inlineStr">
        <is>
          <t>2018-01-11</t>
        </is>
      </c>
      <c r="C2413" t="inlineStr">
        <is>
          <t>2018-01</t>
        </is>
      </c>
      <c r="D2413" t="inlineStr">
        <is>
          <t>TO</t>
        </is>
      </c>
      <c r="E2413" t="inlineStr">
        <is>
          <t>watches_gifts</t>
        </is>
      </c>
      <c r="F2413" t="n">
        <v>1</v>
      </c>
      <c r="G2413" t="n">
        <v>129</v>
      </c>
      <c r="H2413" t="n">
        <v>33.35</v>
      </c>
      <c r="I2413" t="inlineStr">
        <is>
          <t>credit_card</t>
        </is>
      </c>
      <c r="J2413" t="n">
        <v>18</v>
      </c>
      <c r="K2413" t="inlineStr">
        <is>
          <t>On Time</t>
        </is>
      </c>
      <c r="L2413" t="n">
        <v>5</v>
      </c>
      <c r="M2413">
        <f>VLOOKUP(D2413,State_Lookup!$A$2:$B$28,2,FALSE)</f>
        <v/>
      </c>
    </row>
    <row r="2414">
      <c r="A2414" t="inlineStr">
        <is>
          <t>60f2ddc8d4430b5d01a1b3aa873d2d03</t>
        </is>
      </c>
      <c r="B2414" t="inlineStr">
        <is>
          <t>2018-01-11</t>
        </is>
      </c>
      <c r="C2414" t="inlineStr">
        <is>
          <t>2018-01</t>
        </is>
      </c>
      <c r="D2414" t="inlineStr">
        <is>
          <t>SP</t>
        </is>
      </c>
      <c r="E2414" t="inlineStr">
        <is>
          <t>telephony</t>
        </is>
      </c>
      <c r="F2414" t="n">
        <v>2</v>
      </c>
      <c r="G2414" t="n">
        <v>49.98</v>
      </c>
      <c r="H2414" t="n">
        <v>15.56</v>
      </c>
      <c r="I2414" t="inlineStr">
        <is>
          <t>credit_card</t>
        </is>
      </c>
      <c r="J2414" t="n">
        <v>7</v>
      </c>
      <c r="K2414" t="inlineStr">
        <is>
          <t>On Time</t>
        </is>
      </c>
      <c r="L2414" t="n">
        <v>5</v>
      </c>
      <c r="M2414">
        <f>VLOOKUP(D2414,State_Lookup!$A$2:$B$28,2,FALSE)</f>
        <v/>
      </c>
    </row>
    <row r="2415">
      <c r="A2415" t="inlineStr">
        <is>
          <t>3a213fcdfe7d98be74ea0dc05a8b31ae</t>
        </is>
      </c>
      <c r="B2415" t="inlineStr">
        <is>
          <t>2018-01-11</t>
        </is>
      </c>
      <c r="C2415" t="inlineStr">
        <is>
          <t>2018-01</t>
        </is>
      </c>
      <c r="D2415" t="inlineStr">
        <is>
          <t>PR</t>
        </is>
      </c>
      <c r="E2415" t="inlineStr">
        <is>
          <t>watches_gifts</t>
        </is>
      </c>
      <c r="F2415" t="n">
        <v>12</v>
      </c>
      <c r="G2415" t="n">
        <v>1296</v>
      </c>
      <c r="H2415" t="n">
        <v>186.24</v>
      </c>
      <c r="I2415" t="inlineStr">
        <is>
          <t>boleto</t>
        </is>
      </c>
      <c r="J2415" t="n">
        <v>11</v>
      </c>
      <c r="K2415" t="inlineStr">
        <is>
          <t>On Time</t>
        </is>
      </c>
      <c r="L2415" t="n">
        <v>1</v>
      </c>
      <c r="M2415">
        <f>VLOOKUP(D2415,State_Lookup!$A$2:$B$28,2,FALSE)</f>
        <v/>
      </c>
    </row>
    <row r="2416">
      <c r="A2416" t="inlineStr">
        <is>
          <t>5c3353d0e879379685e40fcfee970725</t>
        </is>
      </c>
      <c r="B2416" t="inlineStr">
        <is>
          <t>2018-01-11</t>
        </is>
      </c>
      <c r="C2416" t="inlineStr">
        <is>
          <t>2018-01</t>
        </is>
      </c>
      <c r="D2416" t="inlineStr">
        <is>
          <t>RJ</t>
        </is>
      </c>
      <c r="E2416" t="inlineStr">
        <is>
          <t>bed_bath_table</t>
        </is>
      </c>
      <c r="F2416" t="n">
        <v>2</v>
      </c>
      <c r="G2416" t="n">
        <v>279.8</v>
      </c>
      <c r="H2416" t="n">
        <v>36.46</v>
      </c>
      <c r="I2416" t="inlineStr">
        <is>
          <t>boleto</t>
        </is>
      </c>
      <c r="J2416" t="n">
        <v>14</v>
      </c>
      <c r="K2416" t="inlineStr">
        <is>
          <t>On Time</t>
        </is>
      </c>
      <c r="L2416" t="n">
        <v>5</v>
      </c>
      <c r="M2416">
        <f>VLOOKUP(D2416,State_Lookup!$A$2:$B$28,2,FALSE)</f>
        <v/>
      </c>
    </row>
    <row r="2417">
      <c r="A2417" t="inlineStr">
        <is>
          <t>79552be7b4863907fb19aa3c8bba9692</t>
        </is>
      </c>
      <c r="B2417" t="inlineStr">
        <is>
          <t>2018-01-11</t>
        </is>
      </c>
      <c r="C2417" t="inlineStr">
        <is>
          <t>2018-01</t>
        </is>
      </c>
      <c r="D2417" t="inlineStr">
        <is>
          <t>SP</t>
        </is>
      </c>
      <c r="E2417" t="inlineStr">
        <is>
          <t>furniture_mattress_and_upholstery</t>
        </is>
      </c>
      <c r="F2417" t="n">
        <v>1</v>
      </c>
      <c r="G2417" t="n">
        <v>75</v>
      </c>
      <c r="H2417" t="n">
        <v>36.62</v>
      </c>
      <c r="I2417" t="inlineStr">
        <is>
          <t>credit_card</t>
        </is>
      </c>
      <c r="J2417" t="n">
        <v>4</v>
      </c>
      <c r="K2417" t="inlineStr">
        <is>
          <t>On Time</t>
        </is>
      </c>
      <c r="L2417" t="n">
        <v>5</v>
      </c>
      <c r="M2417">
        <f>VLOOKUP(D2417,State_Lookup!$A$2:$B$28,2,FALSE)</f>
        <v/>
      </c>
    </row>
    <row r="2418">
      <c r="A2418" t="inlineStr">
        <is>
          <t>82d3f649aa623394cf7ad9432dd748d4</t>
        </is>
      </c>
      <c r="B2418" t="inlineStr">
        <is>
          <t>2018-01-11</t>
        </is>
      </c>
      <c r="C2418" t="inlineStr">
        <is>
          <t>2018-01</t>
        </is>
      </c>
      <c r="D2418" t="inlineStr">
        <is>
          <t>SP</t>
        </is>
      </c>
      <c r="E2418" t="inlineStr">
        <is>
          <t>small_appliances</t>
        </is>
      </c>
      <c r="F2418" t="n">
        <v>1</v>
      </c>
      <c r="G2418" t="n">
        <v>48</v>
      </c>
      <c r="H2418" t="n">
        <v>13.37</v>
      </c>
      <c r="I2418" t="inlineStr">
        <is>
          <t>boleto</t>
        </is>
      </c>
      <c r="J2418" t="n">
        <v>7</v>
      </c>
      <c r="K2418" t="inlineStr">
        <is>
          <t>On Time</t>
        </is>
      </c>
      <c r="L2418" t="n">
        <v>5</v>
      </c>
      <c r="M2418">
        <f>VLOOKUP(D2418,State_Lookup!$A$2:$B$28,2,FALSE)</f>
        <v/>
      </c>
    </row>
    <row r="2419">
      <c r="A2419" t="inlineStr">
        <is>
          <t>c7334d7e05d30a59be01b74a71a53b9a</t>
        </is>
      </c>
      <c r="B2419" t="inlineStr">
        <is>
          <t>2018-01-11</t>
        </is>
      </c>
      <c r="C2419" t="inlineStr">
        <is>
          <t>2018-01</t>
        </is>
      </c>
      <c r="D2419" t="inlineStr">
        <is>
          <t>SP</t>
        </is>
      </c>
      <c r="E2419" t="inlineStr">
        <is>
          <t>health_beauty</t>
        </is>
      </c>
      <c r="F2419" t="n">
        <v>1</v>
      </c>
      <c r="G2419" t="n">
        <v>59.99</v>
      </c>
      <c r="H2419" t="n">
        <v>9.34</v>
      </c>
      <c r="I2419" t="inlineStr">
        <is>
          <t>credit_card</t>
        </is>
      </c>
      <c r="J2419" t="n">
        <v>8</v>
      </c>
      <c r="K2419" t="inlineStr">
        <is>
          <t>On Time</t>
        </is>
      </c>
      <c r="L2419" t="n">
        <v>5</v>
      </c>
      <c r="M2419">
        <f>VLOOKUP(D2419,State_Lookup!$A$2:$B$28,2,FALSE)</f>
        <v/>
      </c>
    </row>
    <row r="2420">
      <c r="A2420" t="inlineStr">
        <is>
          <t>ee853ac1586ba81c396f4612daa1553f</t>
        </is>
      </c>
      <c r="B2420" t="inlineStr">
        <is>
          <t>2018-01-12</t>
        </is>
      </c>
      <c r="C2420" t="inlineStr">
        <is>
          <t>2018-01</t>
        </is>
      </c>
      <c r="D2420" t="inlineStr">
        <is>
          <t>RJ</t>
        </is>
      </c>
      <c r="E2420" t="inlineStr">
        <is>
          <t>health_beauty</t>
        </is>
      </c>
      <c r="F2420" t="n">
        <v>1</v>
      </c>
      <c r="G2420" t="n">
        <v>89.98999999999999</v>
      </c>
      <c r="H2420" t="n">
        <v>15.39</v>
      </c>
      <c r="I2420" t="inlineStr">
        <is>
          <t>credit_card</t>
        </is>
      </c>
      <c r="J2420" t="n">
        <v>5</v>
      </c>
      <c r="K2420" t="inlineStr">
        <is>
          <t>On Time</t>
        </is>
      </c>
      <c r="L2420" t="n">
        <v>3</v>
      </c>
      <c r="M2420">
        <f>VLOOKUP(D2420,State_Lookup!$A$2:$B$28,2,FALSE)</f>
        <v/>
      </c>
    </row>
    <row r="2421">
      <c r="A2421" t="inlineStr">
        <is>
          <t>4f709a231b1d99a9e12f4f86f458dbcb</t>
        </is>
      </c>
      <c r="B2421" t="inlineStr">
        <is>
          <t>2018-01-12</t>
        </is>
      </c>
      <c r="C2421" t="inlineStr">
        <is>
          <t>2018-01</t>
        </is>
      </c>
      <c r="D2421" t="inlineStr">
        <is>
          <t>SP</t>
        </is>
      </c>
      <c r="E2421" t="inlineStr">
        <is>
          <t>perfumery</t>
        </is>
      </c>
      <c r="F2421" t="n">
        <v>1</v>
      </c>
      <c r="G2421" t="n">
        <v>349.9</v>
      </c>
      <c r="H2421" t="n">
        <v>18.21</v>
      </c>
      <c r="I2421" t="inlineStr">
        <is>
          <t>credit_card</t>
        </is>
      </c>
      <c r="J2421" t="n">
        <v>20</v>
      </c>
      <c r="K2421" t="inlineStr">
        <is>
          <t>On Time</t>
        </is>
      </c>
      <c r="L2421" t="n">
        <v>5</v>
      </c>
      <c r="M2421">
        <f>VLOOKUP(D2421,State_Lookup!$A$2:$B$28,2,FALSE)</f>
        <v/>
      </c>
    </row>
    <row r="2422">
      <c r="A2422" t="inlineStr">
        <is>
          <t>5982f7ae2a7fe7f609c44a33a9780ffd</t>
        </is>
      </c>
      <c r="B2422" t="inlineStr">
        <is>
          <t>2018-01-12</t>
        </is>
      </c>
      <c r="C2422" t="inlineStr">
        <is>
          <t>2018-01</t>
        </is>
      </c>
      <c r="D2422" t="inlineStr">
        <is>
          <t>PE</t>
        </is>
      </c>
      <c r="E2422" t="inlineStr">
        <is>
          <t>telephony</t>
        </is>
      </c>
      <c r="F2422" t="n">
        <v>1</v>
      </c>
      <c r="G2422" t="n">
        <v>39.99</v>
      </c>
      <c r="H2422" t="n">
        <v>17.63</v>
      </c>
      <c r="I2422" t="inlineStr">
        <is>
          <t>credit_card</t>
        </is>
      </c>
      <c r="J2422" t="n">
        <v>17</v>
      </c>
      <c r="K2422" t="inlineStr">
        <is>
          <t>On Time</t>
        </is>
      </c>
      <c r="L2422" t="n">
        <v>5</v>
      </c>
      <c r="M2422">
        <f>VLOOKUP(D2422,State_Lookup!$A$2:$B$28,2,FALSE)</f>
        <v/>
      </c>
    </row>
    <row r="2423">
      <c r="A2423" t="inlineStr">
        <is>
          <t>2b857e133a619f873130ee050ffa17a1</t>
        </is>
      </c>
      <c r="B2423" t="inlineStr">
        <is>
          <t>2018-01-12</t>
        </is>
      </c>
      <c r="C2423" t="inlineStr">
        <is>
          <t>2018-01</t>
        </is>
      </c>
      <c r="D2423" t="inlineStr">
        <is>
          <t>BA</t>
        </is>
      </c>
      <c r="E2423" t="inlineStr">
        <is>
          <t>baby</t>
        </is>
      </c>
      <c r="F2423" t="n">
        <v>1</v>
      </c>
      <c r="G2423" t="n">
        <v>110</v>
      </c>
      <c r="H2423" t="n">
        <v>36.09</v>
      </c>
      <c r="I2423" t="inlineStr">
        <is>
          <t>boleto</t>
        </is>
      </c>
      <c r="J2423" t="n">
        <v>19</v>
      </c>
      <c r="K2423" t="inlineStr">
        <is>
          <t>On Time</t>
        </is>
      </c>
      <c r="L2423" t="n">
        <v>5</v>
      </c>
      <c r="M2423">
        <f>VLOOKUP(D2423,State_Lookup!$A$2:$B$28,2,FALSE)</f>
        <v/>
      </c>
    </row>
    <row r="2424">
      <c r="A2424" t="inlineStr">
        <is>
          <t>6d0ee01ab8a73e07883af627b8cbdff5</t>
        </is>
      </c>
      <c r="B2424" t="inlineStr">
        <is>
          <t>2018-01-12</t>
        </is>
      </c>
      <c r="C2424" t="inlineStr">
        <is>
          <t>2018-01</t>
        </is>
      </c>
      <c r="D2424" t="inlineStr">
        <is>
          <t>MG</t>
        </is>
      </c>
      <c r="E2424" t="inlineStr">
        <is>
          <t>stationery</t>
        </is>
      </c>
      <c r="F2424" t="n">
        <v>1</v>
      </c>
      <c r="G2424" t="n">
        <v>89</v>
      </c>
      <c r="H2424" t="n">
        <v>17.87</v>
      </c>
      <c r="I2424" t="inlineStr">
        <is>
          <t>credit_card</t>
        </is>
      </c>
      <c r="J2424" t="n">
        <v>18</v>
      </c>
      <c r="K2424" t="inlineStr">
        <is>
          <t>On Time</t>
        </is>
      </c>
      <c r="L2424" t="n">
        <v>4</v>
      </c>
      <c r="M2424">
        <f>VLOOKUP(D2424,State_Lookup!$A$2:$B$28,2,FALSE)</f>
        <v/>
      </c>
    </row>
    <row r="2425">
      <c r="A2425" t="inlineStr">
        <is>
          <t>4ba61a173049b183dab04f266855be13</t>
        </is>
      </c>
      <c r="B2425" t="inlineStr">
        <is>
          <t>2018-01-12</t>
        </is>
      </c>
      <c r="C2425" t="inlineStr">
        <is>
          <t>2018-01</t>
        </is>
      </c>
      <c r="D2425" t="inlineStr">
        <is>
          <t>SP</t>
        </is>
      </c>
      <c r="E2425" t="inlineStr">
        <is>
          <t>auto</t>
        </is>
      </c>
      <c r="F2425" t="n">
        <v>1</v>
      </c>
      <c r="G2425" t="n">
        <v>35.9</v>
      </c>
      <c r="H2425" t="n">
        <v>12.69</v>
      </c>
      <c r="I2425" t="inlineStr">
        <is>
          <t>credit_card</t>
        </is>
      </c>
      <c r="J2425" t="n">
        <v>9</v>
      </c>
      <c r="K2425" t="inlineStr">
        <is>
          <t>On Time</t>
        </is>
      </c>
      <c r="L2425" t="n">
        <v>3</v>
      </c>
      <c r="M2425">
        <f>VLOOKUP(D2425,State_Lookup!$A$2:$B$28,2,FALSE)</f>
        <v/>
      </c>
    </row>
    <row r="2426">
      <c r="A2426" t="inlineStr">
        <is>
          <t>99439b0756d8f30273d1a49e1ad02baa</t>
        </is>
      </c>
      <c r="B2426" t="inlineStr">
        <is>
          <t>2018-01-12</t>
        </is>
      </c>
      <c r="C2426" t="inlineStr">
        <is>
          <t>2018-01</t>
        </is>
      </c>
      <c r="D2426" t="inlineStr">
        <is>
          <t>RJ</t>
        </is>
      </c>
      <c r="E2426" t="inlineStr">
        <is>
          <t>garden_tools</t>
        </is>
      </c>
      <c r="F2426" t="n">
        <v>1</v>
      </c>
      <c r="G2426" t="n">
        <v>49.9</v>
      </c>
      <c r="H2426" t="n">
        <v>17.6</v>
      </c>
      <c r="I2426" t="inlineStr">
        <is>
          <t>boleto</t>
        </is>
      </c>
      <c r="J2426" t="n">
        <v>14</v>
      </c>
      <c r="K2426" t="inlineStr">
        <is>
          <t>On Time</t>
        </is>
      </c>
      <c r="L2426" t="n">
        <v>5</v>
      </c>
      <c r="M2426">
        <f>VLOOKUP(D2426,State_Lookup!$A$2:$B$28,2,FALSE)</f>
        <v/>
      </c>
    </row>
    <row r="2427">
      <c r="A2427" t="inlineStr">
        <is>
          <t>2f93e05c16a3539594b2bd00bf46027b</t>
        </is>
      </c>
      <c r="B2427" t="inlineStr">
        <is>
          <t>2018-01-12</t>
        </is>
      </c>
      <c r="C2427" t="inlineStr">
        <is>
          <t>2018-01</t>
        </is>
      </c>
      <c r="D2427" t="inlineStr">
        <is>
          <t>SP</t>
        </is>
      </c>
      <c r="E2427" t="inlineStr">
        <is>
          <t>watches_gifts</t>
        </is>
      </c>
      <c r="F2427" t="n">
        <v>1</v>
      </c>
      <c r="G2427" t="n">
        <v>59.99</v>
      </c>
      <c r="H2427" t="n">
        <v>14.17</v>
      </c>
      <c r="I2427" t="inlineStr">
        <is>
          <t>boleto</t>
        </is>
      </c>
      <c r="J2427" t="n">
        <v>24</v>
      </c>
      <c r="K2427" t="inlineStr">
        <is>
          <t>Late</t>
        </is>
      </c>
      <c r="L2427" t="n">
        <v>4</v>
      </c>
      <c r="M2427">
        <f>VLOOKUP(D2427,State_Lookup!$A$2:$B$28,2,FALSE)</f>
        <v/>
      </c>
    </row>
    <row r="2428">
      <c r="A2428" t="inlineStr">
        <is>
          <t>3fa59277573f0fe06ece044ebec2eb02</t>
        </is>
      </c>
      <c r="B2428" t="inlineStr">
        <is>
          <t>2018-01-12</t>
        </is>
      </c>
      <c r="C2428" t="inlineStr">
        <is>
          <t>2018-01</t>
        </is>
      </c>
      <c r="D2428" t="inlineStr">
        <is>
          <t>PR</t>
        </is>
      </c>
      <c r="E2428" t="inlineStr">
        <is>
          <t>sports_leisure</t>
        </is>
      </c>
      <c r="F2428" t="n">
        <v>1</v>
      </c>
      <c r="G2428" t="n">
        <v>79</v>
      </c>
      <c r="H2428" t="n">
        <v>12.05</v>
      </c>
      <c r="I2428" t="inlineStr">
        <is>
          <t>boleto</t>
        </is>
      </c>
      <c r="J2428" t="n">
        <v>9</v>
      </c>
      <c r="K2428" t="inlineStr">
        <is>
          <t>On Time</t>
        </is>
      </c>
      <c r="L2428" t="n">
        <v>5</v>
      </c>
      <c r="M2428">
        <f>VLOOKUP(D2428,State_Lookup!$A$2:$B$28,2,FALSE)</f>
        <v/>
      </c>
    </row>
    <row r="2429">
      <c r="A2429" t="inlineStr">
        <is>
          <t>045fdf416ed4db7ae710009397448586</t>
        </is>
      </c>
      <c r="B2429" t="inlineStr">
        <is>
          <t>2018-01-12</t>
        </is>
      </c>
      <c r="C2429" t="inlineStr">
        <is>
          <t>2018-01</t>
        </is>
      </c>
      <c r="D2429" t="inlineStr">
        <is>
          <t>TO</t>
        </is>
      </c>
      <c r="E2429" t="inlineStr">
        <is>
          <t>bed_bath_table</t>
        </is>
      </c>
      <c r="F2429" t="n">
        <v>1</v>
      </c>
      <c r="G2429" t="n">
        <v>153</v>
      </c>
      <c r="H2429" t="n">
        <v>33.52</v>
      </c>
      <c r="I2429" t="inlineStr">
        <is>
          <t>credit_card</t>
        </is>
      </c>
      <c r="J2429" t="n">
        <v>12</v>
      </c>
      <c r="K2429" t="inlineStr">
        <is>
          <t>On Time</t>
        </is>
      </c>
      <c r="L2429" t="n">
        <v>4</v>
      </c>
      <c r="M2429">
        <f>VLOOKUP(D2429,State_Lookup!$A$2:$B$28,2,FALSE)</f>
        <v/>
      </c>
    </row>
    <row r="2430">
      <c r="A2430" t="inlineStr">
        <is>
          <t>491f5fabbd1c4d86ab4ae7a2024d7368</t>
        </is>
      </c>
      <c r="B2430" t="inlineStr">
        <is>
          <t>2018-01-12</t>
        </is>
      </c>
      <c r="C2430" t="inlineStr">
        <is>
          <t>2018-01</t>
        </is>
      </c>
      <c r="D2430" t="inlineStr">
        <is>
          <t>SP</t>
        </is>
      </c>
      <c r="E2430" t="inlineStr">
        <is>
          <t>furniture_decor</t>
        </is>
      </c>
      <c r="F2430" t="n">
        <v>2</v>
      </c>
      <c r="G2430" t="n">
        <v>158.9</v>
      </c>
      <c r="H2430" t="n">
        <v>34.12</v>
      </c>
      <c r="I2430" t="inlineStr">
        <is>
          <t>boleto</t>
        </is>
      </c>
      <c r="J2430" t="n">
        <v>18</v>
      </c>
      <c r="K2430" t="inlineStr">
        <is>
          <t>On Time</t>
        </is>
      </c>
      <c r="L2430" t="n">
        <v>5</v>
      </c>
      <c r="M2430">
        <f>VLOOKUP(D2430,State_Lookup!$A$2:$B$28,2,FALSE)</f>
        <v/>
      </c>
    </row>
    <row r="2431">
      <c r="A2431" t="inlineStr">
        <is>
          <t>084e6aea84bfcc0627bf4da8d657938e</t>
        </is>
      </c>
      <c r="B2431" t="inlineStr">
        <is>
          <t>2018-01-12</t>
        </is>
      </c>
      <c r="C2431" t="inlineStr">
        <is>
          <t>2018-01</t>
        </is>
      </c>
      <c r="D2431" t="inlineStr">
        <is>
          <t>SP</t>
        </is>
      </c>
      <c r="E2431" t="inlineStr">
        <is>
          <t>office_furniture</t>
        </is>
      </c>
      <c r="F2431" t="n">
        <v>1</v>
      </c>
      <c r="G2431" t="n">
        <v>136.99</v>
      </c>
      <c r="H2431" t="n">
        <v>43.19</v>
      </c>
      <c r="I2431" t="inlineStr">
        <is>
          <t>credit_card</t>
        </is>
      </c>
      <c r="J2431" t="n">
        <v>19</v>
      </c>
      <c r="K2431" t="inlineStr">
        <is>
          <t>On Time</t>
        </is>
      </c>
      <c r="L2431" t="n">
        <v>3</v>
      </c>
      <c r="M2431">
        <f>VLOOKUP(D2431,State_Lookup!$A$2:$B$28,2,FALSE)</f>
        <v/>
      </c>
    </row>
    <row r="2432">
      <c r="A2432" t="inlineStr">
        <is>
          <t>f1084769a9d3a8c88ae9aa1ceb9c63f6</t>
        </is>
      </c>
      <c r="B2432" t="inlineStr">
        <is>
          <t>2018-01-12</t>
        </is>
      </c>
      <c r="C2432" t="inlineStr">
        <is>
          <t>2018-01</t>
        </is>
      </c>
      <c r="D2432" t="inlineStr">
        <is>
          <t>PR</t>
        </is>
      </c>
      <c r="E2432" t="inlineStr">
        <is>
          <t>health_beauty</t>
        </is>
      </c>
      <c r="F2432" t="n">
        <v>1</v>
      </c>
      <c r="G2432" t="n">
        <v>49.99</v>
      </c>
      <c r="H2432" t="n">
        <v>17.6</v>
      </c>
      <c r="I2432" t="inlineStr">
        <is>
          <t>credit_card</t>
        </is>
      </c>
      <c r="J2432" t="n">
        <v>9</v>
      </c>
      <c r="K2432" t="inlineStr">
        <is>
          <t>On Time</t>
        </is>
      </c>
      <c r="L2432" t="n">
        <v>5</v>
      </c>
      <c r="M2432">
        <f>VLOOKUP(D2432,State_Lookup!$A$2:$B$28,2,FALSE)</f>
        <v/>
      </c>
    </row>
    <row r="2433">
      <c r="A2433" t="inlineStr">
        <is>
          <t>a9539f1fbe0e0a9eed2c492f6ac40852</t>
        </is>
      </c>
      <c r="B2433" t="inlineStr">
        <is>
          <t>2018-01-12</t>
        </is>
      </c>
      <c r="C2433" t="inlineStr">
        <is>
          <t>2018-01</t>
        </is>
      </c>
      <c r="D2433" t="inlineStr">
        <is>
          <t>SP</t>
        </is>
      </c>
      <c r="E2433" t="inlineStr">
        <is>
          <t>furniture_decor</t>
        </is>
      </c>
      <c r="F2433" t="n">
        <v>1</v>
      </c>
      <c r="G2433" t="n">
        <v>69.90000000000001</v>
      </c>
      <c r="H2433" t="n">
        <v>13.08</v>
      </c>
      <c r="I2433" t="inlineStr">
        <is>
          <t>credit_card</t>
        </is>
      </c>
      <c r="J2433" t="n">
        <v>6</v>
      </c>
      <c r="K2433" t="inlineStr">
        <is>
          <t>On Time</t>
        </is>
      </c>
      <c r="L2433" t="n">
        <v>5</v>
      </c>
      <c r="M2433">
        <f>VLOOKUP(D2433,State_Lookup!$A$2:$B$28,2,FALSE)</f>
        <v/>
      </c>
    </row>
    <row r="2434">
      <c r="A2434" t="inlineStr">
        <is>
          <t>045d5f2b9ec233c262c0ba79867e37fb</t>
        </is>
      </c>
      <c r="B2434" t="inlineStr">
        <is>
          <t>2018-01-13</t>
        </is>
      </c>
      <c r="C2434" t="inlineStr">
        <is>
          <t>2018-01</t>
        </is>
      </c>
      <c r="D2434" t="inlineStr">
        <is>
          <t>MG</t>
        </is>
      </c>
      <c r="E2434" t="inlineStr">
        <is>
          <t>sports_leisure</t>
        </is>
      </c>
      <c r="F2434" t="n">
        <v>1</v>
      </c>
      <c r="G2434" t="n">
        <v>219</v>
      </c>
      <c r="H2434" t="n">
        <v>17.97</v>
      </c>
      <c r="I2434" t="inlineStr">
        <is>
          <t>credit_card</t>
        </is>
      </c>
      <c r="J2434" t="n">
        <v>15</v>
      </c>
      <c r="K2434" t="inlineStr">
        <is>
          <t>On Time</t>
        </is>
      </c>
      <c r="L2434" t="n">
        <v>5</v>
      </c>
      <c r="M2434">
        <f>VLOOKUP(D2434,State_Lookup!$A$2:$B$28,2,FALSE)</f>
        <v/>
      </c>
    </row>
    <row r="2435">
      <c r="A2435" t="inlineStr">
        <is>
          <t>f8813be969dfa2d97ee44b025c9bcaf3</t>
        </is>
      </c>
      <c r="B2435" t="inlineStr">
        <is>
          <t>2018-01-13</t>
        </is>
      </c>
      <c r="C2435" t="inlineStr">
        <is>
          <t>2018-01</t>
        </is>
      </c>
      <c r="D2435" t="inlineStr">
        <is>
          <t>SP</t>
        </is>
      </c>
      <c r="E2435" t="inlineStr">
        <is>
          <t>luggage_accessories</t>
        </is>
      </c>
      <c r="F2435" t="n">
        <v>1</v>
      </c>
      <c r="G2435" t="n">
        <v>99.90000000000001</v>
      </c>
      <c r="H2435" t="n">
        <v>36.21</v>
      </c>
      <c r="I2435" t="inlineStr">
        <is>
          <t>voucher</t>
        </is>
      </c>
      <c r="J2435" t="n">
        <v>11</v>
      </c>
      <c r="K2435" t="inlineStr">
        <is>
          <t>On Time</t>
        </is>
      </c>
      <c r="L2435" t="n">
        <v>5</v>
      </c>
      <c r="M2435">
        <f>VLOOKUP(D2435,State_Lookup!$A$2:$B$28,2,FALSE)</f>
        <v/>
      </c>
    </row>
    <row r="2436">
      <c r="A2436" t="inlineStr">
        <is>
          <t>72a794bae5b6c1f19b1f2fee83e94e85</t>
        </is>
      </c>
      <c r="B2436" t="inlineStr">
        <is>
          <t>2018-01-13</t>
        </is>
      </c>
      <c r="C2436" t="inlineStr">
        <is>
          <t>2018-01</t>
        </is>
      </c>
      <c r="D2436" t="inlineStr">
        <is>
          <t>SP</t>
        </is>
      </c>
      <c r="E2436" t="inlineStr">
        <is>
          <t>auto</t>
        </is>
      </c>
      <c r="F2436" t="n">
        <v>1</v>
      </c>
      <c r="G2436" t="n">
        <v>189</v>
      </c>
      <c r="H2436" t="n">
        <v>9.890000000000001</v>
      </c>
      <c r="I2436" t="inlineStr">
        <is>
          <t>debit_card</t>
        </is>
      </c>
      <c r="J2436" t="n">
        <v>3</v>
      </c>
      <c r="K2436" t="inlineStr">
        <is>
          <t>On Time</t>
        </is>
      </c>
      <c r="L2436" t="n">
        <v>5</v>
      </c>
      <c r="M2436">
        <f>VLOOKUP(D2436,State_Lookup!$A$2:$B$28,2,FALSE)</f>
        <v/>
      </c>
    </row>
    <row r="2437">
      <c r="A2437" t="inlineStr">
        <is>
          <t>12958a97a4e26a4e7dd8bce7de8955b9</t>
        </is>
      </c>
      <c r="B2437" t="inlineStr">
        <is>
          <t>2018-01-13</t>
        </is>
      </c>
      <c r="C2437" t="inlineStr">
        <is>
          <t>2018-01</t>
        </is>
      </c>
      <c r="D2437" t="inlineStr">
        <is>
          <t>RJ</t>
        </is>
      </c>
      <c r="E2437" t="inlineStr">
        <is>
          <t>telephony</t>
        </is>
      </c>
      <c r="F2437" t="n">
        <v>1</v>
      </c>
      <c r="G2437" t="n">
        <v>39.99</v>
      </c>
      <c r="H2437" t="n">
        <v>14.1</v>
      </c>
      <c r="I2437" t="inlineStr">
        <is>
          <t>credit_card</t>
        </is>
      </c>
      <c r="J2437" t="n">
        <v>11</v>
      </c>
      <c r="K2437" t="inlineStr">
        <is>
          <t>On Time</t>
        </is>
      </c>
      <c r="L2437" t="n">
        <v>5</v>
      </c>
      <c r="M2437">
        <f>VLOOKUP(D2437,State_Lookup!$A$2:$B$28,2,FALSE)</f>
        <v/>
      </c>
    </row>
    <row r="2438">
      <c r="A2438" t="inlineStr">
        <is>
          <t>8c49b48367363f2894bccea3248be15d</t>
        </is>
      </c>
      <c r="B2438" t="inlineStr">
        <is>
          <t>2018-01-13</t>
        </is>
      </c>
      <c r="C2438" t="inlineStr">
        <is>
          <t>2018-01</t>
        </is>
      </c>
      <c r="D2438" t="inlineStr">
        <is>
          <t>SP</t>
        </is>
      </c>
      <c r="E2438" t="inlineStr">
        <is>
          <t>agro_industry_and_commerce</t>
        </is>
      </c>
      <c r="F2438" t="n">
        <v>1</v>
      </c>
      <c r="G2438" t="n">
        <v>29.5</v>
      </c>
      <c r="H2438" t="n">
        <v>9.94</v>
      </c>
      <c r="I2438" t="inlineStr">
        <is>
          <t>credit_card</t>
        </is>
      </c>
      <c r="J2438" t="n">
        <v>12</v>
      </c>
      <c r="K2438" t="inlineStr">
        <is>
          <t>On Time</t>
        </is>
      </c>
      <c r="L2438" t="n">
        <v>5</v>
      </c>
      <c r="M2438">
        <f>VLOOKUP(D2438,State_Lookup!$A$2:$B$28,2,FALSE)</f>
        <v/>
      </c>
    </row>
    <row r="2439">
      <c r="A2439" t="inlineStr">
        <is>
          <t>361454f6abef97fcf00c67ec27a32e6f</t>
        </is>
      </c>
      <c r="B2439" t="inlineStr">
        <is>
          <t>2018-01-13</t>
        </is>
      </c>
      <c r="C2439" t="inlineStr">
        <is>
          <t>2018-01</t>
        </is>
      </c>
      <c r="D2439" t="inlineStr">
        <is>
          <t>RJ</t>
        </is>
      </c>
      <c r="E2439" t="inlineStr">
        <is>
          <t>auto</t>
        </is>
      </c>
      <c r="F2439" t="n">
        <v>2</v>
      </c>
      <c r="G2439" t="n">
        <v>79.8</v>
      </c>
      <c r="H2439" t="n">
        <v>30.2</v>
      </c>
      <c r="I2439" t="inlineStr">
        <is>
          <t>credit_card</t>
        </is>
      </c>
      <c r="J2439" t="n">
        <v>17</v>
      </c>
      <c r="K2439" t="inlineStr">
        <is>
          <t>On Time</t>
        </is>
      </c>
      <c r="L2439" t="n">
        <v>4</v>
      </c>
      <c r="M2439">
        <f>VLOOKUP(D2439,State_Lookup!$A$2:$B$28,2,FALSE)</f>
        <v/>
      </c>
    </row>
    <row r="2440">
      <c r="A2440" t="inlineStr">
        <is>
          <t>2a301a7ce18d62a743d2cdf9555c15c9</t>
        </is>
      </c>
      <c r="B2440" t="inlineStr">
        <is>
          <t>2018-01-13</t>
        </is>
      </c>
      <c r="C2440" t="inlineStr">
        <is>
          <t>2018-01</t>
        </is>
      </c>
      <c r="D2440" t="inlineStr">
        <is>
          <t>SP</t>
        </is>
      </c>
      <c r="E2440" t="inlineStr">
        <is>
          <t>construction_tools_safety</t>
        </is>
      </c>
      <c r="F2440" t="n">
        <v>1</v>
      </c>
      <c r="G2440" t="n">
        <v>140.99</v>
      </c>
      <c r="H2440" t="n">
        <v>14.01</v>
      </c>
      <c r="I2440" t="inlineStr">
        <is>
          <t>credit_card</t>
        </is>
      </c>
      <c r="J2440" t="n">
        <v>9</v>
      </c>
      <c r="K2440" t="inlineStr">
        <is>
          <t>On Time</t>
        </is>
      </c>
      <c r="L2440" t="n">
        <v>4</v>
      </c>
      <c r="M2440">
        <f>VLOOKUP(D2440,State_Lookup!$A$2:$B$28,2,FALSE)</f>
        <v/>
      </c>
    </row>
    <row r="2441">
      <c r="A2441" t="inlineStr">
        <is>
          <t>49afe75c3c09b9e94e1456ffa5e67ff4</t>
        </is>
      </c>
      <c r="B2441" t="inlineStr">
        <is>
          <t>2018-01-13</t>
        </is>
      </c>
      <c r="C2441" t="inlineStr">
        <is>
          <t>2018-01</t>
        </is>
      </c>
      <c r="D2441" t="inlineStr">
        <is>
          <t>SP</t>
        </is>
      </c>
      <c r="E2441" t="inlineStr">
        <is>
          <t>unknown</t>
        </is>
      </c>
      <c r="F2441" t="n">
        <v>1</v>
      </c>
      <c r="G2441" t="n">
        <v>21.1</v>
      </c>
      <c r="H2441" t="n">
        <v>9.34</v>
      </c>
      <c r="I2441" t="inlineStr">
        <is>
          <t>credit_card</t>
        </is>
      </c>
      <c r="J2441" t="n">
        <v>5</v>
      </c>
      <c r="K2441" t="inlineStr">
        <is>
          <t>On Time</t>
        </is>
      </c>
      <c r="L2441" t="n">
        <v>5</v>
      </c>
      <c r="M2441">
        <f>VLOOKUP(D2441,State_Lookup!$A$2:$B$28,2,FALSE)</f>
        <v/>
      </c>
    </row>
    <row r="2442">
      <c r="A2442" t="inlineStr">
        <is>
          <t>ecbfdf489fbd7cfdb3598186d8891670</t>
        </is>
      </c>
      <c r="B2442" t="inlineStr">
        <is>
          <t>2018-01-13</t>
        </is>
      </c>
      <c r="C2442" t="inlineStr">
        <is>
          <t>2018-01</t>
        </is>
      </c>
      <c r="D2442" t="inlineStr">
        <is>
          <t>ES</t>
        </is>
      </c>
      <c r="E2442" t="inlineStr">
        <is>
          <t>sports_leisure</t>
        </is>
      </c>
      <c r="F2442" t="n">
        <v>1</v>
      </c>
      <c r="G2442" t="n">
        <v>81</v>
      </c>
      <c r="H2442" t="n">
        <v>16.33</v>
      </c>
      <c r="I2442" t="inlineStr">
        <is>
          <t>credit_card</t>
        </is>
      </c>
      <c r="J2442" t="n">
        <v>10</v>
      </c>
      <c r="K2442" t="inlineStr">
        <is>
          <t>On Time</t>
        </is>
      </c>
      <c r="L2442" t="n">
        <v>4</v>
      </c>
      <c r="M2442">
        <f>VLOOKUP(D2442,State_Lookup!$A$2:$B$28,2,FALSE)</f>
        <v/>
      </c>
    </row>
    <row r="2443">
      <c r="A2443" t="inlineStr">
        <is>
          <t>79186d3a09b1799222f2860be082e832</t>
        </is>
      </c>
      <c r="B2443" t="inlineStr">
        <is>
          <t>2018-01-13</t>
        </is>
      </c>
      <c r="C2443" t="inlineStr">
        <is>
          <t>2018-01</t>
        </is>
      </c>
      <c r="D2443" t="inlineStr">
        <is>
          <t>SP</t>
        </is>
      </c>
      <c r="E2443" t="inlineStr">
        <is>
          <t>sports_leisure</t>
        </is>
      </c>
      <c r="F2443" t="n">
        <v>1</v>
      </c>
      <c r="G2443" t="n">
        <v>22.5</v>
      </c>
      <c r="H2443" t="n">
        <v>17.06</v>
      </c>
      <c r="I2443" t="inlineStr">
        <is>
          <t>credit_card</t>
        </is>
      </c>
      <c r="J2443" t="n">
        <v>11</v>
      </c>
      <c r="K2443" t="inlineStr">
        <is>
          <t>On Time</t>
        </is>
      </c>
      <c r="L2443" t="n">
        <v>3</v>
      </c>
      <c r="M2443">
        <f>VLOOKUP(D2443,State_Lookup!$A$2:$B$28,2,FALSE)</f>
        <v/>
      </c>
    </row>
    <row r="2444">
      <c r="A2444" t="inlineStr">
        <is>
          <t>028aa7c930356788f861ed1b7f984819</t>
        </is>
      </c>
      <c r="B2444" t="inlineStr">
        <is>
          <t>2018-01-13</t>
        </is>
      </c>
      <c r="C2444" t="inlineStr">
        <is>
          <t>2018-01</t>
        </is>
      </c>
      <c r="D2444" t="inlineStr">
        <is>
          <t>RJ</t>
        </is>
      </c>
      <c r="E2444" t="inlineStr">
        <is>
          <t>computers_accessories</t>
        </is>
      </c>
      <c r="F2444" t="n">
        <v>1</v>
      </c>
      <c r="G2444" t="n">
        <v>39.9</v>
      </c>
      <c r="H2444" t="n">
        <v>17.63</v>
      </c>
      <c r="I2444" t="inlineStr">
        <is>
          <t>credit_card</t>
        </is>
      </c>
      <c r="J2444" t="n">
        <v>16</v>
      </c>
      <c r="K2444" t="inlineStr">
        <is>
          <t>On Time</t>
        </is>
      </c>
      <c r="L2444" t="n">
        <v>4</v>
      </c>
      <c r="M2444">
        <f>VLOOKUP(D2444,State_Lookup!$A$2:$B$28,2,FALSE)</f>
        <v/>
      </c>
    </row>
    <row r="2445">
      <c r="A2445" t="inlineStr">
        <is>
          <t>18b0e5ee71617b58ca825b6ea8d94255</t>
        </is>
      </c>
      <c r="B2445" t="inlineStr">
        <is>
          <t>2018-01-13</t>
        </is>
      </c>
      <c r="C2445" t="inlineStr">
        <is>
          <t>2018-01</t>
        </is>
      </c>
      <c r="D2445" t="inlineStr">
        <is>
          <t>SP</t>
        </is>
      </c>
      <c r="E2445" t="inlineStr">
        <is>
          <t>computers_accessories</t>
        </is>
      </c>
      <c r="F2445" t="n">
        <v>1</v>
      </c>
      <c r="G2445" t="n">
        <v>56</v>
      </c>
      <c r="H2445" t="n">
        <v>12.73</v>
      </c>
      <c r="I2445" t="inlineStr">
        <is>
          <t>boleto</t>
        </is>
      </c>
      <c r="J2445" t="n">
        <v>6</v>
      </c>
      <c r="K2445" t="inlineStr">
        <is>
          <t>On Time</t>
        </is>
      </c>
      <c r="L2445" t="n">
        <v>5</v>
      </c>
      <c r="M2445">
        <f>VLOOKUP(D2445,State_Lookup!$A$2:$B$28,2,FALSE)</f>
        <v/>
      </c>
    </row>
    <row r="2446">
      <c r="A2446" t="inlineStr">
        <is>
          <t>4bd03dd6a8e45ca2f88013cf71bd22f8</t>
        </is>
      </c>
      <c r="B2446" t="inlineStr">
        <is>
          <t>2018-01-13</t>
        </is>
      </c>
      <c r="C2446" t="inlineStr">
        <is>
          <t>2018-01</t>
        </is>
      </c>
      <c r="D2446" t="inlineStr">
        <is>
          <t>RS</t>
        </is>
      </c>
      <c r="E2446" t="inlineStr">
        <is>
          <t>sports_leisure</t>
        </is>
      </c>
      <c r="F2446" t="n">
        <v>1</v>
      </c>
      <c r="G2446" t="n">
        <v>194.99</v>
      </c>
      <c r="H2446" t="n">
        <v>27.68</v>
      </c>
      <c r="I2446" t="inlineStr">
        <is>
          <t>boleto</t>
        </is>
      </c>
      <c r="J2446" t="n">
        <v>11</v>
      </c>
      <c r="K2446" t="inlineStr">
        <is>
          <t>On Time</t>
        </is>
      </c>
      <c r="L2446" t="n">
        <v>5</v>
      </c>
      <c r="M2446">
        <f>VLOOKUP(D2446,State_Lookup!$A$2:$B$28,2,FALSE)</f>
        <v/>
      </c>
    </row>
    <row r="2447">
      <c r="A2447" t="inlineStr">
        <is>
          <t>3e94e8193697342790ce0f1f8876fdc7</t>
        </is>
      </c>
      <c r="B2447" t="inlineStr">
        <is>
          <t>2018-01-13</t>
        </is>
      </c>
      <c r="C2447" t="inlineStr">
        <is>
          <t>2018-01</t>
        </is>
      </c>
      <c r="D2447" t="inlineStr">
        <is>
          <t>SP</t>
        </is>
      </c>
      <c r="E2447" t="inlineStr">
        <is>
          <t>computers_accessories</t>
        </is>
      </c>
      <c r="F2447" t="n">
        <v>1</v>
      </c>
      <c r="G2447" t="n">
        <v>29</v>
      </c>
      <c r="H2447" t="n">
        <v>12.69</v>
      </c>
      <c r="I2447" t="inlineStr">
        <is>
          <t>boleto</t>
        </is>
      </c>
      <c r="J2447" t="n">
        <v>10</v>
      </c>
      <c r="K2447" t="inlineStr">
        <is>
          <t>On Time</t>
        </is>
      </c>
      <c r="L2447" t="n">
        <v>5</v>
      </c>
      <c r="M2447">
        <f>VLOOKUP(D2447,State_Lookup!$A$2:$B$28,2,FALSE)</f>
        <v/>
      </c>
    </row>
    <row r="2448">
      <c r="A2448" t="inlineStr">
        <is>
          <t>103e18e9325ee41d8cfa4902f8abc16f</t>
        </is>
      </c>
      <c r="B2448" t="inlineStr">
        <is>
          <t>2018-01-14</t>
        </is>
      </c>
      <c r="C2448" t="inlineStr">
        <is>
          <t>2018-01</t>
        </is>
      </c>
      <c r="D2448" t="inlineStr">
        <is>
          <t>SP</t>
        </is>
      </c>
      <c r="E2448" t="inlineStr">
        <is>
          <t>housewares</t>
        </is>
      </c>
      <c r="F2448" t="n">
        <v>1</v>
      </c>
      <c r="G2448" t="n">
        <v>189.9</v>
      </c>
      <c r="H2448" t="n">
        <v>14.35</v>
      </c>
      <c r="I2448" t="inlineStr">
        <is>
          <t>credit_card</t>
        </is>
      </c>
      <c r="J2448" t="n">
        <v>10</v>
      </c>
      <c r="K2448" t="inlineStr">
        <is>
          <t>On Time</t>
        </is>
      </c>
      <c r="L2448" t="n">
        <v>5</v>
      </c>
      <c r="M2448">
        <f>VLOOKUP(D2448,State_Lookup!$A$2:$B$28,2,FALSE)</f>
        <v/>
      </c>
    </row>
    <row r="2449">
      <c r="A2449" t="inlineStr">
        <is>
          <t>c5169d427c5a1a403a3eab0ca8d375fe</t>
        </is>
      </c>
      <c r="B2449" t="inlineStr">
        <is>
          <t>2018-01-14</t>
        </is>
      </c>
      <c r="C2449" t="inlineStr">
        <is>
          <t>2018-01</t>
        </is>
      </c>
      <c r="D2449" t="inlineStr">
        <is>
          <t>RJ</t>
        </is>
      </c>
      <c r="E2449" t="inlineStr">
        <is>
          <t>auto</t>
        </is>
      </c>
      <c r="F2449" t="n">
        <v>1</v>
      </c>
      <c r="G2449" t="n">
        <v>179.49</v>
      </c>
      <c r="H2449" t="n">
        <v>15.01</v>
      </c>
      <c r="I2449" t="inlineStr">
        <is>
          <t>boleto</t>
        </is>
      </c>
      <c r="J2449" t="n">
        <v>12</v>
      </c>
      <c r="K2449" t="inlineStr">
        <is>
          <t>On Time</t>
        </is>
      </c>
      <c r="L2449" t="n">
        <v>3</v>
      </c>
      <c r="M2449">
        <f>VLOOKUP(D2449,State_Lookup!$A$2:$B$28,2,FALSE)</f>
        <v/>
      </c>
    </row>
    <row r="2450">
      <c r="A2450" t="inlineStr">
        <is>
          <t>d8616719eeea1779ffc680fea646f9a3</t>
        </is>
      </c>
      <c r="B2450" t="inlineStr">
        <is>
          <t>2018-01-14</t>
        </is>
      </c>
      <c r="C2450" t="inlineStr">
        <is>
          <t>2018-01</t>
        </is>
      </c>
      <c r="D2450" t="inlineStr">
        <is>
          <t>SP</t>
        </is>
      </c>
      <c r="E2450" t="inlineStr">
        <is>
          <t>computers_accessories</t>
        </is>
      </c>
      <c r="F2450" t="n">
        <v>1</v>
      </c>
      <c r="G2450" t="n">
        <v>31.9</v>
      </c>
      <c r="H2450" t="n">
        <v>15.1</v>
      </c>
      <c r="I2450" t="inlineStr">
        <is>
          <t>credit_card</t>
        </is>
      </c>
      <c r="J2450" t="n">
        <v>14</v>
      </c>
      <c r="K2450" t="inlineStr">
        <is>
          <t>On Time</t>
        </is>
      </c>
      <c r="L2450" t="n">
        <v>5</v>
      </c>
      <c r="M2450">
        <f>VLOOKUP(D2450,State_Lookup!$A$2:$B$28,2,FALSE)</f>
        <v/>
      </c>
    </row>
    <row r="2451">
      <c r="A2451" t="inlineStr">
        <is>
          <t>cc1b834e8d019a8c71e3c3b1a23edc61</t>
        </is>
      </c>
      <c r="B2451" t="inlineStr">
        <is>
          <t>2018-01-14</t>
        </is>
      </c>
      <c r="C2451" t="inlineStr">
        <is>
          <t>2018-01</t>
        </is>
      </c>
      <c r="D2451" t="inlineStr">
        <is>
          <t>GO</t>
        </is>
      </c>
      <c r="E2451" t="inlineStr">
        <is>
          <t>baby</t>
        </is>
      </c>
      <c r="F2451" t="n">
        <v>1</v>
      </c>
      <c r="G2451" t="n">
        <v>59.9</v>
      </c>
      <c r="H2451" t="n">
        <v>15.86</v>
      </c>
      <c r="I2451" t="inlineStr">
        <is>
          <t>credit_card</t>
        </is>
      </c>
      <c r="J2451" t="n">
        <v>15</v>
      </c>
      <c r="K2451" t="inlineStr">
        <is>
          <t>On Time</t>
        </is>
      </c>
      <c r="L2451" t="n">
        <v>3.5</v>
      </c>
      <c r="M2451">
        <f>VLOOKUP(D2451,State_Lookup!$A$2:$B$28,2,FALSE)</f>
        <v/>
      </c>
    </row>
    <row r="2452">
      <c r="A2452" t="inlineStr">
        <is>
          <t>34e6d418f368f8079ae152bc178bc66a</t>
        </is>
      </c>
      <c r="B2452" t="inlineStr">
        <is>
          <t>2018-01-14</t>
        </is>
      </c>
      <c r="C2452" t="inlineStr">
        <is>
          <t>2018-01</t>
        </is>
      </c>
      <c r="D2452" t="inlineStr">
        <is>
          <t>PR</t>
        </is>
      </c>
      <c r="E2452" t="inlineStr">
        <is>
          <t>health_beauty</t>
        </is>
      </c>
      <c r="F2452" t="n">
        <v>1</v>
      </c>
      <c r="G2452" t="n">
        <v>33.8</v>
      </c>
      <c r="H2452" t="n">
        <v>15.1</v>
      </c>
      <c r="I2452" t="inlineStr">
        <is>
          <t>credit_card</t>
        </is>
      </c>
      <c r="J2452" t="n">
        <v>16</v>
      </c>
      <c r="K2452" t="inlineStr">
        <is>
          <t>On Time</t>
        </is>
      </c>
      <c r="L2452" t="n">
        <v>3</v>
      </c>
      <c r="M2452">
        <f>VLOOKUP(D2452,State_Lookup!$A$2:$B$28,2,FALSE)</f>
        <v/>
      </c>
    </row>
    <row r="2453">
      <c r="A2453" t="inlineStr">
        <is>
          <t>e3e2ca5afeb7f8dc5e95b1633d8cd6b1</t>
        </is>
      </c>
      <c r="B2453" t="inlineStr">
        <is>
          <t>2018-01-14</t>
        </is>
      </c>
      <c r="C2453" t="inlineStr">
        <is>
          <t>2018-01</t>
        </is>
      </c>
      <c r="D2453" t="inlineStr">
        <is>
          <t>RS</t>
        </is>
      </c>
      <c r="E2453" t="inlineStr">
        <is>
          <t>housewares</t>
        </is>
      </c>
      <c r="F2453" t="n">
        <v>1</v>
      </c>
      <c r="G2453" t="n">
        <v>97</v>
      </c>
      <c r="H2453" t="n">
        <v>13.7</v>
      </c>
      <c r="I2453" t="inlineStr">
        <is>
          <t>credit_card</t>
        </is>
      </c>
      <c r="J2453" t="inlineStr"/>
      <c r="K2453" t="inlineStr">
        <is>
          <t>Not Delivered</t>
        </is>
      </c>
      <c r="L2453" t="n">
        <v>1</v>
      </c>
      <c r="M2453">
        <f>VLOOKUP(D2453,State_Lookup!$A$2:$B$28,2,FALSE)</f>
        <v/>
      </c>
    </row>
    <row r="2454">
      <c r="A2454" t="inlineStr">
        <is>
          <t>c1218efc92c0cfa49a96b164b6bc49c7</t>
        </is>
      </c>
      <c r="B2454" t="inlineStr">
        <is>
          <t>2018-01-14</t>
        </is>
      </c>
      <c r="C2454" t="inlineStr">
        <is>
          <t>2018-01</t>
        </is>
      </c>
      <c r="D2454" t="inlineStr">
        <is>
          <t>MG</t>
        </is>
      </c>
      <c r="E2454" t="inlineStr">
        <is>
          <t>bed_bath_table</t>
        </is>
      </c>
      <c r="F2454" t="n">
        <v>2</v>
      </c>
      <c r="G2454" t="n">
        <v>95.01000000000001</v>
      </c>
      <c r="H2454" t="n">
        <v>29.21</v>
      </c>
      <c r="I2454" t="inlineStr">
        <is>
          <t>credit_card</t>
        </is>
      </c>
      <c r="J2454" t="n">
        <v>10</v>
      </c>
      <c r="K2454" t="inlineStr">
        <is>
          <t>On Time</t>
        </is>
      </c>
      <c r="L2454" t="n">
        <v>1</v>
      </c>
      <c r="M2454">
        <f>VLOOKUP(D2454,State_Lookup!$A$2:$B$28,2,FALSE)</f>
        <v/>
      </c>
    </row>
    <row r="2455">
      <c r="A2455" t="inlineStr">
        <is>
          <t>d6af9770d6d713b4c3a4cd6267e9d2ea</t>
        </is>
      </c>
      <c r="B2455" t="inlineStr">
        <is>
          <t>2018-01-14</t>
        </is>
      </c>
      <c r="C2455" t="inlineStr">
        <is>
          <t>2018-01</t>
        </is>
      </c>
      <c r="D2455" t="inlineStr">
        <is>
          <t>RJ</t>
        </is>
      </c>
      <c r="E2455" t="inlineStr">
        <is>
          <t>computers_accessories</t>
        </is>
      </c>
      <c r="F2455" t="n">
        <v>1</v>
      </c>
      <c r="G2455" t="n">
        <v>89.90000000000001</v>
      </c>
      <c r="H2455" t="n">
        <v>17.07</v>
      </c>
      <c r="I2455" t="inlineStr">
        <is>
          <t>boleto</t>
        </is>
      </c>
      <c r="J2455" t="n">
        <v>16</v>
      </c>
      <c r="K2455" t="inlineStr">
        <is>
          <t>On Time</t>
        </is>
      </c>
      <c r="L2455" t="n">
        <v>5</v>
      </c>
      <c r="M2455">
        <f>VLOOKUP(D2455,State_Lookup!$A$2:$B$28,2,FALSE)</f>
        <v/>
      </c>
    </row>
    <row r="2456">
      <c r="A2456" t="inlineStr">
        <is>
          <t>c7bd1a3c1d8c727292184ef4f919c9ca</t>
        </is>
      </c>
      <c r="B2456" t="inlineStr">
        <is>
          <t>2018-01-14</t>
        </is>
      </c>
      <c r="C2456" t="inlineStr">
        <is>
          <t>2018-01</t>
        </is>
      </c>
      <c r="D2456" t="inlineStr">
        <is>
          <t>MG</t>
        </is>
      </c>
      <c r="E2456" t="inlineStr">
        <is>
          <t>stationery</t>
        </is>
      </c>
      <c r="F2456" t="n">
        <v>1</v>
      </c>
      <c r="G2456" t="n">
        <v>46.9</v>
      </c>
      <c r="H2456" t="n">
        <v>16.11</v>
      </c>
      <c r="I2456" t="inlineStr">
        <is>
          <t>credit_card</t>
        </is>
      </c>
      <c r="J2456" t="n">
        <v>11</v>
      </c>
      <c r="K2456" t="inlineStr">
        <is>
          <t>On Time</t>
        </is>
      </c>
      <c r="L2456" t="n">
        <v>1</v>
      </c>
      <c r="M2456">
        <f>VLOOKUP(D2456,State_Lookup!$A$2:$B$28,2,FALSE)</f>
        <v/>
      </c>
    </row>
    <row r="2457">
      <c r="A2457" t="inlineStr">
        <is>
          <t>d1588d441c1e70c5a7997c91a6e1ca37</t>
        </is>
      </c>
      <c r="B2457" t="inlineStr">
        <is>
          <t>2018-01-14</t>
        </is>
      </c>
      <c r="C2457" t="inlineStr">
        <is>
          <t>2018-01</t>
        </is>
      </c>
      <c r="D2457" t="inlineStr">
        <is>
          <t>SP</t>
        </is>
      </c>
      <c r="E2457" t="inlineStr">
        <is>
          <t>furniture_decor</t>
        </is>
      </c>
      <c r="F2457" t="n">
        <v>1</v>
      </c>
      <c r="G2457" t="n">
        <v>69.90000000000001</v>
      </c>
      <c r="H2457" t="n">
        <v>13.08</v>
      </c>
      <c r="I2457" t="inlineStr">
        <is>
          <t>credit_card</t>
        </is>
      </c>
      <c r="J2457" t="n">
        <v>2</v>
      </c>
      <c r="K2457" t="inlineStr">
        <is>
          <t>On Time</t>
        </is>
      </c>
      <c r="L2457" t="n">
        <v>4</v>
      </c>
      <c r="M2457">
        <f>VLOOKUP(D2457,State_Lookup!$A$2:$B$28,2,FALSE)</f>
        <v/>
      </c>
    </row>
    <row r="2458">
      <c r="A2458" t="inlineStr">
        <is>
          <t>deb65bf7b9297aaa6cb47853deed4e0b</t>
        </is>
      </c>
      <c r="B2458" t="inlineStr">
        <is>
          <t>2018-01-14</t>
        </is>
      </c>
      <c r="C2458" t="inlineStr">
        <is>
          <t>2018-01</t>
        </is>
      </c>
      <c r="D2458" t="inlineStr">
        <is>
          <t>SP</t>
        </is>
      </c>
      <c r="E2458" t="inlineStr">
        <is>
          <t>bed_bath_table</t>
        </is>
      </c>
      <c r="F2458" t="n">
        <v>2</v>
      </c>
      <c r="G2458" t="n">
        <v>164.79</v>
      </c>
      <c r="H2458" t="n">
        <v>24.14</v>
      </c>
      <c r="I2458" t="inlineStr">
        <is>
          <t>credit_card</t>
        </is>
      </c>
      <c r="J2458" t="n">
        <v>8</v>
      </c>
      <c r="K2458" t="inlineStr">
        <is>
          <t>On Time</t>
        </is>
      </c>
      <c r="L2458" t="n">
        <v>3</v>
      </c>
      <c r="M2458">
        <f>VLOOKUP(D2458,State_Lookup!$A$2:$B$28,2,FALSE)</f>
        <v/>
      </c>
    </row>
    <row r="2459">
      <c r="A2459" t="inlineStr">
        <is>
          <t>883fdce7fa0a4c3f8cbee2c10f7cfc08</t>
        </is>
      </c>
      <c r="B2459" t="inlineStr">
        <is>
          <t>2018-01-15</t>
        </is>
      </c>
      <c r="C2459" t="inlineStr">
        <is>
          <t>2018-01</t>
        </is>
      </c>
      <c r="D2459" t="inlineStr">
        <is>
          <t>MG</t>
        </is>
      </c>
      <c r="E2459" t="inlineStr">
        <is>
          <t>stationery</t>
        </is>
      </c>
      <c r="F2459" t="n">
        <v>1</v>
      </c>
      <c r="G2459" t="n">
        <v>59.9</v>
      </c>
      <c r="H2459" t="n">
        <v>8.109999999999999</v>
      </c>
      <c r="I2459" t="inlineStr">
        <is>
          <t>credit_card</t>
        </is>
      </c>
      <c r="J2459" t="n">
        <v>4</v>
      </c>
      <c r="K2459" t="inlineStr">
        <is>
          <t>On Time</t>
        </is>
      </c>
      <c r="L2459" t="n">
        <v>5</v>
      </c>
      <c r="M2459">
        <f>VLOOKUP(D2459,State_Lookup!$A$2:$B$28,2,FALSE)</f>
        <v/>
      </c>
    </row>
    <row r="2460">
      <c r="A2460" t="inlineStr">
        <is>
          <t>138154e59536bfac1cccbc4198385c08</t>
        </is>
      </c>
      <c r="B2460" t="inlineStr">
        <is>
          <t>2018-01-15</t>
        </is>
      </c>
      <c r="C2460" t="inlineStr">
        <is>
          <t>2018-01</t>
        </is>
      </c>
      <c r="D2460" t="inlineStr">
        <is>
          <t>SP</t>
        </is>
      </c>
      <c r="E2460" t="inlineStr">
        <is>
          <t>market_place</t>
        </is>
      </c>
      <c r="F2460" t="n">
        <v>1</v>
      </c>
      <c r="G2460" t="n">
        <v>32.3</v>
      </c>
      <c r="H2460" t="n">
        <v>15.1</v>
      </c>
      <c r="I2460" t="inlineStr">
        <is>
          <t>credit_card</t>
        </is>
      </c>
      <c r="J2460" t="n">
        <v>7</v>
      </c>
      <c r="K2460" t="inlineStr">
        <is>
          <t>On Time</t>
        </is>
      </c>
      <c r="L2460" t="n">
        <v>5</v>
      </c>
      <c r="M2460">
        <f>VLOOKUP(D2460,State_Lookup!$A$2:$B$28,2,FALSE)</f>
        <v/>
      </c>
    </row>
    <row r="2461">
      <c r="A2461" t="inlineStr">
        <is>
          <t>b17efd627b5a3689ab418e47f824cc3f</t>
        </is>
      </c>
      <c r="B2461" t="inlineStr">
        <is>
          <t>2018-01-15</t>
        </is>
      </c>
      <c r="C2461" t="inlineStr">
        <is>
          <t>2018-01</t>
        </is>
      </c>
      <c r="D2461" t="inlineStr">
        <is>
          <t>PR</t>
        </is>
      </c>
      <c r="E2461" t="inlineStr">
        <is>
          <t>computers_accessories</t>
        </is>
      </c>
      <c r="F2461" t="n">
        <v>1</v>
      </c>
      <c r="G2461" t="n">
        <v>89.90000000000001</v>
      </c>
      <c r="H2461" t="n">
        <v>8.369999999999999</v>
      </c>
      <c r="I2461" t="inlineStr">
        <is>
          <t>boleto</t>
        </is>
      </c>
      <c r="J2461" t="n">
        <v>3</v>
      </c>
      <c r="K2461" t="inlineStr">
        <is>
          <t>On Time</t>
        </is>
      </c>
      <c r="L2461" t="n">
        <v>3</v>
      </c>
      <c r="M2461">
        <f>VLOOKUP(D2461,State_Lookup!$A$2:$B$28,2,FALSE)</f>
        <v/>
      </c>
    </row>
    <row r="2462">
      <c r="A2462" t="inlineStr">
        <is>
          <t>6beca98b92f3be5d6cd909faa28b0d98</t>
        </is>
      </c>
      <c r="B2462" t="inlineStr">
        <is>
          <t>2018-01-15</t>
        </is>
      </c>
      <c r="C2462" t="inlineStr">
        <is>
          <t>2018-01</t>
        </is>
      </c>
      <c r="D2462" t="inlineStr">
        <is>
          <t>ES</t>
        </is>
      </c>
      <c r="E2462" t="inlineStr">
        <is>
          <t>health_beauty</t>
        </is>
      </c>
      <c r="F2462" t="n">
        <v>1</v>
      </c>
      <c r="G2462" t="n">
        <v>118</v>
      </c>
      <c r="H2462" t="n">
        <v>18.08</v>
      </c>
      <c r="I2462" t="inlineStr">
        <is>
          <t>credit_card</t>
        </is>
      </c>
      <c r="J2462" t="n">
        <v>10</v>
      </c>
      <c r="K2462" t="inlineStr">
        <is>
          <t>On Time</t>
        </is>
      </c>
      <c r="L2462" t="n">
        <v>5</v>
      </c>
      <c r="M2462">
        <f>VLOOKUP(D2462,State_Lookup!$A$2:$B$28,2,FALSE)</f>
        <v/>
      </c>
    </row>
    <row r="2463">
      <c r="A2463" t="inlineStr">
        <is>
          <t>bd6dce6c4936210f8fd197e2ba523fae</t>
        </is>
      </c>
      <c r="B2463" t="inlineStr">
        <is>
          <t>2018-01-15</t>
        </is>
      </c>
      <c r="C2463" t="inlineStr">
        <is>
          <t>2018-01</t>
        </is>
      </c>
      <c r="D2463" t="inlineStr">
        <is>
          <t>SC</t>
        </is>
      </c>
      <c r="E2463" t="inlineStr">
        <is>
          <t>housewares</t>
        </is>
      </c>
      <c r="F2463" t="n">
        <v>1</v>
      </c>
      <c r="G2463" t="n">
        <v>470</v>
      </c>
      <c r="H2463" t="n">
        <v>161.71</v>
      </c>
      <c r="I2463" t="inlineStr">
        <is>
          <t>boleto</t>
        </is>
      </c>
      <c r="J2463" t="n">
        <v>37</v>
      </c>
      <c r="K2463" t="inlineStr">
        <is>
          <t>Late</t>
        </is>
      </c>
      <c r="L2463" t="n">
        <v>3</v>
      </c>
      <c r="M2463">
        <f>VLOOKUP(D2463,State_Lookup!$A$2:$B$28,2,FALSE)</f>
        <v/>
      </c>
    </row>
    <row r="2464">
      <c r="A2464" t="inlineStr">
        <is>
          <t>1894d82dee0829455132dc62056cd7da</t>
        </is>
      </c>
      <c r="B2464" t="inlineStr">
        <is>
          <t>2018-01-15</t>
        </is>
      </c>
      <c r="C2464" t="inlineStr">
        <is>
          <t>2018-01</t>
        </is>
      </c>
      <c r="D2464" t="inlineStr">
        <is>
          <t>SP</t>
        </is>
      </c>
      <c r="E2464" t="inlineStr">
        <is>
          <t>health_beauty</t>
        </is>
      </c>
      <c r="F2464" t="n">
        <v>1</v>
      </c>
      <c r="G2464" t="n">
        <v>199.9</v>
      </c>
      <c r="H2464" t="n">
        <v>18.65</v>
      </c>
      <c r="I2464" t="inlineStr">
        <is>
          <t>credit_card</t>
        </is>
      </c>
      <c r="J2464" t="n">
        <v>15</v>
      </c>
      <c r="K2464" t="inlineStr">
        <is>
          <t>On Time</t>
        </is>
      </c>
      <c r="L2464" t="n">
        <v>4</v>
      </c>
      <c r="M2464">
        <f>VLOOKUP(D2464,State_Lookup!$A$2:$B$28,2,FALSE)</f>
        <v/>
      </c>
    </row>
    <row r="2465">
      <c r="A2465" t="inlineStr">
        <is>
          <t>bda372c8f4f99cac883f9f8462f5fdfd</t>
        </is>
      </c>
      <c r="B2465" t="inlineStr">
        <is>
          <t>2018-01-15</t>
        </is>
      </c>
      <c r="C2465" t="inlineStr">
        <is>
          <t>2018-01</t>
        </is>
      </c>
      <c r="D2465" t="inlineStr">
        <is>
          <t>SP</t>
        </is>
      </c>
      <c r="E2465" t="inlineStr">
        <is>
          <t>furniture_decor</t>
        </is>
      </c>
      <c r="F2465" t="n">
        <v>1</v>
      </c>
      <c r="G2465" t="n">
        <v>99.90000000000001</v>
      </c>
      <c r="H2465" t="n">
        <v>16.46</v>
      </c>
      <c r="I2465" t="inlineStr">
        <is>
          <t>credit_card</t>
        </is>
      </c>
      <c r="J2465" t="n">
        <v>13</v>
      </c>
      <c r="K2465" t="inlineStr">
        <is>
          <t>On Time</t>
        </is>
      </c>
      <c r="L2465" t="n">
        <v>5</v>
      </c>
      <c r="M2465">
        <f>VLOOKUP(D2465,State_Lookup!$A$2:$B$28,2,FALSE)</f>
        <v/>
      </c>
    </row>
    <row r="2466">
      <c r="A2466" t="inlineStr">
        <is>
          <t>393f9b061ec569fc6025870b559afdb0</t>
        </is>
      </c>
      <c r="B2466" t="inlineStr">
        <is>
          <t>2018-01-15</t>
        </is>
      </c>
      <c r="C2466" t="inlineStr">
        <is>
          <t>2018-01</t>
        </is>
      </c>
      <c r="D2466" t="inlineStr">
        <is>
          <t>RJ</t>
        </is>
      </c>
      <c r="E2466" t="inlineStr">
        <is>
          <t>sports_leisure</t>
        </is>
      </c>
      <c r="F2466" t="n">
        <v>1</v>
      </c>
      <c r="G2466" t="n">
        <v>189</v>
      </c>
      <c r="H2466" t="n">
        <v>20.81</v>
      </c>
      <c r="I2466" t="inlineStr">
        <is>
          <t>credit_card</t>
        </is>
      </c>
      <c r="J2466" t="n">
        <v>8</v>
      </c>
      <c r="K2466" t="inlineStr">
        <is>
          <t>On Time</t>
        </is>
      </c>
      <c r="L2466" t="n">
        <v>5</v>
      </c>
      <c r="M2466">
        <f>VLOOKUP(D2466,State_Lookup!$A$2:$B$28,2,FALSE)</f>
        <v/>
      </c>
    </row>
    <row r="2467">
      <c r="A2467" t="inlineStr">
        <is>
          <t>16647da0639fd5db20f1e8de9305bc5c</t>
        </is>
      </c>
      <c r="B2467" t="inlineStr">
        <is>
          <t>2018-01-15</t>
        </is>
      </c>
      <c r="C2467" t="inlineStr">
        <is>
          <t>2018-01</t>
        </is>
      </c>
      <c r="D2467" t="inlineStr">
        <is>
          <t>RN</t>
        </is>
      </c>
      <c r="E2467" t="inlineStr">
        <is>
          <t>bed_bath_table</t>
        </is>
      </c>
      <c r="F2467" t="n">
        <v>1</v>
      </c>
      <c r="G2467" t="n">
        <v>39.99</v>
      </c>
      <c r="H2467" t="n">
        <v>34.15</v>
      </c>
      <c r="I2467" t="inlineStr">
        <is>
          <t>credit_card</t>
        </is>
      </c>
      <c r="J2467" t="n">
        <v>21</v>
      </c>
      <c r="K2467" t="inlineStr">
        <is>
          <t>On Time</t>
        </is>
      </c>
      <c r="L2467" t="n">
        <v>4</v>
      </c>
      <c r="M2467">
        <f>VLOOKUP(D2467,State_Lookup!$A$2:$B$28,2,FALSE)</f>
        <v/>
      </c>
    </row>
    <row r="2468">
      <c r="A2468" t="inlineStr">
        <is>
          <t>524373cdfe081410364850a83583b23f</t>
        </is>
      </c>
      <c r="B2468" t="inlineStr">
        <is>
          <t>2018-01-15</t>
        </is>
      </c>
      <c r="C2468" t="inlineStr">
        <is>
          <t>2018-01</t>
        </is>
      </c>
      <c r="D2468" t="inlineStr">
        <is>
          <t>MG</t>
        </is>
      </c>
      <c r="E2468" t="inlineStr">
        <is>
          <t>sports_leisure</t>
        </is>
      </c>
      <c r="F2468" t="n">
        <v>1</v>
      </c>
      <c r="G2468" t="n">
        <v>69.90000000000001</v>
      </c>
      <c r="H2468" t="n">
        <v>15.24</v>
      </c>
      <c r="I2468" t="inlineStr">
        <is>
          <t>credit_card</t>
        </is>
      </c>
      <c r="J2468" t="n">
        <v>8</v>
      </c>
      <c r="K2468" t="inlineStr">
        <is>
          <t>On Time</t>
        </is>
      </c>
      <c r="L2468" t="n">
        <v>4</v>
      </c>
      <c r="M2468">
        <f>VLOOKUP(D2468,State_Lookup!$A$2:$B$28,2,FALSE)</f>
        <v/>
      </c>
    </row>
    <row r="2469">
      <c r="A2469" t="inlineStr">
        <is>
          <t>c00ec2c5d2f145b694e4f478c71c5711</t>
        </is>
      </c>
      <c r="B2469" t="inlineStr">
        <is>
          <t>2018-01-15</t>
        </is>
      </c>
      <c r="C2469" t="inlineStr">
        <is>
          <t>2018-01</t>
        </is>
      </c>
      <c r="D2469" t="inlineStr">
        <is>
          <t>SP</t>
        </is>
      </c>
      <c r="E2469" t="inlineStr">
        <is>
          <t>telephony</t>
        </is>
      </c>
      <c r="F2469" t="n">
        <v>1</v>
      </c>
      <c r="G2469" t="n">
        <v>688</v>
      </c>
      <c r="H2469" t="n">
        <v>16.32</v>
      </c>
      <c r="I2469" t="inlineStr">
        <is>
          <t>credit_card</t>
        </is>
      </c>
      <c r="J2469" t="n">
        <v>7</v>
      </c>
      <c r="K2469" t="inlineStr">
        <is>
          <t>On Time</t>
        </is>
      </c>
      <c r="L2469" t="n">
        <v>5</v>
      </c>
      <c r="M2469">
        <f>VLOOKUP(D2469,State_Lookup!$A$2:$B$28,2,FALSE)</f>
        <v/>
      </c>
    </row>
    <row r="2470">
      <c r="A2470" t="inlineStr">
        <is>
          <t>20f6d173df627e8c6f72650504ddfa7c</t>
        </is>
      </c>
      <c r="B2470" t="inlineStr">
        <is>
          <t>2018-01-15</t>
        </is>
      </c>
      <c r="C2470" t="inlineStr">
        <is>
          <t>2018-01</t>
        </is>
      </c>
      <c r="D2470" t="inlineStr">
        <is>
          <t>DF</t>
        </is>
      </c>
      <c r="E2470" t="inlineStr">
        <is>
          <t>perfumery</t>
        </is>
      </c>
      <c r="F2470" t="n">
        <v>1</v>
      </c>
      <c r="G2470" t="n">
        <v>49.9</v>
      </c>
      <c r="H2470" t="n">
        <v>15.1</v>
      </c>
      <c r="I2470" t="inlineStr">
        <is>
          <t>boleto</t>
        </is>
      </c>
      <c r="J2470" t="n">
        <v>9</v>
      </c>
      <c r="K2470" t="inlineStr">
        <is>
          <t>On Time</t>
        </is>
      </c>
      <c r="L2470" t="n">
        <v>5</v>
      </c>
      <c r="M2470">
        <f>VLOOKUP(D2470,State_Lookup!$A$2:$B$28,2,FALSE)</f>
        <v/>
      </c>
    </row>
    <row r="2471">
      <c r="A2471" t="inlineStr">
        <is>
          <t>09e1adca3506ecf15eefdb37196f2515</t>
        </is>
      </c>
      <c r="B2471" t="inlineStr">
        <is>
          <t>2018-01-15</t>
        </is>
      </c>
      <c r="C2471" t="inlineStr">
        <is>
          <t>2018-01</t>
        </is>
      </c>
      <c r="D2471" t="inlineStr">
        <is>
          <t>SP</t>
        </is>
      </c>
      <c r="E2471" t="inlineStr">
        <is>
          <t>sports_leisure</t>
        </is>
      </c>
      <c r="F2471" t="n">
        <v>1</v>
      </c>
      <c r="G2471" t="n">
        <v>21.05</v>
      </c>
      <c r="H2471" t="n">
        <v>11.85</v>
      </c>
      <c r="I2471" t="inlineStr">
        <is>
          <t>credit_card</t>
        </is>
      </c>
      <c r="J2471" t="n">
        <v>7</v>
      </c>
      <c r="K2471" t="inlineStr">
        <is>
          <t>On Time</t>
        </is>
      </c>
      <c r="L2471" t="n">
        <v>5</v>
      </c>
      <c r="M2471">
        <f>VLOOKUP(D2471,State_Lookup!$A$2:$B$28,2,FALSE)</f>
        <v/>
      </c>
    </row>
    <row r="2472">
      <c r="A2472" t="inlineStr">
        <is>
          <t>e06a1ec7a71b079fca2cd43d67dbed30</t>
        </is>
      </c>
      <c r="B2472" t="inlineStr">
        <is>
          <t>2018-01-15</t>
        </is>
      </c>
      <c r="C2472" t="inlineStr">
        <is>
          <t>2018-01</t>
        </is>
      </c>
      <c r="D2472" t="inlineStr">
        <is>
          <t>GO</t>
        </is>
      </c>
      <c r="E2472" t="inlineStr">
        <is>
          <t>sports_leisure</t>
        </is>
      </c>
      <c r="F2472" t="n">
        <v>1</v>
      </c>
      <c r="G2472" t="n">
        <v>120</v>
      </c>
      <c r="H2472" t="n">
        <v>16.6</v>
      </c>
      <c r="I2472" t="inlineStr">
        <is>
          <t>boleto</t>
        </is>
      </c>
      <c r="J2472" t="n">
        <v>14</v>
      </c>
      <c r="K2472" t="inlineStr">
        <is>
          <t>On Time</t>
        </is>
      </c>
      <c r="L2472" t="n">
        <v>4</v>
      </c>
      <c r="M2472">
        <f>VLOOKUP(D2472,State_Lookup!$A$2:$B$28,2,FALSE)</f>
        <v/>
      </c>
    </row>
    <row r="2473">
      <c r="A2473" t="inlineStr">
        <is>
          <t>c1e057b24816b20c350825a55dcfb11b</t>
        </is>
      </c>
      <c r="B2473" t="inlineStr">
        <is>
          <t>2018-01-15</t>
        </is>
      </c>
      <c r="C2473" t="inlineStr">
        <is>
          <t>2018-01</t>
        </is>
      </c>
      <c r="D2473" t="inlineStr">
        <is>
          <t>BA</t>
        </is>
      </c>
      <c r="E2473" t="inlineStr">
        <is>
          <t>electronics</t>
        </is>
      </c>
      <c r="F2473" t="n">
        <v>1</v>
      </c>
      <c r="G2473" t="n">
        <v>38.99</v>
      </c>
      <c r="H2473" t="n">
        <v>16.79</v>
      </c>
      <c r="I2473" t="inlineStr">
        <is>
          <t>credit_card</t>
        </is>
      </c>
      <c r="J2473" t="n">
        <v>21</v>
      </c>
      <c r="K2473" t="inlineStr">
        <is>
          <t>On Time</t>
        </is>
      </c>
      <c r="L2473" t="n">
        <v>5</v>
      </c>
      <c r="M2473">
        <f>VLOOKUP(D2473,State_Lookup!$A$2:$B$28,2,FALSE)</f>
        <v/>
      </c>
    </row>
    <row r="2474">
      <c r="A2474" t="inlineStr">
        <is>
          <t>f9af701b20215d529fbc24a4884ccf73</t>
        </is>
      </c>
      <c r="B2474" t="inlineStr">
        <is>
          <t>2018-01-15</t>
        </is>
      </c>
      <c r="C2474" t="inlineStr">
        <is>
          <t>2018-01</t>
        </is>
      </c>
      <c r="D2474" t="inlineStr">
        <is>
          <t>SP</t>
        </is>
      </c>
      <c r="E2474" t="inlineStr">
        <is>
          <t>sports_leisure</t>
        </is>
      </c>
      <c r="F2474" t="n">
        <v>1</v>
      </c>
      <c r="G2474" t="n">
        <v>99.90000000000001</v>
      </c>
      <c r="H2474" t="n">
        <v>16.46</v>
      </c>
      <c r="I2474" t="inlineStr">
        <is>
          <t>boleto</t>
        </is>
      </c>
      <c r="J2474" t="n">
        <v>16</v>
      </c>
      <c r="K2474" t="inlineStr">
        <is>
          <t>On Time</t>
        </is>
      </c>
      <c r="L2474" t="n">
        <v>5</v>
      </c>
      <c r="M2474">
        <f>VLOOKUP(D2474,State_Lookup!$A$2:$B$28,2,FALSE)</f>
        <v/>
      </c>
    </row>
    <row r="2475">
      <c r="A2475" t="inlineStr">
        <is>
          <t>3aea5a83ca5bc41e6ecd21afd19bbd81</t>
        </is>
      </c>
      <c r="B2475" t="inlineStr">
        <is>
          <t>2018-01-15</t>
        </is>
      </c>
      <c r="C2475" t="inlineStr">
        <is>
          <t>2018-01</t>
        </is>
      </c>
      <c r="D2475" t="inlineStr">
        <is>
          <t>CE</t>
        </is>
      </c>
      <c r="E2475" t="inlineStr">
        <is>
          <t>watches_gifts</t>
        </is>
      </c>
      <c r="F2475" t="n">
        <v>1</v>
      </c>
      <c r="G2475" t="n">
        <v>179.99</v>
      </c>
      <c r="H2475" t="n">
        <v>26.54</v>
      </c>
      <c r="I2475" t="inlineStr">
        <is>
          <t>credit_card</t>
        </is>
      </c>
      <c r="J2475" t="n">
        <v>22</v>
      </c>
      <c r="K2475" t="inlineStr">
        <is>
          <t>On Time</t>
        </is>
      </c>
      <c r="L2475" t="n">
        <v>5</v>
      </c>
      <c r="M2475">
        <f>VLOOKUP(D2475,State_Lookup!$A$2:$B$28,2,FALSE)</f>
        <v/>
      </c>
    </row>
    <row r="2476">
      <c r="A2476" t="inlineStr">
        <is>
          <t>4c44a8ec249fe349a7e4edb44665bdd4</t>
        </is>
      </c>
      <c r="B2476" t="inlineStr">
        <is>
          <t>2018-01-15</t>
        </is>
      </c>
      <c r="C2476" t="inlineStr">
        <is>
          <t>2018-01</t>
        </is>
      </c>
      <c r="D2476" t="inlineStr">
        <is>
          <t>DF</t>
        </is>
      </c>
      <c r="E2476" t="inlineStr">
        <is>
          <t>watches_gifts</t>
        </is>
      </c>
      <c r="F2476" t="n">
        <v>1</v>
      </c>
      <c r="G2476" t="n">
        <v>200</v>
      </c>
      <c r="H2476" t="n">
        <v>16.15</v>
      </c>
      <c r="I2476" t="inlineStr">
        <is>
          <t>credit_card</t>
        </is>
      </c>
      <c r="J2476" t="n">
        <v>7</v>
      </c>
      <c r="K2476" t="inlineStr">
        <is>
          <t>On Time</t>
        </is>
      </c>
      <c r="L2476" t="n">
        <v>5</v>
      </c>
      <c r="M2476">
        <f>VLOOKUP(D2476,State_Lookup!$A$2:$B$28,2,FALSE)</f>
        <v/>
      </c>
    </row>
    <row r="2477">
      <c r="A2477" t="inlineStr">
        <is>
          <t>39d83b95ee59584c2232febd3336f1e5</t>
        </is>
      </c>
      <c r="B2477" t="inlineStr">
        <is>
          <t>2018-01-15</t>
        </is>
      </c>
      <c r="C2477" t="inlineStr">
        <is>
          <t>2018-01</t>
        </is>
      </c>
      <c r="D2477" t="inlineStr">
        <is>
          <t>RS</t>
        </is>
      </c>
      <c r="E2477" t="inlineStr">
        <is>
          <t>stationery</t>
        </is>
      </c>
      <c r="F2477" t="n">
        <v>1</v>
      </c>
      <c r="G2477" t="n">
        <v>139</v>
      </c>
      <c r="H2477" t="n">
        <v>18.22</v>
      </c>
      <c r="I2477" t="inlineStr">
        <is>
          <t>credit_card</t>
        </is>
      </c>
      <c r="J2477" t="n">
        <v>46</v>
      </c>
      <c r="K2477" t="inlineStr">
        <is>
          <t>Late</t>
        </is>
      </c>
      <c r="L2477" t="n">
        <v>4</v>
      </c>
      <c r="M2477">
        <f>VLOOKUP(D2477,State_Lookup!$A$2:$B$28,2,FALSE)</f>
        <v/>
      </c>
    </row>
    <row r="2478">
      <c r="A2478" t="inlineStr">
        <is>
          <t>33e5224f58fe2ca5d11f07b36f3fb6ec</t>
        </is>
      </c>
      <c r="B2478" t="inlineStr">
        <is>
          <t>2018-01-15</t>
        </is>
      </c>
      <c r="C2478" t="inlineStr">
        <is>
          <t>2018-01</t>
        </is>
      </c>
      <c r="D2478" t="inlineStr">
        <is>
          <t>MG</t>
        </is>
      </c>
      <c r="E2478" t="inlineStr">
        <is>
          <t>computers_accessories</t>
        </is>
      </c>
      <c r="F2478" t="n">
        <v>1</v>
      </c>
      <c r="G2478" t="n">
        <v>79.90000000000001</v>
      </c>
      <c r="H2478" t="n">
        <v>17</v>
      </c>
      <c r="I2478" t="inlineStr">
        <is>
          <t>credit_card</t>
        </is>
      </c>
      <c r="J2478" t="n">
        <v>14</v>
      </c>
      <c r="K2478" t="inlineStr">
        <is>
          <t>On Time</t>
        </is>
      </c>
      <c r="L2478" t="n">
        <v>5</v>
      </c>
      <c r="M2478">
        <f>VLOOKUP(D2478,State_Lookup!$A$2:$B$28,2,FALSE)</f>
        <v/>
      </c>
    </row>
    <row r="2479">
      <c r="A2479" t="inlineStr">
        <is>
          <t>08ccf73c206d15fd2668cdb6f32b5e04</t>
        </is>
      </c>
      <c r="B2479" t="inlineStr">
        <is>
          <t>2018-01-15</t>
        </is>
      </c>
      <c r="C2479" t="inlineStr">
        <is>
          <t>2018-01</t>
        </is>
      </c>
      <c r="D2479" t="inlineStr">
        <is>
          <t>MG</t>
        </is>
      </c>
      <c r="E2479" t="inlineStr">
        <is>
          <t>electronics</t>
        </is>
      </c>
      <c r="F2479" t="n">
        <v>1</v>
      </c>
      <c r="G2479" t="n">
        <v>18.9</v>
      </c>
      <c r="H2479" t="n">
        <v>16.79</v>
      </c>
      <c r="I2479" t="inlineStr">
        <is>
          <t>credit_card</t>
        </is>
      </c>
      <c r="J2479" t="n">
        <v>15</v>
      </c>
      <c r="K2479" t="inlineStr">
        <is>
          <t>On Time</t>
        </is>
      </c>
      <c r="L2479" t="n">
        <v>4</v>
      </c>
      <c r="M2479">
        <f>VLOOKUP(D2479,State_Lookup!$A$2:$B$28,2,FALSE)</f>
        <v/>
      </c>
    </row>
    <row r="2480">
      <c r="A2480" t="inlineStr">
        <is>
          <t>96eb3b1e9be34336c89369e6efa182f5</t>
        </is>
      </c>
      <c r="B2480" t="inlineStr">
        <is>
          <t>2018-01-16</t>
        </is>
      </c>
      <c r="C2480" t="inlineStr">
        <is>
          <t>2018-01</t>
        </is>
      </c>
      <c r="D2480" t="inlineStr">
        <is>
          <t>PE</t>
        </is>
      </c>
      <c r="E2480" t="inlineStr">
        <is>
          <t>health_beauty</t>
        </is>
      </c>
      <c r="F2480" t="n">
        <v>1</v>
      </c>
      <c r="G2480" t="n">
        <v>29.9</v>
      </c>
      <c r="H2480" t="n">
        <v>25.63</v>
      </c>
      <c r="I2480" t="inlineStr">
        <is>
          <t>boleto</t>
        </is>
      </c>
      <c r="J2480" t="n">
        <v>24</v>
      </c>
      <c r="K2480" t="inlineStr">
        <is>
          <t>On Time</t>
        </is>
      </c>
      <c r="L2480" t="n">
        <v>5</v>
      </c>
      <c r="M2480">
        <f>VLOOKUP(D2480,State_Lookup!$A$2:$B$28,2,FALSE)</f>
        <v/>
      </c>
    </row>
    <row r="2481">
      <c r="A2481" t="inlineStr">
        <is>
          <t>f512eafa07f2352dec6a35497bccfc65</t>
        </is>
      </c>
      <c r="B2481" t="inlineStr">
        <is>
          <t>2018-01-16</t>
        </is>
      </c>
      <c r="C2481" t="inlineStr">
        <is>
          <t>2018-01</t>
        </is>
      </c>
      <c r="D2481" t="inlineStr">
        <is>
          <t>SP</t>
        </is>
      </c>
      <c r="E2481" t="inlineStr">
        <is>
          <t>home_appliances</t>
        </is>
      </c>
      <c r="F2481" t="n">
        <v>1</v>
      </c>
      <c r="G2481" t="n">
        <v>50.4</v>
      </c>
      <c r="H2481" t="n">
        <v>11.85</v>
      </c>
      <c r="I2481" t="inlineStr">
        <is>
          <t>credit_card</t>
        </is>
      </c>
      <c r="J2481" t="n">
        <v>21</v>
      </c>
      <c r="K2481" t="inlineStr">
        <is>
          <t>On Time</t>
        </is>
      </c>
      <c r="L2481" t="n">
        <v>5</v>
      </c>
      <c r="M2481">
        <f>VLOOKUP(D2481,State_Lookup!$A$2:$B$28,2,FALSE)</f>
        <v/>
      </c>
    </row>
    <row r="2482">
      <c r="A2482" t="inlineStr">
        <is>
          <t>418018cd21bcca5f7cc37f9f17ac1466</t>
        </is>
      </c>
      <c r="B2482" t="inlineStr">
        <is>
          <t>2018-01-16</t>
        </is>
      </c>
      <c r="C2482" t="inlineStr">
        <is>
          <t>2018-01</t>
        </is>
      </c>
      <c r="D2482" t="inlineStr">
        <is>
          <t>RJ</t>
        </is>
      </c>
      <c r="E2482" t="inlineStr">
        <is>
          <t>bed_bath_table</t>
        </is>
      </c>
      <c r="F2482" t="n">
        <v>1</v>
      </c>
      <c r="G2482" t="n">
        <v>39.9</v>
      </c>
      <c r="H2482" t="n">
        <v>16.6</v>
      </c>
      <c r="I2482" t="inlineStr">
        <is>
          <t>credit_card</t>
        </is>
      </c>
      <c r="J2482" t="n">
        <v>13</v>
      </c>
      <c r="K2482" t="inlineStr">
        <is>
          <t>On Time</t>
        </is>
      </c>
      <c r="L2482" t="n">
        <v>5</v>
      </c>
      <c r="M2482">
        <f>VLOOKUP(D2482,State_Lookup!$A$2:$B$28,2,FALSE)</f>
        <v/>
      </c>
    </row>
    <row r="2483">
      <c r="A2483" t="inlineStr">
        <is>
          <t>2484292effef815afca81d5c348d769b</t>
        </is>
      </c>
      <c r="B2483" t="inlineStr">
        <is>
          <t>2018-01-16</t>
        </is>
      </c>
      <c r="C2483" t="inlineStr">
        <is>
          <t>2018-01</t>
        </is>
      </c>
      <c r="D2483" t="inlineStr">
        <is>
          <t>RO</t>
        </is>
      </c>
      <c r="E2483" t="inlineStr">
        <is>
          <t>office_furniture</t>
        </is>
      </c>
      <c r="F2483" t="n">
        <v>1</v>
      </c>
      <c r="G2483" t="n">
        <v>189.99</v>
      </c>
      <c r="H2483" t="n">
        <v>70.14</v>
      </c>
      <c r="I2483" t="inlineStr">
        <is>
          <t>credit_card</t>
        </is>
      </c>
      <c r="J2483" t="n">
        <v>50</v>
      </c>
      <c r="K2483" t="inlineStr">
        <is>
          <t>On Time</t>
        </is>
      </c>
      <c r="L2483" t="n">
        <v>4</v>
      </c>
      <c r="M2483">
        <f>VLOOKUP(D2483,State_Lookup!$A$2:$B$28,2,FALSE)</f>
        <v/>
      </c>
    </row>
    <row r="2484">
      <c r="A2484" t="inlineStr">
        <is>
          <t>a8e925972920153be4f6c40a5bcd630f</t>
        </is>
      </c>
      <c r="B2484" t="inlineStr">
        <is>
          <t>2018-01-16</t>
        </is>
      </c>
      <c r="C2484" t="inlineStr">
        <is>
          <t>2018-01</t>
        </is>
      </c>
      <c r="D2484" t="inlineStr">
        <is>
          <t>MG</t>
        </is>
      </c>
      <c r="E2484" t="inlineStr">
        <is>
          <t>toys</t>
        </is>
      </c>
      <c r="F2484" t="n">
        <v>1</v>
      </c>
      <c r="G2484" t="n">
        <v>259.9</v>
      </c>
      <c r="H2484" t="n">
        <v>17.26</v>
      </c>
      <c r="I2484" t="inlineStr">
        <is>
          <t>credit_card</t>
        </is>
      </c>
      <c r="J2484" t="n">
        <v>7</v>
      </c>
      <c r="K2484" t="inlineStr">
        <is>
          <t>On Time</t>
        </is>
      </c>
      <c r="L2484" t="n">
        <v>1</v>
      </c>
      <c r="M2484">
        <f>VLOOKUP(D2484,State_Lookup!$A$2:$B$28,2,FALSE)</f>
        <v/>
      </c>
    </row>
    <row r="2485">
      <c r="A2485" t="inlineStr">
        <is>
          <t>0d800c3800fa49e84cbcbd26b1dcd510</t>
        </is>
      </c>
      <c r="B2485" t="inlineStr">
        <is>
          <t>2018-01-16</t>
        </is>
      </c>
      <c r="C2485" t="inlineStr">
        <is>
          <t>2018-01</t>
        </is>
      </c>
      <c r="D2485" t="inlineStr">
        <is>
          <t>DF</t>
        </is>
      </c>
      <c r="E2485" t="inlineStr">
        <is>
          <t>sports_leisure</t>
        </is>
      </c>
      <c r="F2485" t="n">
        <v>1</v>
      </c>
      <c r="G2485" t="n">
        <v>229.99</v>
      </c>
      <c r="H2485" t="n">
        <v>17.86</v>
      </c>
      <c r="I2485" t="inlineStr">
        <is>
          <t>credit_card</t>
        </is>
      </c>
      <c r="J2485" t="n">
        <v>8</v>
      </c>
      <c r="K2485" t="inlineStr">
        <is>
          <t>On Time</t>
        </is>
      </c>
      <c r="L2485" t="n">
        <v>5</v>
      </c>
      <c r="M2485">
        <f>VLOOKUP(D2485,State_Lookup!$A$2:$B$28,2,FALSE)</f>
        <v/>
      </c>
    </row>
    <row r="2486">
      <c r="A2486" t="inlineStr">
        <is>
          <t>7a00da9515dc144e302458e696d61943</t>
        </is>
      </c>
      <c r="B2486" t="inlineStr">
        <is>
          <t>2018-01-16</t>
        </is>
      </c>
      <c r="C2486" t="inlineStr">
        <is>
          <t>2018-01</t>
        </is>
      </c>
      <c r="D2486" t="inlineStr">
        <is>
          <t>SP</t>
        </is>
      </c>
      <c r="E2486" t="inlineStr">
        <is>
          <t>consoles_games</t>
        </is>
      </c>
      <c r="F2486" t="n">
        <v>1</v>
      </c>
      <c r="G2486" t="n">
        <v>200</v>
      </c>
      <c r="H2486" t="n">
        <v>16.15</v>
      </c>
      <c r="I2486" t="inlineStr">
        <is>
          <t>debit_card</t>
        </is>
      </c>
      <c r="J2486" t="n">
        <v>5</v>
      </c>
      <c r="K2486" t="inlineStr">
        <is>
          <t>On Time</t>
        </is>
      </c>
      <c r="L2486" t="n">
        <v>5</v>
      </c>
      <c r="M2486">
        <f>VLOOKUP(D2486,State_Lookup!$A$2:$B$28,2,FALSE)</f>
        <v/>
      </c>
    </row>
    <row r="2487">
      <c r="A2487" t="inlineStr">
        <is>
          <t>df23ed2daa7af696a5334c284dbc13ba</t>
        </is>
      </c>
      <c r="B2487" t="inlineStr">
        <is>
          <t>2018-01-16</t>
        </is>
      </c>
      <c r="C2487" t="inlineStr">
        <is>
          <t>2018-01</t>
        </is>
      </c>
      <c r="D2487" t="inlineStr">
        <is>
          <t>RJ</t>
        </is>
      </c>
      <c r="E2487" t="inlineStr">
        <is>
          <t>sports_leisure</t>
        </is>
      </c>
      <c r="F2487" t="n">
        <v>1</v>
      </c>
      <c r="G2487" t="n">
        <v>39</v>
      </c>
      <c r="H2487" t="n">
        <v>15.1</v>
      </c>
      <c r="I2487" t="inlineStr">
        <is>
          <t>credit_card</t>
        </is>
      </c>
      <c r="J2487" t="n">
        <v>11</v>
      </c>
      <c r="K2487" t="inlineStr">
        <is>
          <t>On Time</t>
        </is>
      </c>
      <c r="L2487" t="n">
        <v>5</v>
      </c>
      <c r="M2487">
        <f>VLOOKUP(D2487,State_Lookup!$A$2:$B$28,2,FALSE)</f>
        <v/>
      </c>
    </row>
    <row r="2488">
      <c r="A2488" t="inlineStr">
        <is>
          <t>6ed043d494d076830babf38c25630d86</t>
        </is>
      </c>
      <c r="B2488" t="inlineStr">
        <is>
          <t>2018-01-16</t>
        </is>
      </c>
      <c r="C2488" t="inlineStr">
        <is>
          <t>2018-01</t>
        </is>
      </c>
      <c r="D2488" t="inlineStr">
        <is>
          <t>SP</t>
        </is>
      </c>
      <c r="E2488" t="inlineStr">
        <is>
          <t>furniture_decor</t>
        </is>
      </c>
      <c r="F2488" t="n">
        <v>4</v>
      </c>
      <c r="G2488" t="n">
        <v>286.9</v>
      </c>
      <c r="H2488" t="n">
        <v>54.62</v>
      </c>
      <c r="I2488" t="inlineStr">
        <is>
          <t>credit_card</t>
        </is>
      </c>
      <c r="J2488" t="n">
        <v>1</v>
      </c>
      <c r="K2488" t="inlineStr">
        <is>
          <t>On Time</t>
        </is>
      </c>
      <c r="L2488" t="n">
        <v>2</v>
      </c>
      <c r="M2488">
        <f>VLOOKUP(D2488,State_Lookup!$A$2:$B$28,2,FALSE)</f>
        <v/>
      </c>
    </row>
    <row r="2489">
      <c r="A2489" t="inlineStr">
        <is>
          <t>570bfe053ed74671bd9bd9505fa1c785</t>
        </is>
      </c>
      <c r="B2489" t="inlineStr">
        <is>
          <t>2018-01-16</t>
        </is>
      </c>
      <c r="C2489" t="inlineStr">
        <is>
          <t>2018-01</t>
        </is>
      </c>
      <c r="D2489" t="inlineStr">
        <is>
          <t>MG</t>
        </is>
      </c>
      <c r="E2489" t="inlineStr">
        <is>
          <t>sports_leisure</t>
        </is>
      </c>
      <c r="F2489" t="n">
        <v>1</v>
      </c>
      <c r="G2489" t="n">
        <v>168.99</v>
      </c>
      <c r="H2489" t="n">
        <v>15.93</v>
      </c>
      <c r="I2489" t="inlineStr">
        <is>
          <t>credit_card</t>
        </is>
      </c>
      <c r="J2489" t="n">
        <v>8</v>
      </c>
      <c r="K2489" t="inlineStr">
        <is>
          <t>On Time</t>
        </is>
      </c>
      <c r="L2489" t="n">
        <v>5</v>
      </c>
      <c r="M2489">
        <f>VLOOKUP(D2489,State_Lookup!$A$2:$B$28,2,FALSE)</f>
        <v/>
      </c>
    </row>
    <row r="2490">
      <c r="A2490" t="inlineStr">
        <is>
          <t>7801e6c26c480c6f6d6b878d20000f89</t>
        </is>
      </c>
      <c r="B2490" t="inlineStr">
        <is>
          <t>2018-01-16</t>
        </is>
      </c>
      <c r="C2490" t="inlineStr">
        <is>
          <t>2018-01</t>
        </is>
      </c>
      <c r="D2490" t="inlineStr">
        <is>
          <t>SC</t>
        </is>
      </c>
      <c r="E2490" t="inlineStr">
        <is>
          <t>electronics</t>
        </is>
      </c>
      <c r="F2490" t="n">
        <v>1</v>
      </c>
      <c r="G2490" t="n">
        <v>18.9</v>
      </c>
      <c r="H2490" t="n">
        <v>15.1</v>
      </c>
      <c r="I2490" t="inlineStr">
        <is>
          <t>credit_card</t>
        </is>
      </c>
      <c r="J2490" t="n">
        <v>19</v>
      </c>
      <c r="K2490" t="inlineStr">
        <is>
          <t>On Time</t>
        </is>
      </c>
      <c r="L2490" t="n">
        <v>2</v>
      </c>
      <c r="M2490">
        <f>VLOOKUP(D2490,State_Lookup!$A$2:$B$28,2,FALSE)</f>
        <v/>
      </c>
    </row>
    <row r="2491">
      <c r="A2491" t="inlineStr">
        <is>
          <t>f1462fd2d8a35339426c88472ba32354</t>
        </is>
      </c>
      <c r="B2491" t="inlineStr">
        <is>
          <t>2018-01-16</t>
        </is>
      </c>
      <c r="C2491" t="inlineStr">
        <is>
          <t>2018-01</t>
        </is>
      </c>
      <c r="D2491" t="inlineStr">
        <is>
          <t>SP</t>
        </is>
      </c>
      <c r="E2491" t="inlineStr">
        <is>
          <t>furniture_decor</t>
        </is>
      </c>
      <c r="F2491" t="n">
        <v>1</v>
      </c>
      <c r="G2491" t="n">
        <v>69.90000000000001</v>
      </c>
      <c r="H2491" t="n">
        <v>16.12</v>
      </c>
      <c r="I2491" t="inlineStr">
        <is>
          <t>credit_card</t>
        </is>
      </c>
      <c r="J2491" t="n">
        <v>9</v>
      </c>
      <c r="K2491" t="inlineStr">
        <is>
          <t>On Time</t>
        </is>
      </c>
      <c r="L2491" t="n">
        <v>3</v>
      </c>
      <c r="M2491">
        <f>VLOOKUP(D2491,State_Lookup!$A$2:$B$28,2,FALSE)</f>
        <v/>
      </c>
    </row>
    <row r="2492">
      <c r="A2492" t="inlineStr">
        <is>
          <t>e550243ca45f5dc1f8c1ee12ff4a267a</t>
        </is>
      </c>
      <c r="B2492" t="inlineStr">
        <is>
          <t>2018-01-16</t>
        </is>
      </c>
      <c r="C2492" t="inlineStr">
        <is>
          <t>2018-01</t>
        </is>
      </c>
      <c r="D2492" t="inlineStr">
        <is>
          <t>RJ</t>
        </is>
      </c>
      <c r="E2492" t="inlineStr">
        <is>
          <t>computers_accessories</t>
        </is>
      </c>
      <c r="F2492" t="n">
        <v>1</v>
      </c>
      <c r="G2492" t="n">
        <v>159</v>
      </c>
      <c r="H2492" t="n">
        <v>40.44</v>
      </c>
      <c r="I2492" t="inlineStr">
        <is>
          <t>credit_card</t>
        </is>
      </c>
      <c r="J2492" t="n">
        <v>17</v>
      </c>
      <c r="K2492" t="inlineStr">
        <is>
          <t>On Time</t>
        </is>
      </c>
      <c r="L2492" t="n">
        <v>3</v>
      </c>
      <c r="M2492">
        <f>VLOOKUP(D2492,State_Lookup!$A$2:$B$28,2,FALSE)</f>
        <v/>
      </c>
    </row>
    <row r="2493">
      <c r="A2493" t="inlineStr">
        <is>
          <t>a96a09a27673f20f77e888e9cb0b864b</t>
        </is>
      </c>
      <c r="B2493" t="inlineStr">
        <is>
          <t>2018-01-16</t>
        </is>
      </c>
      <c r="C2493" t="inlineStr">
        <is>
          <t>2018-01</t>
        </is>
      </c>
      <c r="D2493" t="inlineStr">
        <is>
          <t>SP</t>
        </is>
      </c>
      <c r="E2493" t="inlineStr">
        <is>
          <t>furniture_decor</t>
        </is>
      </c>
      <c r="F2493" t="n">
        <v>1</v>
      </c>
      <c r="G2493" t="n">
        <v>99.90000000000001</v>
      </c>
      <c r="H2493" t="n">
        <v>16.46</v>
      </c>
      <c r="I2493" t="inlineStr">
        <is>
          <t>credit_card</t>
        </is>
      </c>
      <c r="J2493" t="n">
        <v>20</v>
      </c>
      <c r="K2493" t="inlineStr">
        <is>
          <t>On Time</t>
        </is>
      </c>
      <c r="L2493" t="n">
        <v>4</v>
      </c>
      <c r="M2493">
        <f>VLOOKUP(D2493,State_Lookup!$A$2:$B$28,2,FALSE)</f>
        <v/>
      </c>
    </row>
    <row r="2494">
      <c r="A2494" t="inlineStr">
        <is>
          <t>8f649220cbd4ddee3bb61401b5c230a7</t>
        </is>
      </c>
      <c r="B2494" t="inlineStr">
        <is>
          <t>2018-01-16</t>
        </is>
      </c>
      <c r="C2494" t="inlineStr">
        <is>
          <t>2018-01</t>
        </is>
      </c>
      <c r="D2494" t="inlineStr">
        <is>
          <t>SP</t>
        </is>
      </c>
      <c r="E2494" t="inlineStr">
        <is>
          <t>cool_stuff</t>
        </is>
      </c>
      <c r="F2494" t="n">
        <v>1</v>
      </c>
      <c r="G2494" t="n">
        <v>29.5</v>
      </c>
      <c r="H2494" t="n">
        <v>13.08</v>
      </c>
      <c r="I2494" t="inlineStr">
        <is>
          <t>boleto</t>
        </is>
      </c>
      <c r="J2494" t="n">
        <v>3</v>
      </c>
      <c r="K2494" t="inlineStr">
        <is>
          <t>On Time</t>
        </is>
      </c>
      <c r="L2494" t="n">
        <v>4</v>
      </c>
      <c r="M2494">
        <f>VLOOKUP(D2494,State_Lookup!$A$2:$B$28,2,FALSE)</f>
        <v/>
      </c>
    </row>
    <row r="2495">
      <c r="A2495" t="inlineStr">
        <is>
          <t>657d6c967a9b233cc5213fdc0434d8b2</t>
        </is>
      </c>
      <c r="B2495" t="inlineStr">
        <is>
          <t>2018-01-16</t>
        </is>
      </c>
      <c r="C2495" t="inlineStr">
        <is>
          <t>2018-01</t>
        </is>
      </c>
      <c r="D2495" t="inlineStr">
        <is>
          <t>SP</t>
        </is>
      </c>
      <c r="E2495" t="inlineStr">
        <is>
          <t>sports_leisure</t>
        </is>
      </c>
      <c r="F2495" t="n">
        <v>1</v>
      </c>
      <c r="G2495" t="n">
        <v>252</v>
      </c>
      <c r="H2495" t="n">
        <v>15.51</v>
      </c>
      <c r="I2495" t="inlineStr">
        <is>
          <t>credit_card</t>
        </is>
      </c>
      <c r="J2495" t="n">
        <v>22</v>
      </c>
      <c r="K2495" t="inlineStr">
        <is>
          <t>Late</t>
        </is>
      </c>
      <c r="L2495" t="n">
        <v>2</v>
      </c>
      <c r="M2495">
        <f>VLOOKUP(D2495,State_Lookup!$A$2:$B$28,2,FALSE)</f>
        <v/>
      </c>
    </row>
    <row r="2496">
      <c r="A2496" t="inlineStr">
        <is>
          <t>827d8ae687faef2e9c2bc79196b26f6e</t>
        </is>
      </c>
      <c r="B2496" t="inlineStr">
        <is>
          <t>2018-01-16</t>
        </is>
      </c>
      <c r="C2496" t="inlineStr">
        <is>
          <t>2018-01</t>
        </is>
      </c>
      <c r="D2496" t="inlineStr">
        <is>
          <t>SP</t>
        </is>
      </c>
      <c r="E2496" t="inlineStr">
        <is>
          <t>bed_bath_table</t>
        </is>
      </c>
      <c r="F2496" t="n">
        <v>1</v>
      </c>
      <c r="G2496" t="n">
        <v>80</v>
      </c>
      <c r="H2496" t="n">
        <v>12.9</v>
      </c>
      <c r="I2496" t="inlineStr">
        <is>
          <t>boleto</t>
        </is>
      </c>
      <c r="J2496" t="n">
        <v>8</v>
      </c>
      <c r="K2496" t="inlineStr">
        <is>
          <t>On Time</t>
        </is>
      </c>
      <c r="L2496" t="n">
        <v>1</v>
      </c>
      <c r="M2496">
        <f>VLOOKUP(D2496,State_Lookup!$A$2:$B$28,2,FALSE)</f>
        <v/>
      </c>
    </row>
    <row r="2497">
      <c r="A2497" t="inlineStr">
        <is>
          <t>352624ca0ead1f999686becd48b614c8</t>
        </is>
      </c>
      <c r="B2497" t="inlineStr">
        <is>
          <t>2018-01-17</t>
        </is>
      </c>
      <c r="C2497" t="inlineStr">
        <is>
          <t>2018-01</t>
        </is>
      </c>
      <c r="D2497" t="inlineStr">
        <is>
          <t>RS</t>
        </is>
      </c>
      <c r="E2497" t="inlineStr">
        <is>
          <t>industry_commerce_and_business</t>
        </is>
      </c>
      <c r="F2497" t="n">
        <v>1</v>
      </c>
      <c r="G2497" t="n">
        <v>104</v>
      </c>
      <c r="H2497" t="n">
        <v>27.05</v>
      </c>
      <c r="I2497" t="inlineStr">
        <is>
          <t>credit_card</t>
        </is>
      </c>
      <c r="J2497" t="n">
        <v>12</v>
      </c>
      <c r="K2497" t="inlineStr">
        <is>
          <t>On Time</t>
        </is>
      </c>
      <c r="L2497" t="n">
        <v>5</v>
      </c>
      <c r="M2497">
        <f>VLOOKUP(D2497,State_Lookup!$A$2:$B$28,2,FALSE)</f>
        <v/>
      </c>
    </row>
    <row r="2498">
      <c r="A2498" t="inlineStr">
        <is>
          <t>db18d072fff5f67b311bf00d7ebd1d64</t>
        </is>
      </c>
      <c r="B2498" t="inlineStr">
        <is>
          <t>2018-01-17</t>
        </is>
      </c>
      <c r="C2498" t="inlineStr">
        <is>
          <t>2018-01</t>
        </is>
      </c>
      <c r="D2498" t="inlineStr">
        <is>
          <t>GO</t>
        </is>
      </c>
      <c r="E2498" t="inlineStr">
        <is>
          <t>perfumery</t>
        </is>
      </c>
      <c r="F2498" t="n">
        <v>1</v>
      </c>
      <c r="G2498" t="n">
        <v>155</v>
      </c>
      <c r="H2498" t="n">
        <v>20.33</v>
      </c>
      <c r="I2498" t="inlineStr">
        <is>
          <t>credit_card</t>
        </is>
      </c>
      <c r="J2498" t="n">
        <v>11</v>
      </c>
      <c r="K2498" t="inlineStr">
        <is>
          <t>On Time</t>
        </is>
      </c>
      <c r="L2498" t="n">
        <v>3</v>
      </c>
      <c r="M2498">
        <f>VLOOKUP(D2498,State_Lookup!$A$2:$B$28,2,FALSE)</f>
        <v/>
      </c>
    </row>
    <row r="2499">
      <c r="A2499" t="inlineStr">
        <is>
          <t>e138f0eeabd6890e100c82b9f2925272</t>
        </is>
      </c>
      <c r="B2499" t="inlineStr">
        <is>
          <t>2018-01-17</t>
        </is>
      </c>
      <c r="C2499" t="inlineStr">
        <is>
          <t>2018-01</t>
        </is>
      </c>
      <c r="D2499" t="inlineStr">
        <is>
          <t>RS</t>
        </is>
      </c>
      <c r="E2499" t="inlineStr">
        <is>
          <t>baby</t>
        </is>
      </c>
      <c r="F2499" t="n">
        <v>1</v>
      </c>
      <c r="G2499" t="n">
        <v>887</v>
      </c>
      <c r="H2499" t="n">
        <v>26.7</v>
      </c>
      <c r="I2499" t="inlineStr">
        <is>
          <t>boleto</t>
        </is>
      </c>
      <c r="J2499" t="n">
        <v>6</v>
      </c>
      <c r="K2499" t="inlineStr">
        <is>
          <t>On Time</t>
        </is>
      </c>
      <c r="L2499" t="n">
        <v>3</v>
      </c>
      <c r="M2499">
        <f>VLOOKUP(D2499,State_Lookup!$A$2:$B$28,2,FALSE)</f>
        <v/>
      </c>
    </row>
    <row r="2500">
      <c r="A2500" t="inlineStr">
        <is>
          <t>f58228001d45c09c8447ef1f2fa6a2df</t>
        </is>
      </c>
      <c r="B2500" t="inlineStr">
        <is>
          <t>2018-01-17</t>
        </is>
      </c>
      <c r="C2500" t="inlineStr">
        <is>
          <t>2018-01</t>
        </is>
      </c>
      <c r="D2500" t="inlineStr">
        <is>
          <t>MG</t>
        </is>
      </c>
      <c r="E2500" t="inlineStr">
        <is>
          <t>housewares</t>
        </is>
      </c>
      <c r="F2500" t="n">
        <v>1</v>
      </c>
      <c r="G2500" t="n">
        <v>49.8</v>
      </c>
      <c r="H2500" t="n">
        <v>13.37</v>
      </c>
      <c r="I2500" t="inlineStr">
        <is>
          <t>voucher</t>
        </is>
      </c>
      <c r="J2500" t="n">
        <v>8</v>
      </c>
      <c r="K2500" t="inlineStr">
        <is>
          <t>On Time</t>
        </is>
      </c>
      <c r="L2500" t="n">
        <v>5</v>
      </c>
      <c r="M2500">
        <f>VLOOKUP(D2500,State_Lookup!$A$2:$B$28,2,FALSE)</f>
        <v/>
      </c>
    </row>
    <row r="2501">
      <c r="A2501" t="inlineStr">
        <is>
          <t>45942e54bf1edb4b2c481b77f7f8486c</t>
        </is>
      </c>
      <c r="B2501" t="inlineStr">
        <is>
          <t>2018-01-17</t>
        </is>
      </c>
      <c r="C2501" t="inlineStr">
        <is>
          <t>2018-01</t>
        </is>
      </c>
      <c r="D2501" t="inlineStr">
        <is>
          <t>SP</t>
        </is>
      </c>
      <c r="E2501" t="inlineStr">
        <is>
          <t>perfumery</t>
        </is>
      </c>
      <c r="F2501" t="n">
        <v>1</v>
      </c>
      <c r="G2501" t="n">
        <v>7</v>
      </c>
      <c r="H2501" t="n">
        <v>14.1</v>
      </c>
      <c r="I2501" t="inlineStr">
        <is>
          <t>credit_card</t>
        </is>
      </c>
      <c r="J2501" t="n">
        <v>8</v>
      </c>
      <c r="K2501" t="inlineStr">
        <is>
          <t>On Time</t>
        </is>
      </c>
      <c r="L2501" t="n">
        <v>5</v>
      </c>
      <c r="M2501">
        <f>VLOOKUP(D2501,State_Lookup!$A$2:$B$28,2,FALSE)</f>
        <v/>
      </c>
    </row>
    <row r="2502">
      <c r="A2502" t="inlineStr">
        <is>
          <t>ecc7442000366925655497d9dc353f50</t>
        </is>
      </c>
      <c r="B2502" t="inlineStr">
        <is>
          <t>2018-01-17</t>
        </is>
      </c>
      <c r="C2502" t="inlineStr">
        <is>
          <t>2018-01</t>
        </is>
      </c>
      <c r="D2502" t="inlineStr">
        <is>
          <t>DF</t>
        </is>
      </c>
      <c r="E2502" t="inlineStr">
        <is>
          <t>computers_accessories</t>
        </is>
      </c>
      <c r="F2502" t="n">
        <v>1</v>
      </c>
      <c r="G2502" t="n">
        <v>49.99</v>
      </c>
      <c r="H2502" t="n">
        <v>14.1</v>
      </c>
      <c r="I2502" t="inlineStr">
        <is>
          <t>credit_card</t>
        </is>
      </c>
      <c r="J2502" t="n">
        <v>8</v>
      </c>
      <c r="K2502" t="inlineStr">
        <is>
          <t>On Time</t>
        </is>
      </c>
      <c r="L2502" t="n">
        <v>4</v>
      </c>
      <c r="M2502">
        <f>VLOOKUP(D2502,State_Lookup!$A$2:$B$28,2,FALSE)</f>
        <v/>
      </c>
    </row>
    <row r="2503">
      <c r="A2503" t="inlineStr">
        <is>
          <t>d28b5d86a3eed220a736db5a42815270</t>
        </is>
      </c>
      <c r="B2503" t="inlineStr">
        <is>
          <t>2018-01-17</t>
        </is>
      </c>
      <c r="C2503" t="inlineStr">
        <is>
          <t>2018-01</t>
        </is>
      </c>
      <c r="D2503" t="inlineStr">
        <is>
          <t>SP</t>
        </is>
      </c>
      <c r="E2503" t="inlineStr">
        <is>
          <t>computers_accessories</t>
        </is>
      </c>
      <c r="F2503" t="n">
        <v>2</v>
      </c>
      <c r="G2503" t="n">
        <v>29.98</v>
      </c>
      <c r="H2503" t="n">
        <v>15.56</v>
      </c>
      <c r="I2503" t="inlineStr">
        <is>
          <t>credit_card</t>
        </is>
      </c>
      <c r="J2503" t="n">
        <v>1</v>
      </c>
      <c r="K2503" t="inlineStr">
        <is>
          <t>On Time</t>
        </is>
      </c>
      <c r="L2503" t="n">
        <v>5</v>
      </c>
      <c r="M2503">
        <f>VLOOKUP(D2503,State_Lookup!$A$2:$B$28,2,FALSE)</f>
        <v/>
      </c>
    </row>
    <row r="2504">
      <c r="A2504" t="inlineStr">
        <is>
          <t>b9a9e9876a24264089b78553266b219f</t>
        </is>
      </c>
      <c r="B2504" t="inlineStr">
        <is>
          <t>2018-01-17</t>
        </is>
      </c>
      <c r="C2504" t="inlineStr">
        <is>
          <t>2018-01</t>
        </is>
      </c>
      <c r="D2504" t="inlineStr">
        <is>
          <t>SP</t>
        </is>
      </c>
      <c r="E2504" t="inlineStr">
        <is>
          <t>cool_stuff</t>
        </is>
      </c>
      <c r="F2504" t="n">
        <v>1</v>
      </c>
      <c r="G2504" t="n">
        <v>29.5</v>
      </c>
      <c r="H2504" t="n">
        <v>13.08</v>
      </c>
      <c r="I2504" t="inlineStr">
        <is>
          <t>credit_card</t>
        </is>
      </c>
      <c r="J2504" t="n">
        <v>2</v>
      </c>
      <c r="K2504" t="inlineStr">
        <is>
          <t>On Time</t>
        </is>
      </c>
      <c r="L2504" t="n">
        <v>5</v>
      </c>
      <c r="M2504">
        <f>VLOOKUP(D2504,State_Lookup!$A$2:$B$28,2,FALSE)</f>
        <v/>
      </c>
    </row>
    <row r="2505">
      <c r="A2505" t="inlineStr">
        <is>
          <t>ae61611405fa179462dd33ca793d75a3</t>
        </is>
      </c>
      <c r="B2505" t="inlineStr">
        <is>
          <t>2018-01-17</t>
        </is>
      </c>
      <c r="C2505" t="inlineStr">
        <is>
          <t>2018-01</t>
        </is>
      </c>
      <c r="D2505" t="inlineStr">
        <is>
          <t>SP</t>
        </is>
      </c>
      <c r="E2505" t="inlineStr">
        <is>
          <t>art</t>
        </is>
      </c>
      <c r="F2505" t="n">
        <v>1</v>
      </c>
      <c r="G2505" t="n">
        <v>139.99</v>
      </c>
      <c r="H2505" t="n">
        <v>14.37</v>
      </c>
      <c r="I2505" t="inlineStr">
        <is>
          <t>debit_card</t>
        </is>
      </c>
      <c r="J2505" t="n">
        <v>10</v>
      </c>
      <c r="K2505" t="inlineStr">
        <is>
          <t>On Time</t>
        </is>
      </c>
      <c r="L2505" t="n">
        <v>5</v>
      </c>
      <c r="M2505">
        <f>VLOOKUP(D2505,State_Lookup!$A$2:$B$28,2,FALSE)</f>
        <v/>
      </c>
    </row>
    <row r="2506">
      <c r="A2506" t="inlineStr">
        <is>
          <t>2edf4dbc4da7d9813d86079ebd0b7e7b</t>
        </is>
      </c>
      <c r="B2506" t="inlineStr">
        <is>
          <t>2018-01-17</t>
        </is>
      </c>
      <c r="C2506" t="inlineStr">
        <is>
          <t>2018-01</t>
        </is>
      </c>
      <c r="D2506" t="inlineStr">
        <is>
          <t>DF</t>
        </is>
      </c>
      <c r="E2506" t="inlineStr">
        <is>
          <t>electronics</t>
        </is>
      </c>
      <c r="F2506" t="n">
        <v>1</v>
      </c>
      <c r="G2506" t="n">
        <v>19.9</v>
      </c>
      <c r="H2506" t="n">
        <v>25.63</v>
      </c>
      <c r="I2506" t="inlineStr">
        <is>
          <t>credit_card</t>
        </is>
      </c>
      <c r="J2506" t="n">
        <v>10</v>
      </c>
      <c r="K2506" t="inlineStr">
        <is>
          <t>On Time</t>
        </is>
      </c>
      <c r="L2506" t="n">
        <v>5</v>
      </c>
      <c r="M2506">
        <f>VLOOKUP(D2506,State_Lookup!$A$2:$B$28,2,FALSE)</f>
        <v/>
      </c>
    </row>
    <row r="2507">
      <c r="A2507" t="inlineStr">
        <is>
          <t>218ed7d83ada6c7163efb96ca0cbd210</t>
        </is>
      </c>
      <c r="B2507" t="inlineStr">
        <is>
          <t>2018-01-18</t>
        </is>
      </c>
      <c r="C2507" t="inlineStr">
        <is>
          <t>2018-01</t>
        </is>
      </c>
      <c r="D2507" t="inlineStr">
        <is>
          <t>SP</t>
        </is>
      </c>
      <c r="E2507" t="inlineStr">
        <is>
          <t>furniture_decor</t>
        </is>
      </c>
      <c r="F2507" t="n">
        <v>2</v>
      </c>
      <c r="G2507" t="n">
        <v>179.9</v>
      </c>
      <c r="H2507" t="n">
        <v>40.14</v>
      </c>
      <c r="I2507" t="inlineStr">
        <is>
          <t>credit_card</t>
        </is>
      </c>
      <c r="J2507" t="n">
        <v>7</v>
      </c>
      <c r="K2507" t="inlineStr">
        <is>
          <t>On Time</t>
        </is>
      </c>
      <c r="L2507" t="n">
        <v>5</v>
      </c>
      <c r="M2507">
        <f>VLOOKUP(D2507,State_Lookup!$A$2:$B$28,2,FALSE)</f>
        <v/>
      </c>
    </row>
    <row r="2508">
      <c r="A2508" t="inlineStr">
        <is>
          <t>1125c81efc6a16e16349a678434feac0</t>
        </is>
      </c>
      <c r="B2508" t="inlineStr">
        <is>
          <t>2018-01-18</t>
        </is>
      </c>
      <c r="C2508" t="inlineStr">
        <is>
          <t>2018-01</t>
        </is>
      </c>
      <c r="D2508" t="inlineStr">
        <is>
          <t>GO</t>
        </is>
      </c>
      <c r="E2508" t="inlineStr">
        <is>
          <t>telephony</t>
        </is>
      </c>
      <c r="F2508" t="n">
        <v>1</v>
      </c>
      <c r="G2508" t="n">
        <v>17.99</v>
      </c>
      <c r="H2508" t="n">
        <v>15.1</v>
      </c>
      <c r="I2508" t="inlineStr">
        <is>
          <t>boleto</t>
        </is>
      </c>
      <c r="J2508" t="n">
        <v>18</v>
      </c>
      <c r="K2508" t="inlineStr">
        <is>
          <t>On Time</t>
        </is>
      </c>
      <c r="L2508" t="n">
        <v>5</v>
      </c>
      <c r="M2508">
        <f>VLOOKUP(D2508,State_Lookup!$A$2:$B$28,2,FALSE)</f>
        <v/>
      </c>
    </row>
    <row r="2509">
      <c r="A2509" t="inlineStr">
        <is>
          <t>fcabe539367ad08049d814361278560b</t>
        </is>
      </c>
      <c r="B2509" t="inlineStr">
        <is>
          <t>2018-01-18</t>
        </is>
      </c>
      <c r="C2509" t="inlineStr">
        <is>
          <t>2018-01</t>
        </is>
      </c>
      <c r="D2509" t="inlineStr">
        <is>
          <t>SP</t>
        </is>
      </c>
      <c r="E2509" t="inlineStr">
        <is>
          <t>electronics</t>
        </is>
      </c>
      <c r="F2509" t="n">
        <v>1</v>
      </c>
      <c r="G2509" t="n">
        <v>13.65</v>
      </c>
      <c r="H2509" t="n">
        <v>7.78</v>
      </c>
      <c r="I2509" t="inlineStr">
        <is>
          <t>credit_card</t>
        </is>
      </c>
      <c r="J2509" t="n">
        <v>4</v>
      </c>
      <c r="K2509" t="inlineStr">
        <is>
          <t>On Time</t>
        </is>
      </c>
      <c r="L2509" t="n">
        <v>1</v>
      </c>
      <c r="M2509">
        <f>VLOOKUP(D2509,State_Lookup!$A$2:$B$28,2,FALSE)</f>
        <v/>
      </c>
    </row>
    <row r="2510">
      <c r="A2510" t="inlineStr">
        <is>
          <t>440fd902b617080eeb9463a65ffae07a</t>
        </is>
      </c>
      <c r="B2510" t="inlineStr">
        <is>
          <t>2018-01-18</t>
        </is>
      </c>
      <c r="C2510" t="inlineStr">
        <is>
          <t>2018-01</t>
        </is>
      </c>
      <c r="D2510" t="inlineStr">
        <is>
          <t>SP</t>
        </is>
      </c>
      <c r="E2510" t="inlineStr">
        <is>
          <t>furniture_mattress_and_upholstery</t>
        </is>
      </c>
      <c r="F2510" t="n">
        <v>1</v>
      </c>
      <c r="G2510" t="n">
        <v>249</v>
      </c>
      <c r="H2510" t="n">
        <v>17.18</v>
      </c>
      <c r="I2510" t="inlineStr">
        <is>
          <t>credit_card</t>
        </is>
      </c>
      <c r="J2510" t="n">
        <v>11</v>
      </c>
      <c r="K2510" t="inlineStr">
        <is>
          <t>On Time</t>
        </is>
      </c>
      <c r="L2510" t="n">
        <v>1</v>
      </c>
      <c r="M2510">
        <f>VLOOKUP(D2510,State_Lookup!$A$2:$B$28,2,FALSE)</f>
        <v/>
      </c>
    </row>
    <row r="2511">
      <c r="A2511" t="inlineStr">
        <is>
          <t>09df1b5edd28f22201dd19d1acccd5f3</t>
        </is>
      </c>
      <c r="B2511" t="inlineStr">
        <is>
          <t>2018-01-18</t>
        </is>
      </c>
      <c r="C2511" t="inlineStr">
        <is>
          <t>2018-01</t>
        </is>
      </c>
      <c r="D2511" t="inlineStr">
        <is>
          <t>PA</t>
        </is>
      </c>
      <c r="E2511" t="inlineStr">
        <is>
          <t>unknown</t>
        </is>
      </c>
      <c r="F2511" t="n">
        <v>1</v>
      </c>
      <c r="G2511" t="n">
        <v>20.3</v>
      </c>
      <c r="H2511" t="n">
        <v>25.63</v>
      </c>
      <c r="I2511" t="inlineStr">
        <is>
          <t>credit_card</t>
        </is>
      </c>
      <c r="J2511" t="n">
        <v>29</v>
      </c>
      <c r="K2511" t="inlineStr">
        <is>
          <t>On Time</t>
        </is>
      </c>
      <c r="L2511" t="n">
        <v>5</v>
      </c>
      <c r="M2511">
        <f>VLOOKUP(D2511,State_Lookup!$A$2:$B$28,2,FALSE)</f>
        <v/>
      </c>
    </row>
    <row r="2512">
      <c r="A2512" t="inlineStr">
        <is>
          <t>a3a09d0a201027720550355df943b598</t>
        </is>
      </c>
      <c r="B2512" t="inlineStr">
        <is>
          <t>2018-01-18</t>
        </is>
      </c>
      <c r="C2512" t="inlineStr">
        <is>
          <t>2018-01</t>
        </is>
      </c>
      <c r="D2512" t="inlineStr">
        <is>
          <t>RJ</t>
        </is>
      </c>
      <c r="E2512" t="inlineStr">
        <is>
          <t>agro_industry_and_commerce</t>
        </is>
      </c>
      <c r="F2512" t="n">
        <v>4</v>
      </c>
      <c r="G2512" t="n">
        <v>92</v>
      </c>
      <c r="H2512" t="n">
        <v>63.16</v>
      </c>
      <c r="I2512" t="inlineStr">
        <is>
          <t>credit_card</t>
        </is>
      </c>
      <c r="J2512" t="n">
        <v>7</v>
      </c>
      <c r="K2512" t="inlineStr">
        <is>
          <t>On Time</t>
        </is>
      </c>
      <c r="L2512" t="n">
        <v>5</v>
      </c>
      <c r="M2512">
        <f>VLOOKUP(D2512,State_Lookup!$A$2:$B$28,2,FALSE)</f>
        <v/>
      </c>
    </row>
    <row r="2513">
      <c r="A2513" t="inlineStr">
        <is>
          <t>e03f2a110a3c771d1e0e126f139503d9</t>
        </is>
      </c>
      <c r="B2513" t="inlineStr">
        <is>
          <t>2018-01-18</t>
        </is>
      </c>
      <c r="C2513" t="inlineStr">
        <is>
          <t>2018-01</t>
        </is>
      </c>
      <c r="D2513" t="inlineStr">
        <is>
          <t>SP</t>
        </is>
      </c>
      <c r="E2513" t="inlineStr">
        <is>
          <t>telephony</t>
        </is>
      </c>
      <c r="F2513" t="n">
        <v>1</v>
      </c>
      <c r="G2513" t="n">
        <v>49.99</v>
      </c>
      <c r="H2513" t="n">
        <v>7.78</v>
      </c>
      <c r="I2513" t="inlineStr">
        <is>
          <t>boleto</t>
        </is>
      </c>
      <c r="J2513" t="n">
        <v>11</v>
      </c>
      <c r="K2513" t="inlineStr">
        <is>
          <t>On Time</t>
        </is>
      </c>
      <c r="L2513" t="n">
        <v>2</v>
      </c>
      <c r="M2513">
        <f>VLOOKUP(D2513,State_Lookup!$A$2:$B$28,2,FALSE)</f>
        <v/>
      </c>
    </row>
    <row r="2514">
      <c r="A2514" t="inlineStr">
        <is>
          <t>dcd9b00fff62919c208f9e424f8b2c13</t>
        </is>
      </c>
      <c r="B2514" t="inlineStr">
        <is>
          <t>2018-01-18</t>
        </is>
      </c>
      <c r="C2514" t="inlineStr">
        <is>
          <t>2018-01</t>
        </is>
      </c>
      <c r="D2514" t="inlineStr">
        <is>
          <t>RJ</t>
        </is>
      </c>
      <c r="E2514" t="inlineStr">
        <is>
          <t>toys</t>
        </is>
      </c>
      <c r="F2514" t="n">
        <v>1</v>
      </c>
      <c r="G2514" t="n">
        <v>49.99</v>
      </c>
      <c r="H2514" t="n">
        <v>15.79</v>
      </c>
      <c r="I2514" t="inlineStr">
        <is>
          <t>voucher</t>
        </is>
      </c>
      <c r="J2514" t="n">
        <v>11</v>
      </c>
      <c r="K2514" t="inlineStr">
        <is>
          <t>On Time</t>
        </is>
      </c>
      <c r="L2514" t="n">
        <v>5</v>
      </c>
      <c r="M2514">
        <f>VLOOKUP(D2514,State_Lookup!$A$2:$B$28,2,FALSE)</f>
        <v/>
      </c>
    </row>
    <row r="2515">
      <c r="A2515" t="inlineStr">
        <is>
          <t>d71bc96c14d72c5f5b76bd286d6304f9</t>
        </is>
      </c>
      <c r="B2515" t="inlineStr">
        <is>
          <t>2018-01-19</t>
        </is>
      </c>
      <c r="C2515" t="inlineStr">
        <is>
          <t>2018-01</t>
        </is>
      </c>
      <c r="D2515" t="inlineStr">
        <is>
          <t>SP</t>
        </is>
      </c>
      <c r="E2515" t="inlineStr">
        <is>
          <t>health_beauty</t>
        </is>
      </c>
      <c r="F2515" t="n">
        <v>1</v>
      </c>
      <c r="G2515" t="n">
        <v>97.48999999999999</v>
      </c>
      <c r="H2515" t="n">
        <v>12.64</v>
      </c>
      <c r="I2515" t="inlineStr">
        <is>
          <t>boleto</t>
        </is>
      </c>
      <c r="J2515" t="n">
        <v>13</v>
      </c>
      <c r="K2515" t="inlineStr">
        <is>
          <t>On Time</t>
        </is>
      </c>
      <c r="L2515" t="n">
        <v>5</v>
      </c>
      <c r="M2515">
        <f>VLOOKUP(D2515,State_Lookup!$A$2:$B$28,2,FALSE)</f>
        <v/>
      </c>
    </row>
    <row r="2516">
      <c r="A2516" t="inlineStr">
        <is>
          <t>d7a02af9805cff844c09f3fcf61a73b2</t>
        </is>
      </c>
      <c r="B2516" t="inlineStr">
        <is>
          <t>2018-01-19</t>
        </is>
      </c>
      <c r="C2516" t="inlineStr">
        <is>
          <t>2018-01</t>
        </is>
      </c>
      <c r="D2516" t="inlineStr">
        <is>
          <t>DF</t>
        </is>
      </c>
      <c r="E2516" t="inlineStr">
        <is>
          <t>furniture_decor</t>
        </is>
      </c>
      <c r="F2516" t="n">
        <v>1</v>
      </c>
      <c r="G2516" t="n">
        <v>89.18000000000001</v>
      </c>
      <c r="H2516" t="n">
        <v>15.38</v>
      </c>
      <c r="I2516" t="inlineStr">
        <is>
          <t>credit_card</t>
        </is>
      </c>
      <c r="J2516" t="n">
        <v>17</v>
      </c>
      <c r="K2516" t="inlineStr">
        <is>
          <t>On Time</t>
        </is>
      </c>
      <c r="L2516" t="n">
        <v>4</v>
      </c>
      <c r="M2516">
        <f>VLOOKUP(D2516,State_Lookup!$A$2:$B$28,2,FALSE)</f>
        <v/>
      </c>
    </row>
    <row r="2517">
      <c r="A2517" t="inlineStr">
        <is>
          <t>dd17bd5a29df3e2c3ce7e66feaa2a323</t>
        </is>
      </c>
      <c r="B2517" t="inlineStr">
        <is>
          <t>2018-01-19</t>
        </is>
      </c>
      <c r="C2517" t="inlineStr">
        <is>
          <t>2018-01</t>
        </is>
      </c>
      <c r="D2517" t="inlineStr">
        <is>
          <t>SP</t>
        </is>
      </c>
      <c r="E2517" t="inlineStr">
        <is>
          <t>auto</t>
        </is>
      </c>
      <c r="F2517" t="n">
        <v>1</v>
      </c>
      <c r="G2517" t="n">
        <v>45.49</v>
      </c>
      <c r="H2517" t="n">
        <v>8.27</v>
      </c>
      <c r="I2517" t="inlineStr">
        <is>
          <t>credit_card</t>
        </is>
      </c>
      <c r="J2517" t="n">
        <v>4</v>
      </c>
      <c r="K2517" t="inlineStr">
        <is>
          <t>On Time</t>
        </is>
      </c>
      <c r="L2517" t="n">
        <v>5</v>
      </c>
      <c r="M2517">
        <f>VLOOKUP(D2517,State_Lookup!$A$2:$B$28,2,FALSE)</f>
        <v/>
      </c>
    </row>
    <row r="2518">
      <c r="A2518" t="inlineStr">
        <is>
          <t>9bc75a6264272c1cb4cffbd286cf39e4</t>
        </is>
      </c>
      <c r="B2518" t="inlineStr">
        <is>
          <t>2018-01-19</t>
        </is>
      </c>
      <c r="C2518" t="inlineStr">
        <is>
          <t>2018-01</t>
        </is>
      </c>
      <c r="D2518" t="inlineStr">
        <is>
          <t>DF</t>
        </is>
      </c>
      <c r="E2518" t="inlineStr">
        <is>
          <t>perfumery</t>
        </is>
      </c>
      <c r="F2518" t="n">
        <v>1</v>
      </c>
      <c r="G2518" t="n">
        <v>179</v>
      </c>
      <c r="H2518" t="n">
        <v>16.01</v>
      </c>
      <c r="I2518" t="inlineStr">
        <is>
          <t>credit_card</t>
        </is>
      </c>
      <c r="J2518" t="n">
        <v>11</v>
      </c>
      <c r="K2518" t="inlineStr">
        <is>
          <t>On Time</t>
        </is>
      </c>
      <c r="L2518" t="n">
        <v>3</v>
      </c>
      <c r="M2518">
        <f>VLOOKUP(D2518,State_Lookup!$A$2:$B$28,2,FALSE)</f>
        <v/>
      </c>
    </row>
    <row r="2519">
      <c r="A2519" t="inlineStr">
        <is>
          <t>35aba7f433d46b2f03caae475720adb0</t>
        </is>
      </c>
      <c r="B2519" t="inlineStr">
        <is>
          <t>2018-01-19</t>
        </is>
      </c>
      <c r="C2519" t="inlineStr">
        <is>
          <t>2018-01</t>
        </is>
      </c>
      <c r="D2519" t="inlineStr">
        <is>
          <t>SP</t>
        </is>
      </c>
      <c r="E2519" t="inlineStr">
        <is>
          <t>unknown</t>
        </is>
      </c>
      <c r="F2519" t="n">
        <v>1</v>
      </c>
      <c r="G2519" t="n">
        <v>149</v>
      </c>
      <c r="H2519" t="n">
        <v>8.300000000000001</v>
      </c>
      <c r="I2519" t="inlineStr">
        <is>
          <t>credit_card</t>
        </is>
      </c>
      <c r="J2519" t="n">
        <v>3</v>
      </c>
      <c r="K2519" t="inlineStr">
        <is>
          <t>On Time</t>
        </is>
      </c>
      <c r="L2519" t="n">
        <v>1</v>
      </c>
      <c r="M2519">
        <f>VLOOKUP(D2519,State_Lookup!$A$2:$B$28,2,FALSE)</f>
        <v/>
      </c>
    </row>
    <row r="2520">
      <c r="A2520" t="inlineStr">
        <is>
          <t>c94380d457c5b733057185e23d14b4ed</t>
        </is>
      </c>
      <c r="B2520" t="inlineStr">
        <is>
          <t>2018-01-19</t>
        </is>
      </c>
      <c r="C2520" t="inlineStr">
        <is>
          <t>2018-01</t>
        </is>
      </c>
      <c r="D2520" t="inlineStr">
        <is>
          <t>SP</t>
        </is>
      </c>
      <c r="E2520" t="inlineStr">
        <is>
          <t>watches_gifts</t>
        </is>
      </c>
      <c r="F2520" t="n">
        <v>1</v>
      </c>
      <c r="G2520" t="n">
        <v>78</v>
      </c>
      <c r="H2520" t="n">
        <v>7.8</v>
      </c>
      <c r="I2520" t="inlineStr">
        <is>
          <t>boleto</t>
        </is>
      </c>
      <c r="J2520" t="n">
        <v>10</v>
      </c>
      <c r="K2520" t="inlineStr">
        <is>
          <t>On Time</t>
        </is>
      </c>
      <c r="L2520" t="n">
        <v>5</v>
      </c>
      <c r="M2520">
        <f>VLOOKUP(D2520,State_Lookup!$A$2:$B$28,2,FALSE)</f>
        <v/>
      </c>
    </row>
    <row r="2521">
      <c r="A2521" t="inlineStr">
        <is>
          <t>cecd9c6ae9fe969cdedf8c252eeaac73</t>
        </is>
      </c>
      <c r="B2521" t="inlineStr">
        <is>
          <t>2018-01-19</t>
        </is>
      </c>
      <c r="C2521" t="inlineStr">
        <is>
          <t>2018-01</t>
        </is>
      </c>
      <c r="D2521" t="inlineStr">
        <is>
          <t>AL</t>
        </is>
      </c>
      <c r="E2521" t="inlineStr">
        <is>
          <t>consoles_games</t>
        </is>
      </c>
      <c r="F2521" t="n">
        <v>1</v>
      </c>
      <c r="G2521" t="n">
        <v>689.89</v>
      </c>
      <c r="H2521" t="n">
        <v>48.68</v>
      </c>
      <c r="I2521" t="inlineStr">
        <is>
          <t>credit_card</t>
        </is>
      </c>
      <c r="J2521" t="n">
        <v>34</v>
      </c>
      <c r="K2521" t="inlineStr">
        <is>
          <t>On Time</t>
        </is>
      </c>
      <c r="L2521" t="n">
        <v>1</v>
      </c>
      <c r="M2521">
        <f>VLOOKUP(D2521,State_Lookup!$A$2:$B$28,2,FALSE)</f>
        <v/>
      </c>
    </row>
    <row r="2522">
      <c r="A2522" t="inlineStr">
        <is>
          <t>b8bfa12431142333a0c84802f9529d87</t>
        </is>
      </c>
      <c r="B2522" t="inlineStr">
        <is>
          <t>2018-01-19</t>
        </is>
      </c>
      <c r="C2522" t="inlineStr">
        <is>
          <t>2018-01</t>
        </is>
      </c>
      <c r="D2522" t="inlineStr">
        <is>
          <t>SP</t>
        </is>
      </c>
      <c r="E2522" t="inlineStr">
        <is>
          <t>unknown</t>
        </is>
      </c>
      <c r="F2522" t="n">
        <v>3</v>
      </c>
      <c r="G2522" t="n">
        <v>261.3</v>
      </c>
      <c r="H2522" t="n">
        <v>38.85</v>
      </c>
      <c r="I2522" t="inlineStr">
        <is>
          <t>boleto</t>
        </is>
      </c>
      <c r="J2522" t="n">
        <v>12</v>
      </c>
      <c r="K2522" t="inlineStr">
        <is>
          <t>On Time</t>
        </is>
      </c>
      <c r="L2522" t="n">
        <v>1</v>
      </c>
      <c r="M2522">
        <f>VLOOKUP(D2522,State_Lookup!$A$2:$B$28,2,FALSE)</f>
        <v/>
      </c>
    </row>
    <row r="2523">
      <c r="A2523" t="inlineStr">
        <is>
          <t>491fc1fb624207b2123368e6b0ea4df1</t>
        </is>
      </c>
      <c r="B2523" t="inlineStr">
        <is>
          <t>2018-01-19</t>
        </is>
      </c>
      <c r="C2523" t="inlineStr">
        <is>
          <t>2018-01</t>
        </is>
      </c>
      <c r="D2523" t="inlineStr">
        <is>
          <t>RJ</t>
        </is>
      </c>
      <c r="E2523" t="inlineStr">
        <is>
          <t>sports_leisure</t>
        </is>
      </c>
      <c r="F2523" t="n">
        <v>1</v>
      </c>
      <c r="G2523" t="n">
        <v>899</v>
      </c>
      <c r="H2523" t="n">
        <v>104.08</v>
      </c>
      <c r="I2523" t="inlineStr">
        <is>
          <t>credit_card</t>
        </is>
      </c>
      <c r="J2523" t="n">
        <v>47</v>
      </c>
      <c r="K2523" t="inlineStr">
        <is>
          <t>Late</t>
        </is>
      </c>
      <c r="L2523" t="n">
        <v>1</v>
      </c>
      <c r="M2523">
        <f>VLOOKUP(D2523,State_Lookup!$A$2:$B$28,2,FALSE)</f>
        <v/>
      </c>
    </row>
    <row r="2524">
      <c r="A2524" t="inlineStr">
        <is>
          <t>b116148f0b8c4d1a5f8aeba7204a50c0</t>
        </is>
      </c>
      <c r="B2524" t="inlineStr">
        <is>
          <t>2018-01-19</t>
        </is>
      </c>
      <c r="C2524" t="inlineStr">
        <is>
          <t>2018-01</t>
        </is>
      </c>
      <c r="D2524" t="inlineStr">
        <is>
          <t>SP</t>
        </is>
      </c>
      <c r="E2524" t="inlineStr">
        <is>
          <t>cool_stuff</t>
        </is>
      </c>
      <c r="F2524" t="n">
        <v>1</v>
      </c>
      <c r="G2524" t="n">
        <v>62.99</v>
      </c>
      <c r="H2524" t="n">
        <v>11.73</v>
      </c>
      <c r="I2524" t="inlineStr">
        <is>
          <t>credit_card</t>
        </is>
      </c>
      <c r="J2524" t="n">
        <v>4</v>
      </c>
      <c r="K2524" t="inlineStr">
        <is>
          <t>On Time</t>
        </is>
      </c>
      <c r="L2524" t="n">
        <v>4</v>
      </c>
      <c r="M2524">
        <f>VLOOKUP(D2524,State_Lookup!$A$2:$B$28,2,FALSE)</f>
        <v/>
      </c>
    </row>
    <row r="2525">
      <c r="A2525" t="inlineStr">
        <is>
          <t>f5ef1b1dc8aed14279eeb0f4b745d887</t>
        </is>
      </c>
      <c r="B2525" t="inlineStr">
        <is>
          <t>2018-01-19</t>
        </is>
      </c>
      <c r="C2525" t="inlineStr">
        <is>
          <t>2018-01</t>
        </is>
      </c>
      <c r="D2525" t="inlineStr">
        <is>
          <t>SP</t>
        </is>
      </c>
      <c r="E2525" t="inlineStr">
        <is>
          <t>perfumery</t>
        </is>
      </c>
      <c r="F2525" t="n">
        <v>1</v>
      </c>
      <c r="G2525" t="n">
        <v>52.9</v>
      </c>
      <c r="H2525" t="n">
        <v>15.12</v>
      </c>
      <c r="I2525" t="inlineStr">
        <is>
          <t>credit_card</t>
        </is>
      </c>
      <c r="J2525" t="n">
        <v>12</v>
      </c>
      <c r="K2525" t="inlineStr">
        <is>
          <t>On Time</t>
        </is>
      </c>
      <c r="L2525" t="n">
        <v>1</v>
      </c>
      <c r="M2525">
        <f>VLOOKUP(D2525,State_Lookup!$A$2:$B$28,2,FALSE)</f>
        <v/>
      </c>
    </row>
    <row r="2526">
      <c r="A2526" t="inlineStr">
        <is>
          <t>61417f74f6caf083ff60fa4dc315f050</t>
        </is>
      </c>
      <c r="B2526" t="inlineStr">
        <is>
          <t>2018-01-19</t>
        </is>
      </c>
      <c r="C2526" t="inlineStr">
        <is>
          <t>2018-01</t>
        </is>
      </c>
      <c r="D2526" t="inlineStr">
        <is>
          <t>SP</t>
        </is>
      </c>
      <c r="E2526" t="inlineStr">
        <is>
          <t>bed_bath_table</t>
        </is>
      </c>
      <c r="F2526" t="n">
        <v>1</v>
      </c>
      <c r="G2526" t="n">
        <v>75.5</v>
      </c>
      <c r="H2526" t="n">
        <v>11.73</v>
      </c>
      <c r="I2526" t="inlineStr">
        <is>
          <t>credit_card</t>
        </is>
      </c>
      <c r="J2526" t="n">
        <v>5</v>
      </c>
      <c r="K2526" t="inlineStr">
        <is>
          <t>On Time</t>
        </is>
      </c>
      <c r="L2526" t="n">
        <v>5</v>
      </c>
      <c r="M2526">
        <f>VLOOKUP(D2526,State_Lookup!$A$2:$B$28,2,FALSE)</f>
        <v/>
      </c>
    </row>
    <row r="2527">
      <c r="A2527" t="inlineStr">
        <is>
          <t>fec76d3c7d37a989bdd3a22911340c75</t>
        </is>
      </c>
      <c r="B2527" t="inlineStr">
        <is>
          <t>2018-01-19</t>
        </is>
      </c>
      <c r="C2527" t="inlineStr">
        <is>
          <t>2018-01</t>
        </is>
      </c>
      <c r="D2527" t="inlineStr">
        <is>
          <t>SP</t>
        </is>
      </c>
      <c r="E2527" t="inlineStr">
        <is>
          <t>small_appliances</t>
        </is>
      </c>
      <c r="F2527" t="n">
        <v>1</v>
      </c>
      <c r="G2527" t="n">
        <v>429.9</v>
      </c>
      <c r="H2527" t="n">
        <v>41.94</v>
      </c>
      <c r="I2527" t="inlineStr">
        <is>
          <t>credit_card</t>
        </is>
      </c>
      <c r="J2527" t="inlineStr"/>
      <c r="K2527" t="inlineStr">
        <is>
          <t>Not Delivered</t>
        </is>
      </c>
      <c r="L2527" t="n">
        <v>1</v>
      </c>
      <c r="M2527">
        <f>VLOOKUP(D2527,State_Lookup!$A$2:$B$28,2,FALSE)</f>
        <v/>
      </c>
    </row>
    <row r="2528">
      <c r="A2528" t="inlineStr">
        <is>
          <t>146479aaf9d2856e1d613691b0d0b049</t>
        </is>
      </c>
      <c r="B2528" t="inlineStr">
        <is>
          <t>2018-01-20</t>
        </is>
      </c>
      <c r="C2528" t="inlineStr">
        <is>
          <t>2018-01</t>
        </is>
      </c>
      <c r="D2528" t="inlineStr">
        <is>
          <t>SP</t>
        </is>
      </c>
      <c r="E2528" t="inlineStr">
        <is>
          <t>consoles_games</t>
        </is>
      </c>
      <c r="F2528" t="n">
        <v>1</v>
      </c>
      <c r="G2528" t="n">
        <v>89</v>
      </c>
      <c r="H2528" t="n">
        <v>15.37</v>
      </c>
      <c r="I2528" t="inlineStr">
        <is>
          <t>credit_card</t>
        </is>
      </c>
      <c r="J2528" t="n">
        <v>12</v>
      </c>
      <c r="K2528" t="inlineStr">
        <is>
          <t>On Time</t>
        </is>
      </c>
      <c r="L2528" t="n">
        <v>1</v>
      </c>
      <c r="M2528">
        <f>VLOOKUP(D2528,State_Lookup!$A$2:$B$28,2,FALSE)</f>
        <v/>
      </c>
    </row>
    <row r="2529">
      <c r="A2529" t="inlineStr">
        <is>
          <t>cf41661584eda445aed5c0534bb31275</t>
        </is>
      </c>
      <c r="B2529" t="inlineStr">
        <is>
          <t>2018-01-20</t>
        </is>
      </c>
      <c r="C2529" t="inlineStr">
        <is>
          <t>2018-01</t>
        </is>
      </c>
      <c r="D2529" t="inlineStr">
        <is>
          <t>SP</t>
        </is>
      </c>
      <c r="E2529" t="inlineStr">
        <is>
          <t>baby</t>
        </is>
      </c>
      <c r="F2529" t="n">
        <v>1</v>
      </c>
      <c r="G2529" t="n">
        <v>124.99</v>
      </c>
      <c r="H2529" t="n">
        <v>14.62</v>
      </c>
      <c r="I2529" t="inlineStr">
        <is>
          <t>boleto</t>
        </is>
      </c>
      <c r="J2529" t="n">
        <v>12</v>
      </c>
      <c r="K2529" t="inlineStr">
        <is>
          <t>On Time</t>
        </is>
      </c>
      <c r="L2529" t="n">
        <v>5</v>
      </c>
      <c r="M2529">
        <f>VLOOKUP(D2529,State_Lookup!$A$2:$B$28,2,FALSE)</f>
        <v/>
      </c>
    </row>
    <row r="2530">
      <c r="A2530" t="inlineStr">
        <is>
          <t>e418e6620e03b70aed56a90a2b92db5d</t>
        </is>
      </c>
      <c r="B2530" t="inlineStr">
        <is>
          <t>2018-01-20</t>
        </is>
      </c>
      <c r="C2530" t="inlineStr">
        <is>
          <t>2018-01</t>
        </is>
      </c>
      <c r="D2530" t="inlineStr">
        <is>
          <t>PR</t>
        </is>
      </c>
      <c r="E2530" t="inlineStr">
        <is>
          <t>luggage_accessories</t>
        </is>
      </c>
      <c r="F2530" t="n">
        <v>1</v>
      </c>
      <c r="G2530" t="n">
        <v>289</v>
      </c>
      <c r="H2530" t="n">
        <v>46.48</v>
      </c>
      <c r="I2530" t="inlineStr">
        <is>
          <t>credit_card</t>
        </is>
      </c>
      <c r="J2530" t="n">
        <v>15</v>
      </c>
      <c r="K2530" t="inlineStr">
        <is>
          <t>On Time</t>
        </is>
      </c>
      <c r="L2530" t="n">
        <v>5</v>
      </c>
      <c r="M2530">
        <f>VLOOKUP(D2530,State_Lookup!$A$2:$B$28,2,FALSE)</f>
        <v/>
      </c>
    </row>
    <row r="2531">
      <c r="A2531" t="inlineStr">
        <is>
          <t>0719c4577b69cf807be736608c144bc8</t>
        </is>
      </c>
      <c r="B2531" t="inlineStr">
        <is>
          <t>2018-01-20</t>
        </is>
      </c>
      <c r="C2531" t="inlineStr">
        <is>
          <t>2018-01</t>
        </is>
      </c>
      <c r="D2531" t="inlineStr">
        <is>
          <t>SC</t>
        </is>
      </c>
      <c r="E2531" t="inlineStr">
        <is>
          <t>furniture_living_room</t>
        </is>
      </c>
      <c r="F2531" t="n">
        <v>1</v>
      </c>
      <c r="G2531" t="n">
        <v>59.99</v>
      </c>
      <c r="H2531" t="n">
        <v>22.74</v>
      </c>
      <c r="I2531" t="inlineStr">
        <is>
          <t>credit_card</t>
        </is>
      </c>
      <c r="J2531" t="n">
        <v>9</v>
      </c>
      <c r="K2531" t="inlineStr">
        <is>
          <t>On Time</t>
        </is>
      </c>
      <c r="L2531" t="n">
        <v>5</v>
      </c>
      <c r="M2531">
        <f>VLOOKUP(D2531,State_Lookup!$A$2:$B$28,2,FALSE)</f>
        <v/>
      </c>
    </row>
    <row r="2532">
      <c r="A2532" t="inlineStr">
        <is>
          <t>6113788590e7bcc9aa5b824b6ddad202</t>
        </is>
      </c>
      <c r="B2532" t="inlineStr">
        <is>
          <t>2018-01-20</t>
        </is>
      </c>
      <c r="C2532" t="inlineStr">
        <is>
          <t>2018-01</t>
        </is>
      </c>
      <c r="D2532" t="inlineStr">
        <is>
          <t>RJ</t>
        </is>
      </c>
      <c r="E2532" t="inlineStr">
        <is>
          <t>fashion_bags_accessories</t>
        </is>
      </c>
      <c r="F2532" t="n">
        <v>1</v>
      </c>
      <c r="G2532" t="n">
        <v>270</v>
      </c>
      <c r="H2532" t="n">
        <v>16.64</v>
      </c>
      <c r="I2532" t="inlineStr">
        <is>
          <t>credit_card</t>
        </is>
      </c>
      <c r="J2532" t="n">
        <v>25</v>
      </c>
      <c r="K2532" t="inlineStr">
        <is>
          <t>On Time</t>
        </is>
      </c>
      <c r="L2532" t="n">
        <v>5</v>
      </c>
      <c r="M2532">
        <f>VLOOKUP(D2532,State_Lookup!$A$2:$B$28,2,FALSE)</f>
        <v/>
      </c>
    </row>
    <row r="2533">
      <c r="A2533" t="inlineStr">
        <is>
          <t>f0e01d6f2b6f8e6d1284230a837c26c1</t>
        </is>
      </c>
      <c r="B2533" t="inlineStr">
        <is>
          <t>2018-01-20</t>
        </is>
      </c>
      <c r="C2533" t="inlineStr">
        <is>
          <t>2018-01</t>
        </is>
      </c>
      <c r="D2533" t="inlineStr">
        <is>
          <t>MG</t>
        </is>
      </c>
      <c r="E2533" t="inlineStr">
        <is>
          <t>office_furniture</t>
        </is>
      </c>
      <c r="F2533" t="n">
        <v>1</v>
      </c>
      <c r="G2533" t="n">
        <v>106.94</v>
      </c>
      <c r="H2533" t="n">
        <v>28.11</v>
      </c>
      <c r="I2533" t="inlineStr">
        <is>
          <t>credit_card</t>
        </is>
      </c>
      <c r="J2533" t="n">
        <v>27</v>
      </c>
      <c r="K2533" t="inlineStr">
        <is>
          <t>On Time</t>
        </is>
      </c>
      <c r="L2533" t="n">
        <v>5</v>
      </c>
      <c r="M2533">
        <f>VLOOKUP(D2533,State_Lookup!$A$2:$B$28,2,FALSE)</f>
        <v/>
      </c>
    </row>
    <row r="2534">
      <c r="A2534" t="inlineStr">
        <is>
          <t>7911b64405b6667c48cb3f1334f85432</t>
        </is>
      </c>
      <c r="B2534" t="inlineStr">
        <is>
          <t>2018-01-21</t>
        </is>
      </c>
      <c r="C2534" t="inlineStr">
        <is>
          <t>2018-01</t>
        </is>
      </c>
      <c r="D2534" t="inlineStr">
        <is>
          <t>SP</t>
        </is>
      </c>
      <c r="E2534" t="inlineStr">
        <is>
          <t>fashion_bags_accessories</t>
        </is>
      </c>
      <c r="F2534" t="n">
        <v>1</v>
      </c>
      <c r="G2534" t="n">
        <v>34.9</v>
      </c>
      <c r="H2534" t="n">
        <v>14.1</v>
      </c>
      <c r="I2534" t="inlineStr">
        <is>
          <t>credit_card</t>
        </is>
      </c>
      <c r="J2534" t="n">
        <v>15</v>
      </c>
      <c r="K2534" t="inlineStr">
        <is>
          <t>On Time</t>
        </is>
      </c>
      <c r="L2534" t="n">
        <v>5</v>
      </c>
      <c r="M2534">
        <f>VLOOKUP(D2534,State_Lookup!$A$2:$B$28,2,FALSE)</f>
        <v/>
      </c>
    </row>
    <row r="2535">
      <c r="A2535" t="inlineStr">
        <is>
          <t>db3fd10393c002f66ac4556352012620</t>
        </is>
      </c>
      <c r="B2535" t="inlineStr">
        <is>
          <t>2018-01-21</t>
        </is>
      </c>
      <c r="C2535" t="inlineStr">
        <is>
          <t>2018-01</t>
        </is>
      </c>
      <c r="D2535" t="inlineStr">
        <is>
          <t>SP</t>
        </is>
      </c>
      <c r="E2535" t="inlineStr">
        <is>
          <t>costruction_tools_garden</t>
        </is>
      </c>
      <c r="F2535" t="n">
        <v>1</v>
      </c>
      <c r="G2535" t="n">
        <v>122.9</v>
      </c>
      <c r="H2535" t="n">
        <v>14.47</v>
      </c>
      <c r="I2535" t="inlineStr">
        <is>
          <t>credit_card</t>
        </is>
      </c>
      <c r="J2535" t="n">
        <v>9</v>
      </c>
      <c r="K2535" t="inlineStr">
        <is>
          <t>On Time</t>
        </is>
      </c>
      <c r="L2535" t="n">
        <v>5</v>
      </c>
      <c r="M2535">
        <f>VLOOKUP(D2535,State_Lookup!$A$2:$B$28,2,FALSE)</f>
        <v/>
      </c>
    </row>
    <row r="2536">
      <c r="A2536" t="inlineStr">
        <is>
          <t>a5376eacc65c47eeceb1e796b6c2600d</t>
        </is>
      </c>
      <c r="B2536" t="inlineStr">
        <is>
          <t>2018-01-21</t>
        </is>
      </c>
      <c r="C2536" t="inlineStr">
        <is>
          <t>2018-01</t>
        </is>
      </c>
      <c r="D2536" t="inlineStr">
        <is>
          <t>RJ</t>
        </is>
      </c>
      <c r="E2536" t="inlineStr">
        <is>
          <t>air_conditioning</t>
        </is>
      </c>
      <c r="F2536" t="n">
        <v>1</v>
      </c>
      <c r="G2536" t="n">
        <v>89</v>
      </c>
      <c r="H2536" t="n">
        <v>13.46</v>
      </c>
      <c r="I2536" t="inlineStr">
        <is>
          <t>credit_card</t>
        </is>
      </c>
      <c r="J2536" t="n">
        <v>4</v>
      </c>
      <c r="K2536" t="inlineStr">
        <is>
          <t>On Time</t>
        </is>
      </c>
      <c r="L2536" t="n">
        <v>5</v>
      </c>
      <c r="M2536">
        <f>VLOOKUP(D2536,State_Lookup!$A$2:$B$28,2,FALSE)</f>
        <v/>
      </c>
    </row>
    <row r="2537">
      <c r="A2537" t="inlineStr">
        <is>
          <t>110e8ac89d295b26aff6fc751c94dbec</t>
        </is>
      </c>
      <c r="B2537" t="inlineStr">
        <is>
          <t>2018-01-21</t>
        </is>
      </c>
      <c r="C2537" t="inlineStr">
        <is>
          <t>2018-01</t>
        </is>
      </c>
      <c r="D2537" t="inlineStr">
        <is>
          <t>RS</t>
        </is>
      </c>
      <c r="E2537" t="inlineStr">
        <is>
          <t>perfumery</t>
        </is>
      </c>
      <c r="F2537" t="n">
        <v>1</v>
      </c>
      <c r="G2537" t="n">
        <v>49.9</v>
      </c>
      <c r="H2537" t="n">
        <v>16.79</v>
      </c>
      <c r="I2537" t="inlineStr">
        <is>
          <t>credit_card</t>
        </is>
      </c>
      <c r="J2537" t="n">
        <v>9</v>
      </c>
      <c r="K2537" t="inlineStr">
        <is>
          <t>On Time</t>
        </is>
      </c>
      <c r="L2537" t="n">
        <v>5</v>
      </c>
      <c r="M2537">
        <f>VLOOKUP(D2537,State_Lookup!$A$2:$B$28,2,FALSE)</f>
        <v/>
      </c>
    </row>
    <row r="2538">
      <c r="A2538" t="inlineStr">
        <is>
          <t>ed130f481df6a3d6729bee8371261e93</t>
        </is>
      </c>
      <c r="B2538" t="inlineStr">
        <is>
          <t>2018-01-21</t>
        </is>
      </c>
      <c r="C2538" t="inlineStr">
        <is>
          <t>2018-01</t>
        </is>
      </c>
      <c r="D2538" t="inlineStr">
        <is>
          <t>SC</t>
        </is>
      </c>
      <c r="E2538" t="inlineStr">
        <is>
          <t>health_beauty</t>
        </is>
      </c>
      <c r="F2538" t="n">
        <v>1</v>
      </c>
      <c r="G2538" t="n">
        <v>199.9</v>
      </c>
      <c r="H2538" t="n">
        <v>20.64</v>
      </c>
      <c r="I2538" t="inlineStr">
        <is>
          <t>voucher</t>
        </is>
      </c>
      <c r="J2538" t="n">
        <v>38</v>
      </c>
      <c r="K2538" t="inlineStr">
        <is>
          <t>Late</t>
        </is>
      </c>
      <c r="L2538" t="n">
        <v>1</v>
      </c>
      <c r="M2538">
        <f>VLOOKUP(D2538,State_Lookup!$A$2:$B$28,2,FALSE)</f>
        <v/>
      </c>
    </row>
    <row r="2539">
      <c r="A2539" t="inlineStr">
        <is>
          <t>99cf9baabb2f8e480c047c45957fd0aa</t>
        </is>
      </c>
      <c r="B2539" t="inlineStr">
        <is>
          <t>2018-01-21</t>
        </is>
      </c>
      <c r="C2539" t="inlineStr">
        <is>
          <t>2018-01</t>
        </is>
      </c>
      <c r="D2539" t="inlineStr">
        <is>
          <t>SP</t>
        </is>
      </c>
      <c r="E2539" t="inlineStr">
        <is>
          <t>cool_stuff</t>
        </is>
      </c>
      <c r="F2539" t="n">
        <v>1</v>
      </c>
      <c r="G2539" t="n">
        <v>144.99</v>
      </c>
      <c r="H2539" t="n">
        <v>12.22</v>
      </c>
      <c r="I2539" t="inlineStr">
        <is>
          <t>boleto</t>
        </is>
      </c>
      <c r="J2539" t="n">
        <v>9</v>
      </c>
      <c r="K2539" t="inlineStr">
        <is>
          <t>On Time</t>
        </is>
      </c>
      <c r="L2539" t="n">
        <v>5</v>
      </c>
      <c r="M2539">
        <f>VLOOKUP(D2539,State_Lookup!$A$2:$B$28,2,FALSE)</f>
        <v/>
      </c>
    </row>
    <row r="2540">
      <c r="A2540" t="inlineStr">
        <is>
          <t>3a594497943c5d46c735d2b2417f43b6</t>
        </is>
      </c>
      <c r="B2540" t="inlineStr">
        <is>
          <t>2018-01-21</t>
        </is>
      </c>
      <c r="C2540" t="inlineStr">
        <is>
          <t>2018-01</t>
        </is>
      </c>
      <c r="D2540" t="inlineStr">
        <is>
          <t>RJ</t>
        </is>
      </c>
      <c r="E2540" t="inlineStr">
        <is>
          <t>electronics</t>
        </is>
      </c>
      <c r="F2540" t="n">
        <v>1</v>
      </c>
      <c r="G2540" t="n">
        <v>18.9</v>
      </c>
      <c r="H2540" t="n">
        <v>16.79</v>
      </c>
      <c r="I2540" t="inlineStr">
        <is>
          <t>boleto</t>
        </is>
      </c>
      <c r="J2540" t="n">
        <v>38</v>
      </c>
      <c r="K2540" t="inlineStr">
        <is>
          <t>Late</t>
        </is>
      </c>
      <c r="L2540" t="n">
        <v>1</v>
      </c>
      <c r="M2540">
        <f>VLOOKUP(D2540,State_Lookup!$A$2:$B$28,2,FALSE)</f>
        <v/>
      </c>
    </row>
    <row r="2541">
      <c r="A2541" t="inlineStr">
        <is>
          <t>da5839ce50528e73a7b48bd91613d715</t>
        </is>
      </c>
      <c r="B2541" t="inlineStr">
        <is>
          <t>2018-01-21</t>
        </is>
      </c>
      <c r="C2541" t="inlineStr">
        <is>
          <t>2018-01</t>
        </is>
      </c>
      <c r="D2541" t="inlineStr">
        <is>
          <t>SP</t>
        </is>
      </c>
      <c r="E2541" t="inlineStr">
        <is>
          <t>furniture_decor</t>
        </is>
      </c>
      <c r="F2541" t="n">
        <v>1</v>
      </c>
      <c r="G2541" t="n">
        <v>159</v>
      </c>
      <c r="H2541" t="n">
        <v>19</v>
      </c>
      <c r="I2541" t="inlineStr">
        <is>
          <t>boleto</t>
        </is>
      </c>
      <c r="J2541" t="n">
        <v>9</v>
      </c>
      <c r="K2541" t="inlineStr">
        <is>
          <t>On Time</t>
        </is>
      </c>
      <c r="L2541" t="n">
        <v>5</v>
      </c>
      <c r="M2541">
        <f>VLOOKUP(D2541,State_Lookup!$A$2:$B$28,2,FALSE)</f>
        <v/>
      </c>
    </row>
    <row r="2542">
      <c r="A2542" t="inlineStr">
        <is>
          <t>aabd0efcccfbadac5e162e9ba42b1f28</t>
        </is>
      </c>
      <c r="B2542" t="inlineStr">
        <is>
          <t>2018-01-21</t>
        </is>
      </c>
      <c r="C2542" t="inlineStr">
        <is>
          <t>2018-01</t>
        </is>
      </c>
      <c r="D2542" t="inlineStr">
        <is>
          <t>MS</t>
        </is>
      </c>
      <c r="E2542" t="inlineStr">
        <is>
          <t>garden_tools</t>
        </is>
      </c>
      <c r="F2542" t="n">
        <v>1</v>
      </c>
      <c r="G2542" t="n">
        <v>99.90000000000001</v>
      </c>
      <c r="H2542" t="n">
        <v>19.94</v>
      </c>
      <c r="I2542" t="inlineStr">
        <is>
          <t>credit_card</t>
        </is>
      </c>
      <c r="J2542" t="n">
        <v>11</v>
      </c>
      <c r="K2542" t="inlineStr">
        <is>
          <t>On Time</t>
        </is>
      </c>
      <c r="L2542" t="n">
        <v>5</v>
      </c>
      <c r="M2542">
        <f>VLOOKUP(D2542,State_Lookup!$A$2:$B$28,2,FALSE)</f>
        <v/>
      </c>
    </row>
    <row r="2543">
      <c r="A2543" t="inlineStr">
        <is>
          <t>3e22c141d2861860889375c6fd7b89b3</t>
        </is>
      </c>
      <c r="B2543" t="inlineStr">
        <is>
          <t>2018-01-21</t>
        </is>
      </c>
      <c r="C2543" t="inlineStr">
        <is>
          <t>2018-01</t>
        </is>
      </c>
      <c r="D2543" t="inlineStr">
        <is>
          <t>CE</t>
        </is>
      </c>
      <c r="E2543" t="inlineStr">
        <is>
          <t>bed_bath_table</t>
        </is>
      </c>
      <c r="F2543" t="n">
        <v>2</v>
      </c>
      <c r="G2543" t="n">
        <v>165.9</v>
      </c>
      <c r="H2543" t="n">
        <v>54.24</v>
      </c>
      <c r="I2543" t="inlineStr">
        <is>
          <t>credit_card</t>
        </is>
      </c>
      <c r="J2543" t="n">
        <v>18</v>
      </c>
      <c r="K2543" t="inlineStr">
        <is>
          <t>On Time</t>
        </is>
      </c>
      <c r="L2543" t="n">
        <v>4</v>
      </c>
      <c r="M2543">
        <f>VLOOKUP(D2543,State_Lookup!$A$2:$B$28,2,FALSE)</f>
        <v/>
      </c>
    </row>
    <row r="2544">
      <c r="A2544" t="inlineStr">
        <is>
          <t>89b343512f0ecef64745c4e3bf856efc</t>
        </is>
      </c>
      <c r="B2544" t="inlineStr">
        <is>
          <t>2018-01-21</t>
        </is>
      </c>
      <c r="C2544" t="inlineStr">
        <is>
          <t>2018-01</t>
        </is>
      </c>
      <c r="D2544" t="inlineStr">
        <is>
          <t>SP</t>
        </is>
      </c>
      <c r="E2544" t="inlineStr">
        <is>
          <t>electronics</t>
        </is>
      </c>
      <c r="F2544" t="n">
        <v>1</v>
      </c>
      <c r="G2544" t="n">
        <v>12.25</v>
      </c>
      <c r="H2544" t="n">
        <v>7.78</v>
      </c>
      <c r="I2544" t="inlineStr">
        <is>
          <t>credit_card</t>
        </is>
      </c>
      <c r="J2544" t="n">
        <v>4</v>
      </c>
      <c r="K2544" t="inlineStr">
        <is>
          <t>On Time</t>
        </is>
      </c>
      <c r="L2544" t="n">
        <v>2</v>
      </c>
      <c r="M2544">
        <f>VLOOKUP(D2544,State_Lookup!$A$2:$B$28,2,FALSE)</f>
        <v/>
      </c>
    </row>
    <row r="2545">
      <c r="A2545" t="inlineStr">
        <is>
          <t>b2c3a55ae550dfe8fea2cdca7df095cf</t>
        </is>
      </c>
      <c r="B2545" t="inlineStr">
        <is>
          <t>2018-01-21</t>
        </is>
      </c>
      <c r="C2545" t="inlineStr">
        <is>
          <t>2018-01</t>
        </is>
      </c>
      <c r="D2545" t="inlineStr">
        <is>
          <t>BA</t>
        </is>
      </c>
      <c r="E2545" t="inlineStr">
        <is>
          <t>cool_stuff</t>
        </is>
      </c>
      <c r="F2545" t="n">
        <v>1</v>
      </c>
      <c r="G2545" t="n">
        <v>29.5</v>
      </c>
      <c r="H2545" t="n">
        <v>23.22</v>
      </c>
      <c r="I2545" t="inlineStr">
        <is>
          <t>credit_card</t>
        </is>
      </c>
      <c r="J2545" t="n">
        <v>11</v>
      </c>
      <c r="K2545" t="inlineStr">
        <is>
          <t>On Time</t>
        </is>
      </c>
      <c r="L2545" t="n">
        <v>1</v>
      </c>
      <c r="M2545">
        <f>VLOOKUP(D2545,State_Lookup!$A$2:$B$28,2,FALSE)</f>
        <v/>
      </c>
    </row>
    <row r="2546">
      <c r="A2546" t="inlineStr">
        <is>
          <t>688904e4bf47962bfa787f67c04ec8ce</t>
        </is>
      </c>
      <c r="B2546" t="inlineStr">
        <is>
          <t>2018-01-21</t>
        </is>
      </c>
      <c r="C2546" t="inlineStr">
        <is>
          <t>2018-01</t>
        </is>
      </c>
      <c r="D2546" t="inlineStr">
        <is>
          <t>SP</t>
        </is>
      </c>
      <c r="E2546" t="inlineStr">
        <is>
          <t>unknown</t>
        </is>
      </c>
      <c r="F2546" t="n">
        <v>1</v>
      </c>
      <c r="G2546" t="n">
        <v>150</v>
      </c>
      <c r="H2546" t="n">
        <v>8.300000000000001</v>
      </c>
      <c r="I2546" t="inlineStr">
        <is>
          <t>credit_card</t>
        </is>
      </c>
      <c r="J2546" t="n">
        <v>12</v>
      </c>
      <c r="K2546" t="inlineStr">
        <is>
          <t>On Time</t>
        </is>
      </c>
      <c r="L2546" t="n">
        <v>3</v>
      </c>
      <c r="M2546">
        <f>VLOOKUP(D2546,State_Lookup!$A$2:$B$28,2,FALSE)</f>
        <v/>
      </c>
    </row>
    <row r="2547">
      <c r="A2547" t="inlineStr">
        <is>
          <t>f2fe1323701bf698117de51d28425ee2</t>
        </is>
      </c>
      <c r="B2547" t="inlineStr">
        <is>
          <t>2018-01-21</t>
        </is>
      </c>
      <c r="C2547" t="inlineStr">
        <is>
          <t>2018-01</t>
        </is>
      </c>
      <c r="D2547" t="inlineStr">
        <is>
          <t>MG</t>
        </is>
      </c>
      <c r="E2547" t="inlineStr">
        <is>
          <t>computers_accessories</t>
        </is>
      </c>
      <c r="F2547" t="n">
        <v>1</v>
      </c>
      <c r="G2547" t="n">
        <v>25.9</v>
      </c>
      <c r="H2547" t="n">
        <v>15.1</v>
      </c>
      <c r="I2547" t="inlineStr">
        <is>
          <t>boleto</t>
        </is>
      </c>
      <c r="J2547" t="n">
        <v>7</v>
      </c>
      <c r="K2547" t="inlineStr">
        <is>
          <t>On Time</t>
        </is>
      </c>
      <c r="L2547" t="n">
        <v>4</v>
      </c>
      <c r="M2547">
        <f>VLOOKUP(D2547,State_Lookup!$A$2:$B$28,2,FALSE)</f>
        <v/>
      </c>
    </row>
    <row r="2548">
      <c r="A2548" t="inlineStr">
        <is>
          <t>fc0d78109239dcb41dc110f375f1b397</t>
        </is>
      </c>
      <c r="B2548" t="inlineStr">
        <is>
          <t>2018-01-21</t>
        </is>
      </c>
      <c r="C2548" t="inlineStr">
        <is>
          <t>2018-01</t>
        </is>
      </c>
      <c r="D2548" t="inlineStr">
        <is>
          <t>SP</t>
        </is>
      </c>
      <c r="E2548" t="inlineStr">
        <is>
          <t>fashion_bags_accessories</t>
        </is>
      </c>
      <c r="F2548" t="n">
        <v>1</v>
      </c>
      <c r="G2548" t="n">
        <v>89</v>
      </c>
      <c r="H2548" t="n">
        <v>14.37</v>
      </c>
      <c r="I2548" t="inlineStr">
        <is>
          <t>credit_card</t>
        </is>
      </c>
      <c r="J2548" t="n">
        <v>24</v>
      </c>
      <c r="K2548" t="inlineStr">
        <is>
          <t>On Time</t>
        </is>
      </c>
      <c r="L2548" t="n">
        <v>4</v>
      </c>
      <c r="M2548">
        <f>VLOOKUP(D2548,State_Lookup!$A$2:$B$28,2,FALSE)</f>
        <v/>
      </c>
    </row>
    <row r="2549">
      <c r="A2549" t="inlineStr">
        <is>
          <t>0e43d3e03f2ae293fc9e34a0ef9a24eb</t>
        </is>
      </c>
      <c r="B2549" t="inlineStr">
        <is>
          <t>2018-01-21</t>
        </is>
      </c>
      <c r="C2549" t="inlineStr">
        <is>
          <t>2018-01</t>
        </is>
      </c>
      <c r="D2549" t="inlineStr">
        <is>
          <t>MG</t>
        </is>
      </c>
      <c r="E2549" t="inlineStr">
        <is>
          <t>furniture_decor</t>
        </is>
      </c>
      <c r="F2549" t="n">
        <v>1</v>
      </c>
      <c r="G2549" t="n">
        <v>99.90000000000001</v>
      </c>
      <c r="H2549" t="n">
        <v>17.95</v>
      </c>
      <c r="I2549" t="inlineStr">
        <is>
          <t>credit_card</t>
        </is>
      </c>
      <c r="J2549" t="n">
        <v>11</v>
      </c>
      <c r="K2549" t="inlineStr">
        <is>
          <t>On Time</t>
        </is>
      </c>
      <c r="L2549" t="n">
        <v>5</v>
      </c>
      <c r="M2549">
        <f>VLOOKUP(D2549,State_Lookup!$A$2:$B$28,2,FALSE)</f>
        <v/>
      </c>
    </row>
    <row r="2550">
      <c r="A2550" t="inlineStr">
        <is>
          <t>357699224271146ddda4a57375993805</t>
        </is>
      </c>
      <c r="B2550" t="inlineStr">
        <is>
          <t>2018-01-22</t>
        </is>
      </c>
      <c r="C2550" t="inlineStr">
        <is>
          <t>2018-01</t>
        </is>
      </c>
      <c r="D2550" t="inlineStr">
        <is>
          <t>MG</t>
        </is>
      </c>
      <c r="E2550" t="inlineStr">
        <is>
          <t>sports_leisure</t>
        </is>
      </c>
      <c r="F2550" t="n">
        <v>1</v>
      </c>
      <c r="G2550" t="n">
        <v>39.9</v>
      </c>
      <c r="H2550" t="n">
        <v>16.79</v>
      </c>
      <c r="I2550" t="inlineStr">
        <is>
          <t>credit_card</t>
        </is>
      </c>
      <c r="J2550" t="inlineStr"/>
      <c r="K2550" t="inlineStr">
        <is>
          <t>Not Delivered</t>
        </is>
      </c>
      <c r="L2550" t="n">
        <v>1</v>
      </c>
      <c r="M2550">
        <f>VLOOKUP(D2550,State_Lookup!$A$2:$B$28,2,FALSE)</f>
        <v/>
      </c>
    </row>
    <row r="2551">
      <c r="A2551" t="inlineStr">
        <is>
          <t>0b517c01a5b46fd3e16b389ea6f4ad3a</t>
        </is>
      </c>
      <c r="B2551" t="inlineStr">
        <is>
          <t>2018-01-22</t>
        </is>
      </c>
      <c r="C2551" t="inlineStr">
        <is>
          <t>2018-01</t>
        </is>
      </c>
      <c r="D2551" t="inlineStr">
        <is>
          <t>SP</t>
        </is>
      </c>
      <c r="E2551" t="inlineStr">
        <is>
          <t>furniture_living_room</t>
        </is>
      </c>
      <c r="F2551" t="n">
        <v>1</v>
      </c>
      <c r="G2551" t="n">
        <v>59.99</v>
      </c>
      <c r="H2551" t="n">
        <v>15.28</v>
      </c>
      <c r="I2551" t="inlineStr">
        <is>
          <t>voucher</t>
        </is>
      </c>
      <c r="J2551" t="n">
        <v>37</v>
      </c>
      <c r="K2551" t="inlineStr">
        <is>
          <t>On Time</t>
        </is>
      </c>
      <c r="L2551" t="n">
        <v>2</v>
      </c>
      <c r="M2551">
        <f>VLOOKUP(D2551,State_Lookup!$A$2:$B$28,2,FALSE)</f>
        <v/>
      </c>
    </row>
    <row r="2552">
      <c r="A2552" t="inlineStr">
        <is>
          <t>83d4cdc8d1407f164545f19c29fda95f</t>
        </is>
      </c>
      <c r="B2552" t="inlineStr">
        <is>
          <t>2018-01-22</t>
        </is>
      </c>
      <c r="C2552" t="inlineStr">
        <is>
          <t>2018-01</t>
        </is>
      </c>
      <c r="D2552" t="inlineStr">
        <is>
          <t>RJ</t>
        </is>
      </c>
      <c r="E2552" t="inlineStr">
        <is>
          <t>sports_leisure</t>
        </is>
      </c>
      <c r="F2552" t="n">
        <v>1</v>
      </c>
      <c r="G2552" t="n">
        <v>135</v>
      </c>
      <c r="H2552" t="n">
        <v>18.2</v>
      </c>
      <c r="I2552" t="inlineStr">
        <is>
          <t>boleto</t>
        </is>
      </c>
      <c r="J2552" t="n">
        <v>12</v>
      </c>
      <c r="K2552" t="inlineStr">
        <is>
          <t>On Time</t>
        </is>
      </c>
      <c r="L2552" t="n">
        <v>1</v>
      </c>
      <c r="M2552">
        <f>VLOOKUP(D2552,State_Lookup!$A$2:$B$28,2,FALSE)</f>
        <v/>
      </c>
    </row>
    <row r="2553">
      <c r="A2553" t="inlineStr">
        <is>
          <t>60bfb63930f066b16ee32b640d38c501</t>
        </is>
      </c>
      <c r="B2553" t="inlineStr">
        <is>
          <t>2018-01-22</t>
        </is>
      </c>
      <c r="C2553" t="inlineStr">
        <is>
          <t>2018-01</t>
        </is>
      </c>
      <c r="D2553" t="inlineStr">
        <is>
          <t>RO</t>
        </is>
      </c>
      <c r="E2553" t="inlineStr">
        <is>
          <t>electronics</t>
        </is>
      </c>
      <c r="F2553" t="n">
        <v>1</v>
      </c>
      <c r="G2553" t="n">
        <v>13.65</v>
      </c>
      <c r="H2553" t="n">
        <v>34.15</v>
      </c>
      <c r="I2553" t="inlineStr">
        <is>
          <t>boleto</t>
        </is>
      </c>
      <c r="J2553" t="n">
        <v>24</v>
      </c>
      <c r="K2553" t="inlineStr">
        <is>
          <t>On Time</t>
        </is>
      </c>
      <c r="L2553" t="n">
        <v>5</v>
      </c>
      <c r="M2553">
        <f>VLOOKUP(D2553,State_Lookup!$A$2:$B$28,2,FALSE)</f>
        <v/>
      </c>
    </row>
    <row r="2554">
      <c r="A2554" t="inlineStr">
        <is>
          <t>e3457b638ebc9288bdb7aeaf57d6847a</t>
        </is>
      </c>
      <c r="B2554" t="inlineStr">
        <is>
          <t>2018-01-22</t>
        </is>
      </c>
      <c r="C2554" t="inlineStr">
        <is>
          <t>2018-01</t>
        </is>
      </c>
      <c r="D2554" t="inlineStr">
        <is>
          <t>AP</t>
        </is>
      </c>
      <c r="E2554" t="inlineStr">
        <is>
          <t>computers_accessories</t>
        </is>
      </c>
      <c r="F2554" t="n">
        <v>1</v>
      </c>
      <c r="G2554" t="n">
        <v>14.99</v>
      </c>
      <c r="H2554" t="n">
        <v>21.15</v>
      </c>
      <c r="I2554" t="inlineStr">
        <is>
          <t>boleto</t>
        </is>
      </c>
      <c r="J2554" t="n">
        <v>30</v>
      </c>
      <c r="K2554" t="inlineStr">
        <is>
          <t>On Time</t>
        </is>
      </c>
      <c r="L2554" t="n">
        <v>1</v>
      </c>
      <c r="M2554">
        <f>VLOOKUP(D2554,State_Lookup!$A$2:$B$28,2,FALSE)</f>
        <v/>
      </c>
    </row>
    <row r="2555">
      <c r="A2555" t="inlineStr">
        <is>
          <t>938cf86c22cfbcdef5e04f4038fad081</t>
        </is>
      </c>
      <c r="B2555" t="inlineStr">
        <is>
          <t>2018-01-22</t>
        </is>
      </c>
      <c r="C2555" t="inlineStr">
        <is>
          <t>2018-01</t>
        </is>
      </c>
      <c r="D2555" t="inlineStr">
        <is>
          <t>SP</t>
        </is>
      </c>
      <c r="E2555" t="inlineStr">
        <is>
          <t>bed_bath_table</t>
        </is>
      </c>
      <c r="F2555" t="n">
        <v>1</v>
      </c>
      <c r="G2555" t="n">
        <v>56.99</v>
      </c>
      <c r="H2555" t="n">
        <v>12.74</v>
      </c>
      <c r="I2555" t="inlineStr">
        <is>
          <t>credit_card</t>
        </is>
      </c>
      <c r="J2555" t="n">
        <v>6</v>
      </c>
      <c r="K2555" t="inlineStr">
        <is>
          <t>On Time</t>
        </is>
      </c>
      <c r="L2555" t="n">
        <v>5</v>
      </c>
      <c r="M2555">
        <f>VLOOKUP(D2555,State_Lookup!$A$2:$B$28,2,FALSE)</f>
        <v/>
      </c>
    </row>
    <row r="2556">
      <c r="A2556" t="inlineStr">
        <is>
          <t>ade2cfaa99535244a44133b4116c7f05</t>
        </is>
      </c>
      <c r="B2556" t="inlineStr">
        <is>
          <t>2018-01-22</t>
        </is>
      </c>
      <c r="C2556" t="inlineStr">
        <is>
          <t>2018-01</t>
        </is>
      </c>
      <c r="D2556" t="inlineStr">
        <is>
          <t>MS</t>
        </is>
      </c>
      <c r="E2556" t="inlineStr">
        <is>
          <t>computers_accessories</t>
        </is>
      </c>
      <c r="F2556" t="n">
        <v>2</v>
      </c>
      <c r="G2556" t="n">
        <v>179.6</v>
      </c>
      <c r="H2556" t="n">
        <v>34.14</v>
      </c>
      <c r="I2556" t="inlineStr">
        <is>
          <t>boleto</t>
        </is>
      </c>
      <c r="J2556" t="n">
        <v>13</v>
      </c>
      <c r="K2556" t="inlineStr">
        <is>
          <t>On Time</t>
        </is>
      </c>
      <c r="L2556" t="n">
        <v>5</v>
      </c>
      <c r="M2556">
        <f>VLOOKUP(D2556,State_Lookup!$A$2:$B$28,2,FALSE)</f>
        <v/>
      </c>
    </row>
    <row r="2557">
      <c r="A2557" t="inlineStr">
        <is>
          <t>00b9e0f8f588d0406a3de447eb606970</t>
        </is>
      </c>
      <c r="B2557" t="inlineStr">
        <is>
          <t>2018-01-22</t>
        </is>
      </c>
      <c r="C2557" t="inlineStr">
        <is>
          <t>2018-01</t>
        </is>
      </c>
      <c r="D2557" t="inlineStr">
        <is>
          <t>RJ</t>
        </is>
      </c>
      <c r="E2557" t="inlineStr">
        <is>
          <t>bed_bath_table</t>
        </is>
      </c>
      <c r="F2557" t="n">
        <v>1</v>
      </c>
      <c r="G2557" t="n">
        <v>39.9</v>
      </c>
      <c r="H2557" t="n">
        <v>16.6</v>
      </c>
      <c r="I2557" t="inlineStr">
        <is>
          <t>boleto</t>
        </is>
      </c>
      <c r="J2557" t="n">
        <v>25</v>
      </c>
      <c r="K2557" t="inlineStr">
        <is>
          <t>Late</t>
        </is>
      </c>
      <c r="L2557" t="n">
        <v>5</v>
      </c>
      <c r="M2557">
        <f>VLOOKUP(D2557,State_Lookup!$A$2:$B$28,2,FALSE)</f>
        <v/>
      </c>
    </row>
    <row r="2558">
      <c r="A2558" t="inlineStr">
        <is>
          <t>d75cb3755738c4ae466303358f97bc55</t>
        </is>
      </c>
      <c r="B2558" t="inlineStr">
        <is>
          <t>2018-01-22</t>
        </is>
      </c>
      <c r="C2558" t="inlineStr">
        <is>
          <t>2018-01</t>
        </is>
      </c>
      <c r="D2558" t="inlineStr">
        <is>
          <t>MT</t>
        </is>
      </c>
      <c r="E2558" t="inlineStr">
        <is>
          <t>electronics</t>
        </is>
      </c>
      <c r="F2558" t="n">
        <v>1</v>
      </c>
      <c r="G2558" t="n">
        <v>21.9</v>
      </c>
      <c r="H2558" t="n">
        <v>15.79</v>
      </c>
      <c r="I2558" t="inlineStr">
        <is>
          <t>boleto</t>
        </is>
      </c>
      <c r="J2558" t="n">
        <v>16</v>
      </c>
      <c r="K2558" t="inlineStr">
        <is>
          <t>On Time</t>
        </is>
      </c>
      <c r="L2558" t="n">
        <v>1</v>
      </c>
      <c r="M2558">
        <f>VLOOKUP(D2558,State_Lookup!$A$2:$B$28,2,FALSE)</f>
        <v/>
      </c>
    </row>
    <row r="2559">
      <c r="A2559" t="inlineStr">
        <is>
          <t>31d9a6982f9690f7618f0a5d647504b0</t>
        </is>
      </c>
      <c r="B2559" t="inlineStr">
        <is>
          <t>2018-01-22</t>
        </is>
      </c>
      <c r="C2559" t="inlineStr">
        <is>
          <t>2018-01</t>
        </is>
      </c>
      <c r="D2559" t="inlineStr">
        <is>
          <t>SC</t>
        </is>
      </c>
      <c r="E2559" t="inlineStr">
        <is>
          <t>baby</t>
        </is>
      </c>
      <c r="F2559" t="n">
        <v>2</v>
      </c>
      <c r="G2559" t="n">
        <v>152.89</v>
      </c>
      <c r="H2559" t="n">
        <v>32.4</v>
      </c>
      <c r="I2559" t="inlineStr">
        <is>
          <t>credit_card</t>
        </is>
      </c>
      <c r="J2559" t="n">
        <v>16</v>
      </c>
      <c r="K2559" t="inlineStr">
        <is>
          <t>On Time</t>
        </is>
      </c>
      <c r="L2559" t="n">
        <v>1</v>
      </c>
      <c r="M2559">
        <f>VLOOKUP(D2559,State_Lookup!$A$2:$B$28,2,FALSE)</f>
        <v/>
      </c>
    </row>
    <row r="2560">
      <c r="A2560" t="inlineStr">
        <is>
          <t>89dfa3424af84d352b23e927753fcc2a</t>
        </is>
      </c>
      <c r="B2560" t="inlineStr">
        <is>
          <t>2018-01-22</t>
        </is>
      </c>
      <c r="C2560" t="inlineStr">
        <is>
          <t>2018-01</t>
        </is>
      </c>
      <c r="D2560" t="inlineStr">
        <is>
          <t>SP</t>
        </is>
      </c>
      <c r="E2560" t="inlineStr">
        <is>
          <t>housewares</t>
        </is>
      </c>
      <c r="F2560" t="n">
        <v>1</v>
      </c>
      <c r="G2560" t="n">
        <v>69.8</v>
      </c>
      <c r="H2560" t="n">
        <v>9.94</v>
      </c>
      <c r="I2560" t="inlineStr">
        <is>
          <t>credit_card</t>
        </is>
      </c>
      <c r="J2560" t="n">
        <v>3</v>
      </c>
      <c r="K2560" t="inlineStr">
        <is>
          <t>On Time</t>
        </is>
      </c>
      <c r="L2560" t="n">
        <v>5</v>
      </c>
      <c r="M2560">
        <f>VLOOKUP(D2560,State_Lookup!$A$2:$B$28,2,FALSE)</f>
        <v/>
      </c>
    </row>
    <row r="2561">
      <c r="A2561" t="inlineStr">
        <is>
          <t>13b405c01103fcb4ab199d6a8f7825ef</t>
        </is>
      </c>
      <c r="B2561" t="inlineStr">
        <is>
          <t>2018-01-22</t>
        </is>
      </c>
      <c r="C2561" t="inlineStr">
        <is>
          <t>2018-01</t>
        </is>
      </c>
      <c r="D2561" t="inlineStr">
        <is>
          <t>SP</t>
        </is>
      </c>
      <c r="E2561" t="inlineStr">
        <is>
          <t>unknown</t>
        </is>
      </c>
      <c r="F2561" t="n">
        <v>1</v>
      </c>
      <c r="G2561" t="n">
        <v>150</v>
      </c>
      <c r="H2561" t="n">
        <v>8.300000000000001</v>
      </c>
      <c r="I2561" t="inlineStr">
        <is>
          <t>credit_card</t>
        </is>
      </c>
      <c r="J2561" t="n">
        <v>16</v>
      </c>
      <c r="K2561" t="inlineStr">
        <is>
          <t>Late</t>
        </is>
      </c>
      <c r="L2561" t="n">
        <v>3</v>
      </c>
      <c r="M2561">
        <f>VLOOKUP(D2561,State_Lookup!$A$2:$B$28,2,FALSE)</f>
        <v/>
      </c>
    </row>
    <row r="2562">
      <c r="A2562" t="inlineStr">
        <is>
          <t>8fda82d5d041f776798e037d6628bd89</t>
        </is>
      </c>
      <c r="B2562" t="inlineStr">
        <is>
          <t>2018-01-22</t>
        </is>
      </c>
      <c r="C2562" t="inlineStr">
        <is>
          <t>2018-01</t>
        </is>
      </c>
      <c r="D2562" t="inlineStr">
        <is>
          <t>MG</t>
        </is>
      </c>
      <c r="E2562" t="inlineStr">
        <is>
          <t>computers_accessories</t>
        </is>
      </c>
      <c r="F2562" t="n">
        <v>1</v>
      </c>
      <c r="G2562" t="n">
        <v>89.8</v>
      </c>
      <c r="H2562" t="n">
        <v>15.38</v>
      </c>
      <c r="I2562" t="inlineStr">
        <is>
          <t>credit_card</t>
        </is>
      </c>
      <c r="J2562" t="n">
        <v>15</v>
      </c>
      <c r="K2562" t="inlineStr">
        <is>
          <t>On Time</t>
        </is>
      </c>
      <c r="L2562" t="n">
        <v>5</v>
      </c>
      <c r="M2562">
        <f>VLOOKUP(D2562,State_Lookup!$A$2:$B$28,2,FALSE)</f>
        <v/>
      </c>
    </row>
    <row r="2563">
      <c r="A2563" t="inlineStr">
        <is>
          <t>551c21a415e6d07ce3dfc85e627f8aaf</t>
        </is>
      </c>
      <c r="B2563" t="inlineStr">
        <is>
          <t>2018-01-22</t>
        </is>
      </c>
      <c r="C2563" t="inlineStr">
        <is>
          <t>2018-01</t>
        </is>
      </c>
      <c r="D2563" t="inlineStr">
        <is>
          <t>SP</t>
        </is>
      </c>
      <c r="E2563" t="inlineStr">
        <is>
          <t>stationery</t>
        </is>
      </c>
      <c r="F2563" t="n">
        <v>1</v>
      </c>
      <c r="G2563" t="n">
        <v>79</v>
      </c>
      <c r="H2563" t="n">
        <v>13.57</v>
      </c>
      <c r="I2563" t="inlineStr">
        <is>
          <t>credit_card</t>
        </is>
      </c>
      <c r="J2563" t="n">
        <v>10</v>
      </c>
      <c r="K2563" t="inlineStr">
        <is>
          <t>On Time</t>
        </is>
      </c>
      <c r="L2563" t="n">
        <v>5</v>
      </c>
      <c r="M2563">
        <f>VLOOKUP(D2563,State_Lookup!$A$2:$B$28,2,FALSE)</f>
        <v/>
      </c>
    </row>
    <row r="2564">
      <c r="A2564" t="inlineStr">
        <is>
          <t>ddad987b1ab585281640b4b7e7261ede</t>
        </is>
      </c>
      <c r="B2564" t="inlineStr">
        <is>
          <t>2018-01-22</t>
        </is>
      </c>
      <c r="C2564" t="inlineStr">
        <is>
          <t>2018-01</t>
        </is>
      </c>
      <c r="D2564" t="inlineStr">
        <is>
          <t>SC</t>
        </is>
      </c>
      <c r="E2564" t="inlineStr">
        <is>
          <t>computers_accessories</t>
        </is>
      </c>
      <c r="F2564" t="n">
        <v>1</v>
      </c>
      <c r="G2564" t="n">
        <v>89.8</v>
      </c>
      <c r="H2564" t="n">
        <v>15.38</v>
      </c>
      <c r="I2564" t="inlineStr">
        <is>
          <t>credit_card</t>
        </is>
      </c>
      <c r="J2564" t="n">
        <v>16</v>
      </c>
      <c r="K2564" t="inlineStr">
        <is>
          <t>On Time</t>
        </is>
      </c>
      <c r="L2564" t="n">
        <v>5</v>
      </c>
      <c r="M2564">
        <f>VLOOKUP(D2564,State_Lookup!$A$2:$B$28,2,FALSE)</f>
        <v/>
      </c>
    </row>
    <row r="2565">
      <c r="A2565" t="inlineStr">
        <is>
          <t>45b0a671da62d1c868294b22b4837dca</t>
        </is>
      </c>
      <c r="B2565" t="inlineStr">
        <is>
          <t>2018-01-22</t>
        </is>
      </c>
      <c r="C2565" t="inlineStr">
        <is>
          <t>2018-01</t>
        </is>
      </c>
      <c r="D2565" t="inlineStr">
        <is>
          <t>RJ</t>
        </is>
      </c>
      <c r="E2565" t="inlineStr">
        <is>
          <t>computers_accessories</t>
        </is>
      </c>
      <c r="F2565" t="n">
        <v>1</v>
      </c>
      <c r="G2565" t="n">
        <v>149</v>
      </c>
      <c r="H2565" t="n">
        <v>40.37</v>
      </c>
      <c r="I2565" t="inlineStr">
        <is>
          <t>credit_card</t>
        </is>
      </c>
      <c r="J2565" t="n">
        <v>54</v>
      </c>
      <c r="K2565" t="inlineStr">
        <is>
          <t>Late</t>
        </is>
      </c>
      <c r="L2565" t="n">
        <v>1</v>
      </c>
      <c r="M2565">
        <f>VLOOKUP(D2565,State_Lookup!$A$2:$B$28,2,FALSE)</f>
        <v/>
      </c>
    </row>
    <row r="2566">
      <c r="A2566" t="inlineStr">
        <is>
          <t>ea244f8057c5a9f042e1bd9c70a7895d</t>
        </is>
      </c>
      <c r="B2566" t="inlineStr">
        <is>
          <t>2018-01-22</t>
        </is>
      </c>
      <c r="C2566" t="inlineStr">
        <is>
          <t>2018-01</t>
        </is>
      </c>
      <c r="D2566" t="inlineStr">
        <is>
          <t>SP</t>
        </is>
      </c>
      <c r="E2566" t="inlineStr">
        <is>
          <t>computers_accessories</t>
        </is>
      </c>
      <c r="F2566" t="n">
        <v>1</v>
      </c>
      <c r="G2566" t="n">
        <v>84.90000000000001</v>
      </c>
      <c r="H2566" t="n">
        <v>12.72</v>
      </c>
      <c r="I2566" t="inlineStr">
        <is>
          <t>credit_card</t>
        </is>
      </c>
      <c r="J2566" t="n">
        <v>11</v>
      </c>
      <c r="K2566" t="inlineStr">
        <is>
          <t>On Time</t>
        </is>
      </c>
      <c r="L2566" t="n">
        <v>4</v>
      </c>
      <c r="M2566">
        <f>VLOOKUP(D2566,State_Lookup!$A$2:$B$28,2,FALSE)</f>
        <v/>
      </c>
    </row>
    <row r="2567">
      <c r="A2567" t="inlineStr">
        <is>
          <t>bbd63ef30a5e6276e5353d5736b8bd21</t>
        </is>
      </c>
      <c r="B2567" t="inlineStr">
        <is>
          <t>2018-01-22</t>
        </is>
      </c>
      <c r="C2567" t="inlineStr">
        <is>
          <t>2018-01</t>
        </is>
      </c>
      <c r="D2567" t="inlineStr">
        <is>
          <t>MG</t>
        </is>
      </c>
      <c r="E2567" t="inlineStr">
        <is>
          <t>fashion_bags_accessories</t>
        </is>
      </c>
      <c r="F2567" t="n">
        <v>1</v>
      </c>
      <c r="G2567" t="n">
        <v>69.90000000000001</v>
      </c>
      <c r="H2567" t="n">
        <v>14.24</v>
      </c>
      <c r="I2567" t="inlineStr">
        <is>
          <t>credit_card</t>
        </is>
      </c>
      <c r="J2567" t="n">
        <v>9</v>
      </c>
      <c r="K2567" t="inlineStr">
        <is>
          <t>On Time</t>
        </is>
      </c>
      <c r="L2567" t="n">
        <v>5</v>
      </c>
      <c r="M2567">
        <f>VLOOKUP(D2567,State_Lookup!$A$2:$B$28,2,FALSE)</f>
        <v/>
      </c>
    </row>
    <row r="2568">
      <c r="A2568" t="inlineStr">
        <is>
          <t>00f8fc0cb9d9b7813f1f54fbd75426f1</t>
        </is>
      </c>
      <c r="B2568" t="inlineStr">
        <is>
          <t>2018-01-22</t>
        </is>
      </c>
      <c r="C2568" t="inlineStr">
        <is>
          <t>2018-01</t>
        </is>
      </c>
      <c r="D2568" t="inlineStr">
        <is>
          <t>PR</t>
        </is>
      </c>
      <c r="E2568" t="inlineStr">
        <is>
          <t>books_general_interest</t>
        </is>
      </c>
      <c r="F2568" t="n">
        <v>1</v>
      </c>
      <c r="G2568" t="n">
        <v>149</v>
      </c>
      <c r="H2568" t="n">
        <v>14.77</v>
      </c>
      <c r="I2568" t="inlineStr">
        <is>
          <t>credit_card</t>
        </is>
      </c>
      <c r="J2568" t="n">
        <v>10</v>
      </c>
      <c r="K2568" t="inlineStr">
        <is>
          <t>On Time</t>
        </is>
      </c>
      <c r="L2568" t="n">
        <v>5</v>
      </c>
      <c r="M2568">
        <f>VLOOKUP(D2568,State_Lookup!$A$2:$B$28,2,FALSE)</f>
        <v/>
      </c>
    </row>
    <row r="2569">
      <c r="A2569" t="inlineStr">
        <is>
          <t>e56d88cbec1f6fa11c71a07941433b0c</t>
        </is>
      </c>
      <c r="B2569" t="inlineStr">
        <is>
          <t>2018-01-23</t>
        </is>
      </c>
      <c r="C2569" t="inlineStr">
        <is>
          <t>2018-01</t>
        </is>
      </c>
      <c r="D2569" t="inlineStr">
        <is>
          <t>SP</t>
        </is>
      </c>
      <c r="E2569" t="inlineStr">
        <is>
          <t>baby</t>
        </is>
      </c>
      <c r="F2569" t="n">
        <v>1</v>
      </c>
      <c r="G2569" t="n">
        <v>1269</v>
      </c>
      <c r="H2569" t="n">
        <v>37.26</v>
      </c>
      <c r="I2569" t="inlineStr">
        <is>
          <t>credit_card</t>
        </is>
      </c>
      <c r="J2569" t="n">
        <v>3</v>
      </c>
      <c r="K2569" t="inlineStr">
        <is>
          <t>On Time</t>
        </is>
      </c>
      <c r="L2569" t="n">
        <v>5</v>
      </c>
      <c r="M2569">
        <f>VLOOKUP(D2569,State_Lookup!$A$2:$B$28,2,FALSE)</f>
        <v/>
      </c>
    </row>
    <row r="2570">
      <c r="A2570" t="inlineStr">
        <is>
          <t>31026c762ccd760199ad552ea17e0269</t>
        </is>
      </c>
      <c r="B2570" t="inlineStr">
        <is>
          <t>2018-01-23</t>
        </is>
      </c>
      <c r="C2570" t="inlineStr">
        <is>
          <t>2018-01</t>
        </is>
      </c>
      <c r="D2570" t="inlineStr">
        <is>
          <t>PR</t>
        </is>
      </c>
      <c r="E2570" t="inlineStr">
        <is>
          <t>sports_leisure</t>
        </is>
      </c>
      <c r="F2570" t="n">
        <v>1</v>
      </c>
      <c r="G2570" t="n">
        <v>27.61</v>
      </c>
      <c r="H2570" t="n">
        <v>14.1</v>
      </c>
      <c r="I2570" t="inlineStr">
        <is>
          <t>credit_card</t>
        </is>
      </c>
      <c r="J2570" t="n">
        <v>13</v>
      </c>
      <c r="K2570" t="inlineStr">
        <is>
          <t>On Time</t>
        </is>
      </c>
      <c r="L2570" t="n">
        <v>5</v>
      </c>
      <c r="M2570">
        <f>VLOOKUP(D2570,State_Lookup!$A$2:$B$28,2,FALSE)</f>
        <v/>
      </c>
    </row>
    <row r="2571">
      <c r="A2571" t="inlineStr">
        <is>
          <t>6551aa5197870cea53e483f92d3a75df</t>
        </is>
      </c>
      <c r="B2571" t="inlineStr">
        <is>
          <t>2018-01-23</t>
        </is>
      </c>
      <c r="C2571" t="inlineStr">
        <is>
          <t>2018-01</t>
        </is>
      </c>
      <c r="D2571" t="inlineStr">
        <is>
          <t>MG</t>
        </is>
      </c>
      <c r="E2571" t="inlineStr">
        <is>
          <t>stationery</t>
        </is>
      </c>
      <c r="F2571" t="n">
        <v>1</v>
      </c>
      <c r="G2571" t="n">
        <v>64.90000000000001</v>
      </c>
      <c r="H2571" t="n">
        <v>15.2</v>
      </c>
      <c r="I2571" t="inlineStr">
        <is>
          <t>boleto</t>
        </is>
      </c>
      <c r="J2571" t="n">
        <v>23</v>
      </c>
      <c r="K2571" t="inlineStr">
        <is>
          <t>On Time</t>
        </is>
      </c>
      <c r="L2571" t="n">
        <v>5</v>
      </c>
      <c r="M2571">
        <f>VLOOKUP(D2571,State_Lookup!$A$2:$B$28,2,FALSE)</f>
        <v/>
      </c>
    </row>
    <row r="2572">
      <c r="A2572" t="inlineStr">
        <is>
          <t>aba440032be16b32505c6e14bb755b0c</t>
        </is>
      </c>
      <c r="B2572" t="inlineStr">
        <is>
          <t>2018-01-23</t>
        </is>
      </c>
      <c r="C2572" t="inlineStr">
        <is>
          <t>2018-01</t>
        </is>
      </c>
      <c r="D2572" t="inlineStr">
        <is>
          <t>RJ</t>
        </is>
      </c>
      <c r="E2572" t="inlineStr">
        <is>
          <t>auto</t>
        </is>
      </c>
      <c r="F2572" t="n">
        <v>1</v>
      </c>
      <c r="G2572" t="n">
        <v>20</v>
      </c>
      <c r="H2572" t="n">
        <v>16.11</v>
      </c>
      <c r="I2572" t="inlineStr">
        <is>
          <t>credit_card</t>
        </is>
      </c>
      <c r="J2572" t="n">
        <v>13</v>
      </c>
      <c r="K2572" t="inlineStr">
        <is>
          <t>On Time</t>
        </is>
      </c>
      <c r="L2572" t="n">
        <v>5</v>
      </c>
      <c r="M2572">
        <f>VLOOKUP(D2572,State_Lookup!$A$2:$B$28,2,FALSE)</f>
        <v/>
      </c>
    </row>
    <row r="2573">
      <c r="A2573" t="inlineStr">
        <is>
          <t>33bfe472174712c99483919c79e837cd</t>
        </is>
      </c>
      <c r="B2573" t="inlineStr">
        <is>
          <t>2018-01-23</t>
        </is>
      </c>
      <c r="C2573" t="inlineStr">
        <is>
          <t>2018-01</t>
        </is>
      </c>
      <c r="D2573" t="inlineStr">
        <is>
          <t>PI</t>
        </is>
      </c>
      <c r="E2573" t="inlineStr">
        <is>
          <t>bed_bath_table</t>
        </is>
      </c>
      <c r="F2573" t="n">
        <v>3</v>
      </c>
      <c r="G2573" t="n">
        <v>159</v>
      </c>
      <c r="H2573" t="n">
        <v>104.03</v>
      </c>
      <c r="I2573" t="inlineStr">
        <is>
          <t>credit_card</t>
        </is>
      </c>
      <c r="J2573" t="n">
        <v>10</v>
      </c>
      <c r="K2573" t="inlineStr">
        <is>
          <t>On Time</t>
        </is>
      </c>
      <c r="L2573" t="n">
        <v>5</v>
      </c>
      <c r="M2573">
        <f>VLOOKUP(D2573,State_Lookup!$A$2:$B$28,2,FALSE)</f>
        <v/>
      </c>
    </row>
    <row r="2574">
      <c r="A2574" t="inlineStr">
        <is>
          <t>69bfec47c3230907ad9552f2f1e0c690</t>
        </is>
      </c>
      <c r="B2574" t="inlineStr">
        <is>
          <t>2018-01-23</t>
        </is>
      </c>
      <c r="C2574" t="inlineStr">
        <is>
          <t>2018-01</t>
        </is>
      </c>
      <c r="D2574" t="inlineStr">
        <is>
          <t>SC</t>
        </is>
      </c>
      <c r="E2574" t="inlineStr">
        <is>
          <t>home_confort</t>
        </is>
      </c>
      <c r="F2574" t="n">
        <v>1</v>
      </c>
      <c r="G2574" t="n">
        <v>28.9</v>
      </c>
      <c r="H2574" t="n">
        <v>12.6</v>
      </c>
      <c r="I2574" t="inlineStr">
        <is>
          <t>boleto</t>
        </is>
      </c>
      <c r="J2574" t="n">
        <v>13</v>
      </c>
      <c r="K2574" t="inlineStr">
        <is>
          <t>On Time</t>
        </is>
      </c>
      <c r="L2574" t="n">
        <v>4</v>
      </c>
      <c r="M2574">
        <f>VLOOKUP(D2574,State_Lookup!$A$2:$B$28,2,FALSE)</f>
        <v/>
      </c>
    </row>
    <row r="2575">
      <c r="A2575" t="inlineStr">
        <is>
          <t>98e94d121fb6444de93e426ceeb1e0e0</t>
        </is>
      </c>
      <c r="B2575" t="inlineStr">
        <is>
          <t>2018-01-23</t>
        </is>
      </c>
      <c r="C2575" t="inlineStr">
        <is>
          <t>2018-01</t>
        </is>
      </c>
      <c r="D2575" t="inlineStr">
        <is>
          <t>MG</t>
        </is>
      </c>
      <c r="E2575" t="inlineStr">
        <is>
          <t>bed_bath_table</t>
        </is>
      </c>
      <c r="F2575" t="n">
        <v>1</v>
      </c>
      <c r="G2575" t="n">
        <v>219.9</v>
      </c>
      <c r="H2575" t="n">
        <v>22.03</v>
      </c>
      <c r="I2575" t="inlineStr">
        <is>
          <t>credit_card</t>
        </is>
      </c>
      <c r="J2575" t="n">
        <v>14</v>
      </c>
      <c r="K2575" t="inlineStr">
        <is>
          <t>On Time</t>
        </is>
      </c>
      <c r="L2575" t="n">
        <v>1</v>
      </c>
      <c r="M2575">
        <f>VLOOKUP(D2575,State_Lookup!$A$2:$B$28,2,FALSE)</f>
        <v/>
      </c>
    </row>
    <row r="2576">
      <c r="A2576" t="inlineStr">
        <is>
          <t>609fffa13438b14471bd24446e84bf3d</t>
        </is>
      </c>
      <c r="B2576" t="inlineStr">
        <is>
          <t>2018-01-23</t>
        </is>
      </c>
      <c r="C2576" t="inlineStr">
        <is>
          <t>2018-01</t>
        </is>
      </c>
      <c r="D2576" t="inlineStr">
        <is>
          <t>MG</t>
        </is>
      </c>
      <c r="E2576" t="inlineStr">
        <is>
          <t>health_beauty</t>
        </is>
      </c>
      <c r="F2576" t="n">
        <v>1</v>
      </c>
      <c r="G2576" t="n">
        <v>326.16</v>
      </c>
      <c r="H2576" t="n">
        <v>33.03</v>
      </c>
      <c r="I2576" t="inlineStr">
        <is>
          <t>boleto</t>
        </is>
      </c>
      <c r="J2576" t="n">
        <v>16</v>
      </c>
      <c r="K2576" t="inlineStr">
        <is>
          <t>On Time</t>
        </is>
      </c>
      <c r="L2576" t="n">
        <v>5</v>
      </c>
      <c r="M2576">
        <f>VLOOKUP(D2576,State_Lookup!$A$2:$B$28,2,FALSE)</f>
        <v/>
      </c>
    </row>
    <row r="2577">
      <c r="A2577" t="inlineStr">
        <is>
          <t>96c284fea37bf65abad9c4c8847a869c</t>
        </is>
      </c>
      <c r="B2577" t="inlineStr">
        <is>
          <t>2018-01-23</t>
        </is>
      </c>
      <c r="C2577" t="inlineStr">
        <is>
          <t>2018-01</t>
        </is>
      </c>
      <c r="D2577" t="inlineStr">
        <is>
          <t>SP</t>
        </is>
      </c>
      <c r="E2577" t="inlineStr">
        <is>
          <t>health_beauty</t>
        </is>
      </c>
      <c r="F2577" t="n">
        <v>1</v>
      </c>
      <c r="G2577" t="n">
        <v>78</v>
      </c>
      <c r="H2577" t="n">
        <v>12.05</v>
      </c>
      <c r="I2577" t="inlineStr">
        <is>
          <t>boleto</t>
        </is>
      </c>
      <c r="J2577" t="n">
        <v>6</v>
      </c>
      <c r="K2577" t="inlineStr">
        <is>
          <t>On Time</t>
        </is>
      </c>
      <c r="L2577" t="n">
        <v>5</v>
      </c>
      <c r="M2577">
        <f>VLOOKUP(D2577,State_Lookup!$A$2:$B$28,2,FALSE)</f>
        <v/>
      </c>
    </row>
    <row r="2578">
      <c r="A2578" t="inlineStr">
        <is>
          <t>4b3b2a4d7cfb8d3ffdc5d92337550ae9</t>
        </is>
      </c>
      <c r="B2578" t="inlineStr">
        <is>
          <t>2018-01-23</t>
        </is>
      </c>
      <c r="C2578" t="inlineStr">
        <is>
          <t>2018-01</t>
        </is>
      </c>
      <c r="D2578" t="inlineStr">
        <is>
          <t>SP</t>
        </is>
      </c>
      <c r="E2578" t="inlineStr">
        <is>
          <t>computers_accessories</t>
        </is>
      </c>
      <c r="F2578" t="n">
        <v>1</v>
      </c>
      <c r="G2578" t="n">
        <v>84.90000000000001</v>
      </c>
      <c r="H2578" t="n">
        <v>12.72</v>
      </c>
      <c r="I2578" t="inlineStr">
        <is>
          <t>voucher</t>
        </is>
      </c>
      <c r="J2578" t="n">
        <v>12</v>
      </c>
      <c r="K2578" t="inlineStr">
        <is>
          <t>On Time</t>
        </is>
      </c>
      <c r="L2578" t="n">
        <v>5</v>
      </c>
      <c r="M2578">
        <f>VLOOKUP(D2578,State_Lookup!$A$2:$B$28,2,FALSE)</f>
        <v/>
      </c>
    </row>
    <row r="2579">
      <c r="A2579" t="inlineStr">
        <is>
          <t>c08d66a6714c940c505deae9b3916bcf</t>
        </is>
      </c>
      <c r="B2579" t="inlineStr">
        <is>
          <t>2018-01-23</t>
        </is>
      </c>
      <c r="C2579" t="inlineStr">
        <is>
          <t>2018-01</t>
        </is>
      </c>
      <c r="D2579" t="inlineStr">
        <is>
          <t>SP</t>
        </is>
      </c>
      <c r="E2579" t="inlineStr">
        <is>
          <t>cool_stuff</t>
        </is>
      </c>
      <c r="F2579" t="n">
        <v>1</v>
      </c>
      <c r="G2579" t="n">
        <v>139.99</v>
      </c>
      <c r="H2579" t="n">
        <v>12.18</v>
      </c>
      <c r="I2579" t="inlineStr">
        <is>
          <t>boleto</t>
        </is>
      </c>
      <c r="J2579" t="n">
        <v>2</v>
      </c>
      <c r="K2579" t="inlineStr">
        <is>
          <t>On Time</t>
        </is>
      </c>
      <c r="L2579" t="n">
        <v>4</v>
      </c>
      <c r="M2579">
        <f>VLOOKUP(D2579,State_Lookup!$A$2:$B$28,2,FALSE)</f>
        <v/>
      </c>
    </row>
    <row r="2580">
      <c r="A2580" t="inlineStr">
        <is>
          <t>34b630a20e82d7e009b8fd8347596cac</t>
        </is>
      </c>
      <c r="B2580" t="inlineStr">
        <is>
          <t>2018-01-23</t>
        </is>
      </c>
      <c r="C2580" t="inlineStr">
        <is>
          <t>2018-01</t>
        </is>
      </c>
      <c r="D2580" t="inlineStr">
        <is>
          <t>SP</t>
        </is>
      </c>
      <c r="E2580" t="inlineStr">
        <is>
          <t>baby</t>
        </is>
      </c>
      <c r="F2580" t="n">
        <v>1</v>
      </c>
      <c r="G2580" t="n">
        <v>124.99</v>
      </c>
      <c r="H2580" t="n">
        <v>14.62</v>
      </c>
      <c r="I2580" t="inlineStr">
        <is>
          <t>boleto</t>
        </is>
      </c>
      <c r="J2580" t="n">
        <v>6</v>
      </c>
      <c r="K2580" t="inlineStr">
        <is>
          <t>On Time</t>
        </is>
      </c>
      <c r="L2580" t="n">
        <v>5</v>
      </c>
      <c r="M2580">
        <f>VLOOKUP(D2580,State_Lookup!$A$2:$B$28,2,FALSE)</f>
        <v/>
      </c>
    </row>
    <row r="2581">
      <c r="A2581" t="inlineStr">
        <is>
          <t>e457a2de930926d39e56a93d5d53627e</t>
        </is>
      </c>
      <c r="B2581" t="inlineStr">
        <is>
          <t>2018-01-23</t>
        </is>
      </c>
      <c r="C2581" t="inlineStr">
        <is>
          <t>2018-01</t>
        </is>
      </c>
      <c r="D2581" t="inlineStr">
        <is>
          <t>MG</t>
        </is>
      </c>
      <c r="E2581" t="inlineStr">
        <is>
          <t>garden_tools</t>
        </is>
      </c>
      <c r="F2581" t="n">
        <v>1</v>
      </c>
      <c r="G2581" t="n">
        <v>49.9</v>
      </c>
      <c r="H2581" t="n">
        <v>17.6</v>
      </c>
      <c r="I2581" t="inlineStr">
        <is>
          <t>boleto</t>
        </is>
      </c>
      <c r="J2581" t="n">
        <v>16</v>
      </c>
      <c r="K2581" t="inlineStr">
        <is>
          <t>On Time</t>
        </is>
      </c>
      <c r="L2581" t="n">
        <v>5</v>
      </c>
      <c r="M2581">
        <f>VLOOKUP(D2581,State_Lookup!$A$2:$B$28,2,FALSE)</f>
        <v/>
      </c>
    </row>
    <row r="2582">
      <c r="A2582" t="inlineStr">
        <is>
          <t>cdb1c73916a0078aba40629cf9f26cff</t>
        </is>
      </c>
      <c r="B2582" t="inlineStr">
        <is>
          <t>2018-01-23</t>
        </is>
      </c>
      <c r="C2582" t="inlineStr">
        <is>
          <t>2018-01</t>
        </is>
      </c>
      <c r="D2582" t="inlineStr">
        <is>
          <t>RS</t>
        </is>
      </c>
      <c r="E2582" t="inlineStr">
        <is>
          <t>furniture_decor</t>
        </is>
      </c>
      <c r="F2582" t="n">
        <v>1</v>
      </c>
      <c r="G2582" t="n">
        <v>96.36</v>
      </c>
      <c r="H2582" t="n">
        <v>16.43</v>
      </c>
      <c r="I2582" t="inlineStr">
        <is>
          <t>boleto</t>
        </is>
      </c>
      <c r="J2582" t="n">
        <v>10</v>
      </c>
      <c r="K2582" t="inlineStr">
        <is>
          <t>On Time</t>
        </is>
      </c>
      <c r="L2582" t="n">
        <v>5</v>
      </c>
      <c r="M2582">
        <f>VLOOKUP(D2582,State_Lookup!$A$2:$B$28,2,FALSE)</f>
        <v/>
      </c>
    </row>
    <row r="2583">
      <c r="A2583" t="inlineStr">
        <is>
          <t>5e092cf7a8c77ef8b4592a9c656c498f</t>
        </is>
      </c>
      <c r="B2583" t="inlineStr">
        <is>
          <t>2018-01-23</t>
        </is>
      </c>
      <c r="C2583" t="inlineStr">
        <is>
          <t>2018-01</t>
        </is>
      </c>
      <c r="D2583" t="inlineStr">
        <is>
          <t>SP</t>
        </is>
      </c>
      <c r="E2583" t="inlineStr">
        <is>
          <t>health_beauty</t>
        </is>
      </c>
      <c r="F2583" t="n">
        <v>1</v>
      </c>
      <c r="G2583" t="n">
        <v>89.98999999999999</v>
      </c>
      <c r="H2583" t="n">
        <v>9.44</v>
      </c>
      <c r="I2583" t="inlineStr">
        <is>
          <t>credit_card</t>
        </is>
      </c>
      <c r="J2583" t="n">
        <v>2</v>
      </c>
      <c r="K2583" t="inlineStr">
        <is>
          <t>On Time</t>
        </is>
      </c>
      <c r="L2583" t="n">
        <v>1</v>
      </c>
      <c r="M2583">
        <f>VLOOKUP(D2583,State_Lookup!$A$2:$B$28,2,FALSE)</f>
        <v/>
      </c>
    </row>
    <row r="2584">
      <c r="A2584" t="inlineStr">
        <is>
          <t>03d0e68d9f396f3c4e69dbbb0abc3564</t>
        </is>
      </c>
      <c r="B2584" t="inlineStr">
        <is>
          <t>2018-01-24</t>
        </is>
      </c>
      <c r="C2584" t="inlineStr">
        <is>
          <t>2018-01</t>
        </is>
      </c>
      <c r="D2584" t="inlineStr">
        <is>
          <t>RJ</t>
        </is>
      </c>
      <c r="E2584" t="inlineStr">
        <is>
          <t>toys</t>
        </is>
      </c>
      <c r="F2584" t="n">
        <v>1</v>
      </c>
      <c r="G2584" t="n">
        <v>46.9</v>
      </c>
      <c r="H2584" t="n">
        <v>14.1</v>
      </c>
      <c r="I2584" t="inlineStr">
        <is>
          <t>boleto</t>
        </is>
      </c>
      <c r="J2584" t="n">
        <v>30</v>
      </c>
      <c r="K2584" t="inlineStr">
        <is>
          <t>Late</t>
        </is>
      </c>
      <c r="L2584" t="n">
        <v>1</v>
      </c>
      <c r="M2584">
        <f>VLOOKUP(D2584,State_Lookup!$A$2:$B$28,2,FALSE)</f>
        <v/>
      </c>
    </row>
    <row r="2585">
      <c r="A2585" t="inlineStr">
        <is>
          <t>3a830ecb5338f0ff69822d388b64822e</t>
        </is>
      </c>
      <c r="B2585" t="inlineStr">
        <is>
          <t>2018-01-24</t>
        </is>
      </c>
      <c r="C2585" t="inlineStr">
        <is>
          <t>2018-01</t>
        </is>
      </c>
      <c r="D2585" t="inlineStr">
        <is>
          <t>MS</t>
        </is>
      </c>
      <c r="E2585" t="inlineStr">
        <is>
          <t>sports_leisure</t>
        </is>
      </c>
      <c r="F2585" t="n">
        <v>1</v>
      </c>
      <c r="G2585" t="n">
        <v>109</v>
      </c>
      <c r="H2585" t="n">
        <v>98.02</v>
      </c>
      <c r="I2585" t="inlineStr">
        <is>
          <t>credit_card</t>
        </is>
      </c>
      <c r="J2585" t="n">
        <v>22</v>
      </c>
      <c r="K2585" t="inlineStr">
        <is>
          <t>On Time</t>
        </is>
      </c>
      <c r="L2585" t="n">
        <v>4</v>
      </c>
      <c r="M2585">
        <f>VLOOKUP(D2585,State_Lookup!$A$2:$B$28,2,FALSE)</f>
        <v/>
      </c>
    </row>
    <row r="2586">
      <c r="A2586" t="inlineStr">
        <is>
          <t>4600963d4b12ee01d7393b723a34516f</t>
        </is>
      </c>
      <c r="B2586" t="inlineStr">
        <is>
          <t>2018-01-24</t>
        </is>
      </c>
      <c r="C2586" t="inlineStr">
        <is>
          <t>2018-01</t>
        </is>
      </c>
      <c r="D2586" t="inlineStr">
        <is>
          <t>RJ</t>
        </is>
      </c>
      <c r="E2586" t="inlineStr">
        <is>
          <t>watches_gifts</t>
        </is>
      </c>
      <c r="F2586" t="n">
        <v>1</v>
      </c>
      <c r="G2586" t="n">
        <v>1849.9</v>
      </c>
      <c r="H2586" t="n">
        <v>22.36</v>
      </c>
      <c r="I2586" t="inlineStr">
        <is>
          <t>credit_card</t>
        </is>
      </c>
      <c r="J2586" t="n">
        <v>6</v>
      </c>
      <c r="K2586" t="inlineStr">
        <is>
          <t>On Time</t>
        </is>
      </c>
      <c r="L2586" t="n">
        <v>5</v>
      </c>
      <c r="M2586">
        <f>VLOOKUP(D2586,State_Lookup!$A$2:$B$28,2,FALSE)</f>
        <v/>
      </c>
    </row>
    <row r="2587">
      <c r="A2587" t="inlineStr">
        <is>
          <t>0762fe35b71987563f8771eb6d14938f</t>
        </is>
      </c>
      <c r="B2587" t="inlineStr">
        <is>
          <t>2018-01-24</t>
        </is>
      </c>
      <c r="C2587" t="inlineStr">
        <is>
          <t>2018-01</t>
        </is>
      </c>
      <c r="D2587" t="inlineStr">
        <is>
          <t>SP</t>
        </is>
      </c>
      <c r="E2587" t="inlineStr">
        <is>
          <t>computers_accessories</t>
        </is>
      </c>
      <c r="F2587" t="n">
        <v>1</v>
      </c>
      <c r="G2587" t="n">
        <v>75</v>
      </c>
      <c r="H2587" t="n">
        <v>12.03</v>
      </c>
      <c r="I2587" t="inlineStr">
        <is>
          <t>credit_card</t>
        </is>
      </c>
      <c r="J2587" t="n">
        <v>20</v>
      </c>
      <c r="K2587" t="inlineStr">
        <is>
          <t>On Time</t>
        </is>
      </c>
      <c r="L2587" t="n">
        <v>3</v>
      </c>
      <c r="M2587">
        <f>VLOOKUP(D2587,State_Lookup!$A$2:$B$28,2,FALSE)</f>
        <v/>
      </c>
    </row>
    <row r="2588">
      <c r="A2588" t="inlineStr">
        <is>
          <t>b86ec88f5bffbf1f61fb5daed332e355</t>
        </is>
      </c>
      <c r="B2588" t="inlineStr">
        <is>
          <t>2018-01-24</t>
        </is>
      </c>
      <c r="C2588" t="inlineStr">
        <is>
          <t>2018-01</t>
        </is>
      </c>
      <c r="D2588" t="inlineStr">
        <is>
          <t>SP</t>
        </is>
      </c>
      <c r="E2588" t="inlineStr">
        <is>
          <t>tablets_printing_image</t>
        </is>
      </c>
      <c r="F2588" t="n">
        <v>1</v>
      </c>
      <c r="G2588" t="n">
        <v>52</v>
      </c>
      <c r="H2588" t="n">
        <v>8.720000000000001</v>
      </c>
      <c r="I2588" t="inlineStr">
        <is>
          <t>boleto</t>
        </is>
      </c>
      <c r="J2588" t="n">
        <v>36</v>
      </c>
      <c r="K2588" t="inlineStr">
        <is>
          <t>Late</t>
        </is>
      </c>
      <c r="L2588" t="n">
        <v>4</v>
      </c>
      <c r="M2588">
        <f>VLOOKUP(D2588,State_Lookup!$A$2:$B$28,2,FALSE)</f>
        <v/>
      </c>
    </row>
    <row r="2589">
      <c r="A2589" t="inlineStr">
        <is>
          <t>53c13f6010b84ebe8ee418785dd62890</t>
        </is>
      </c>
      <c r="B2589" t="inlineStr">
        <is>
          <t>2018-01-24</t>
        </is>
      </c>
      <c r="C2589" t="inlineStr">
        <is>
          <t>2018-01</t>
        </is>
      </c>
      <c r="D2589" t="inlineStr">
        <is>
          <t>SP</t>
        </is>
      </c>
      <c r="E2589" t="inlineStr">
        <is>
          <t>housewares</t>
        </is>
      </c>
      <c r="F2589" t="n">
        <v>1</v>
      </c>
      <c r="G2589" t="n">
        <v>194</v>
      </c>
      <c r="H2589" t="n">
        <v>34.63</v>
      </c>
      <c r="I2589" t="inlineStr">
        <is>
          <t>credit_card</t>
        </is>
      </c>
      <c r="J2589" t="n">
        <v>13</v>
      </c>
      <c r="K2589" t="inlineStr">
        <is>
          <t>On Time</t>
        </is>
      </c>
      <c r="L2589" t="n">
        <v>5</v>
      </c>
      <c r="M2589">
        <f>VLOOKUP(D2589,State_Lookup!$A$2:$B$28,2,FALSE)</f>
        <v/>
      </c>
    </row>
    <row r="2590">
      <c r="A2590" t="inlineStr">
        <is>
          <t>3e6bf80e5361b0fd113b9185bf09d8d0</t>
        </is>
      </c>
      <c r="B2590" t="inlineStr">
        <is>
          <t>2018-01-24</t>
        </is>
      </c>
      <c r="C2590" t="inlineStr">
        <is>
          <t>2018-01</t>
        </is>
      </c>
      <c r="D2590" t="inlineStr">
        <is>
          <t>MG</t>
        </is>
      </c>
      <c r="E2590" t="inlineStr">
        <is>
          <t>garden_tools</t>
        </is>
      </c>
      <c r="F2590" t="n">
        <v>1</v>
      </c>
      <c r="G2590" t="n">
        <v>39.9</v>
      </c>
      <c r="H2590" t="n">
        <v>15.1</v>
      </c>
      <c r="I2590" t="inlineStr">
        <is>
          <t>credit_card</t>
        </is>
      </c>
      <c r="J2590" t="n">
        <v>11</v>
      </c>
      <c r="K2590" t="inlineStr">
        <is>
          <t>On Time</t>
        </is>
      </c>
      <c r="L2590" t="n">
        <v>5</v>
      </c>
      <c r="M2590">
        <f>VLOOKUP(D2590,State_Lookup!$A$2:$B$28,2,FALSE)</f>
        <v/>
      </c>
    </row>
    <row r="2591">
      <c r="A2591" t="inlineStr">
        <is>
          <t>8125fe0b0c7e59423a24402d9cb3ad85</t>
        </is>
      </c>
      <c r="B2591" t="inlineStr">
        <is>
          <t>2018-01-24</t>
        </is>
      </c>
      <c r="C2591" t="inlineStr">
        <is>
          <t>2018-01</t>
        </is>
      </c>
      <c r="D2591" t="inlineStr">
        <is>
          <t>SC</t>
        </is>
      </c>
      <c r="E2591" t="inlineStr">
        <is>
          <t>housewares</t>
        </is>
      </c>
      <c r="F2591" t="n">
        <v>4</v>
      </c>
      <c r="G2591" t="n">
        <v>247.6</v>
      </c>
      <c r="H2591" t="n">
        <v>70.72</v>
      </c>
      <c r="I2591" t="inlineStr">
        <is>
          <t>credit_card</t>
        </is>
      </c>
      <c r="J2591" t="n">
        <v>35</v>
      </c>
      <c r="K2591" t="inlineStr">
        <is>
          <t>Late</t>
        </is>
      </c>
      <c r="L2591" t="n">
        <v>1</v>
      </c>
      <c r="M2591">
        <f>VLOOKUP(D2591,State_Lookup!$A$2:$B$28,2,FALSE)</f>
        <v/>
      </c>
    </row>
    <row r="2592">
      <c r="A2592" t="inlineStr">
        <is>
          <t>d8e60d045809e16f66fdc3f775d0e870</t>
        </is>
      </c>
      <c r="B2592" t="inlineStr">
        <is>
          <t>2018-01-24</t>
        </is>
      </c>
      <c r="C2592" t="inlineStr">
        <is>
          <t>2018-01</t>
        </is>
      </c>
      <c r="D2592" t="inlineStr">
        <is>
          <t>RJ</t>
        </is>
      </c>
      <c r="E2592" t="inlineStr">
        <is>
          <t>sports_leisure</t>
        </is>
      </c>
      <c r="F2592" t="n">
        <v>1</v>
      </c>
      <c r="G2592" t="n">
        <v>160</v>
      </c>
      <c r="H2592" t="n">
        <v>17.37</v>
      </c>
      <c r="I2592" t="inlineStr">
        <is>
          <t>credit_card</t>
        </is>
      </c>
      <c r="J2592" t="n">
        <v>12</v>
      </c>
      <c r="K2592" t="inlineStr">
        <is>
          <t>On Time</t>
        </is>
      </c>
      <c r="L2592" t="n">
        <v>5</v>
      </c>
      <c r="M2592">
        <f>VLOOKUP(D2592,State_Lookup!$A$2:$B$28,2,FALSE)</f>
        <v/>
      </c>
    </row>
    <row r="2593">
      <c r="A2593" t="inlineStr">
        <is>
          <t>c9fc6a8e6b1fe646f9358b9ea7b1a446</t>
        </is>
      </c>
      <c r="B2593" t="inlineStr">
        <is>
          <t>2018-01-24</t>
        </is>
      </c>
      <c r="C2593" t="inlineStr">
        <is>
          <t>2018-01</t>
        </is>
      </c>
      <c r="D2593" t="inlineStr">
        <is>
          <t>RS</t>
        </is>
      </c>
      <c r="E2593" t="inlineStr">
        <is>
          <t>drinks</t>
        </is>
      </c>
      <c r="F2593" t="n">
        <v>1</v>
      </c>
      <c r="G2593" t="n">
        <v>47.49</v>
      </c>
      <c r="H2593" t="n">
        <v>16.11</v>
      </c>
      <c r="I2593" t="inlineStr">
        <is>
          <t>credit_card</t>
        </is>
      </c>
      <c r="J2593" t="n">
        <v>28</v>
      </c>
      <c r="K2593" t="inlineStr">
        <is>
          <t>On Time</t>
        </is>
      </c>
      <c r="L2593" t="n">
        <v>3</v>
      </c>
      <c r="M2593">
        <f>VLOOKUP(D2593,State_Lookup!$A$2:$B$28,2,FALSE)</f>
        <v/>
      </c>
    </row>
    <row r="2594">
      <c r="A2594" t="inlineStr">
        <is>
          <t>91fbe60f1b4b1e79c0f577bb6ac24502</t>
        </is>
      </c>
      <c r="B2594" t="inlineStr">
        <is>
          <t>2018-01-24</t>
        </is>
      </c>
      <c r="C2594" t="inlineStr">
        <is>
          <t>2018-01</t>
        </is>
      </c>
      <c r="D2594" t="inlineStr">
        <is>
          <t>MG</t>
        </is>
      </c>
      <c r="E2594" t="inlineStr">
        <is>
          <t>bed_bath_table</t>
        </is>
      </c>
      <c r="F2594" t="n">
        <v>1</v>
      </c>
      <c r="G2594" t="n">
        <v>54.9</v>
      </c>
      <c r="H2594" t="n">
        <v>19.87</v>
      </c>
      <c r="I2594" t="inlineStr">
        <is>
          <t>credit_card</t>
        </is>
      </c>
      <c r="J2594" t="n">
        <v>3</v>
      </c>
      <c r="K2594" t="inlineStr">
        <is>
          <t>On Time</t>
        </is>
      </c>
      <c r="L2594" t="n">
        <v>4</v>
      </c>
      <c r="M2594">
        <f>VLOOKUP(D2594,State_Lookup!$A$2:$B$28,2,FALSE)</f>
        <v/>
      </c>
    </row>
    <row r="2595">
      <c r="A2595" t="inlineStr">
        <is>
          <t>9f0e70e8d046d9e0626bbdaf1aff88c4</t>
        </is>
      </c>
      <c r="B2595" t="inlineStr">
        <is>
          <t>2018-01-24</t>
        </is>
      </c>
      <c r="C2595" t="inlineStr">
        <is>
          <t>2018-01</t>
        </is>
      </c>
      <c r="D2595" t="inlineStr">
        <is>
          <t>PA</t>
        </is>
      </c>
      <c r="E2595" t="inlineStr">
        <is>
          <t>furniture_decor</t>
        </is>
      </c>
      <c r="F2595" t="n">
        <v>1</v>
      </c>
      <c r="G2595" t="n">
        <v>126.69</v>
      </c>
      <c r="H2595" t="n">
        <v>39.88</v>
      </c>
      <c r="I2595" t="inlineStr">
        <is>
          <t>credit_card</t>
        </is>
      </c>
      <c r="J2595" t="inlineStr"/>
      <c r="K2595" t="inlineStr">
        <is>
          <t>Not Delivered</t>
        </is>
      </c>
      <c r="L2595" t="n">
        <v>1</v>
      </c>
      <c r="M2595">
        <f>VLOOKUP(D2595,State_Lookup!$A$2:$B$28,2,FALSE)</f>
        <v/>
      </c>
    </row>
    <row r="2596">
      <c r="A2596" t="inlineStr">
        <is>
          <t>02e20d5cc0d1df880e43ab3ed50a238b</t>
        </is>
      </c>
      <c r="B2596" t="inlineStr">
        <is>
          <t>2018-01-24</t>
        </is>
      </c>
      <c r="C2596" t="inlineStr">
        <is>
          <t>2018-01</t>
        </is>
      </c>
      <c r="D2596" t="inlineStr">
        <is>
          <t>SP</t>
        </is>
      </c>
      <c r="E2596" t="inlineStr">
        <is>
          <t>toys</t>
        </is>
      </c>
      <c r="F2596" t="n">
        <v>1</v>
      </c>
      <c r="G2596" t="n">
        <v>129.99</v>
      </c>
      <c r="H2596" t="n">
        <v>14.51</v>
      </c>
      <c r="I2596" t="inlineStr">
        <is>
          <t>credit_card</t>
        </is>
      </c>
      <c r="J2596" t="n">
        <v>7</v>
      </c>
      <c r="K2596" t="inlineStr">
        <is>
          <t>On Time</t>
        </is>
      </c>
      <c r="L2596" t="n">
        <v>5</v>
      </c>
      <c r="M2596">
        <f>VLOOKUP(D2596,State_Lookup!$A$2:$B$28,2,FALSE)</f>
        <v/>
      </c>
    </row>
    <row r="2597">
      <c r="A2597" t="inlineStr">
        <is>
          <t>905cf34043925642f36abb99eea3f3d6</t>
        </is>
      </c>
      <c r="B2597" t="inlineStr">
        <is>
          <t>2018-01-24</t>
        </is>
      </c>
      <c r="C2597" t="inlineStr">
        <is>
          <t>2018-01</t>
        </is>
      </c>
      <c r="D2597" t="inlineStr">
        <is>
          <t>DF</t>
        </is>
      </c>
      <c r="E2597" t="inlineStr">
        <is>
          <t>electronics</t>
        </is>
      </c>
      <c r="F2597" t="n">
        <v>2</v>
      </c>
      <c r="G2597" t="n">
        <v>158</v>
      </c>
      <c r="H2597" t="n">
        <v>32.62</v>
      </c>
      <c r="I2597" t="inlineStr">
        <is>
          <t>boleto</t>
        </is>
      </c>
      <c r="J2597" t="n">
        <v>35</v>
      </c>
      <c r="K2597" t="inlineStr">
        <is>
          <t>Late</t>
        </is>
      </c>
      <c r="L2597" t="n">
        <v>1</v>
      </c>
      <c r="M2597">
        <f>VLOOKUP(D2597,State_Lookup!$A$2:$B$28,2,FALSE)</f>
        <v/>
      </c>
    </row>
    <row r="2598">
      <c r="A2598" t="inlineStr">
        <is>
          <t>ba2e16aeb4e0a8e7f3d8eaf0ed7589e2</t>
        </is>
      </c>
      <c r="B2598" t="inlineStr">
        <is>
          <t>2018-01-24</t>
        </is>
      </c>
      <c r="C2598" t="inlineStr">
        <is>
          <t>2018-01</t>
        </is>
      </c>
      <c r="D2598" t="inlineStr">
        <is>
          <t>AP</t>
        </is>
      </c>
      <c r="E2598" t="inlineStr">
        <is>
          <t>electronics</t>
        </is>
      </c>
      <c r="F2598" t="n">
        <v>1</v>
      </c>
      <c r="G2598" t="n">
        <v>13.65</v>
      </c>
      <c r="H2598" t="n">
        <v>21.15</v>
      </c>
      <c r="I2598" t="inlineStr">
        <is>
          <t>boleto</t>
        </is>
      </c>
      <c r="J2598" t="n">
        <v>29</v>
      </c>
      <c r="K2598" t="inlineStr">
        <is>
          <t>On Time</t>
        </is>
      </c>
      <c r="L2598" t="n">
        <v>4</v>
      </c>
      <c r="M2598">
        <f>VLOOKUP(D2598,State_Lookup!$A$2:$B$28,2,FALSE)</f>
        <v/>
      </c>
    </row>
    <row r="2599">
      <c r="A2599" t="inlineStr">
        <is>
          <t>adf281b98295b5c27f37e402ed781595</t>
        </is>
      </c>
      <c r="B2599" t="inlineStr">
        <is>
          <t>2018-01-25</t>
        </is>
      </c>
      <c r="C2599" t="inlineStr">
        <is>
          <t>2018-01</t>
        </is>
      </c>
      <c r="D2599" t="inlineStr">
        <is>
          <t>SP</t>
        </is>
      </c>
      <c r="E2599" t="inlineStr">
        <is>
          <t>housewares</t>
        </is>
      </c>
      <c r="F2599" t="n">
        <v>2</v>
      </c>
      <c r="G2599" t="n">
        <v>178</v>
      </c>
      <c r="H2599" t="n">
        <v>33.74</v>
      </c>
      <c r="I2599" t="inlineStr">
        <is>
          <t>credit_card</t>
        </is>
      </c>
      <c r="J2599" t="n">
        <v>29</v>
      </c>
      <c r="K2599" t="inlineStr">
        <is>
          <t>On Time</t>
        </is>
      </c>
      <c r="L2599" t="n">
        <v>1</v>
      </c>
      <c r="M2599">
        <f>VLOOKUP(D2599,State_Lookup!$A$2:$B$28,2,FALSE)</f>
        <v/>
      </c>
    </row>
    <row r="2600">
      <c r="A2600" t="inlineStr">
        <is>
          <t>f59f19205098bc544feb263fcdc667d9</t>
        </is>
      </c>
      <c r="B2600" t="inlineStr">
        <is>
          <t>2018-01-25</t>
        </is>
      </c>
      <c r="C2600" t="inlineStr">
        <is>
          <t>2018-01</t>
        </is>
      </c>
      <c r="D2600" t="inlineStr">
        <is>
          <t>MG</t>
        </is>
      </c>
      <c r="E2600" t="inlineStr">
        <is>
          <t>office_furniture</t>
        </is>
      </c>
      <c r="F2600" t="n">
        <v>3</v>
      </c>
      <c r="G2600" t="n">
        <v>239.97</v>
      </c>
      <c r="H2600" t="n">
        <v>80.64</v>
      </c>
      <c r="I2600" t="inlineStr">
        <is>
          <t>credit_card</t>
        </is>
      </c>
      <c r="J2600" t="n">
        <v>26</v>
      </c>
      <c r="K2600" t="inlineStr">
        <is>
          <t>On Time</t>
        </is>
      </c>
      <c r="L2600" t="n">
        <v>4</v>
      </c>
      <c r="M2600">
        <f>VLOOKUP(D2600,State_Lookup!$A$2:$B$28,2,FALSE)</f>
        <v/>
      </c>
    </row>
    <row r="2601">
      <c r="A2601" t="inlineStr">
        <is>
          <t>46b6741ad3894b35c9345747e8a326a3</t>
        </is>
      </c>
      <c r="B2601" t="inlineStr">
        <is>
          <t>2018-01-25</t>
        </is>
      </c>
      <c r="C2601" t="inlineStr">
        <is>
          <t>2018-01</t>
        </is>
      </c>
      <c r="D2601" t="inlineStr">
        <is>
          <t>SP</t>
        </is>
      </c>
      <c r="E2601" t="inlineStr">
        <is>
          <t>home_confort</t>
        </is>
      </c>
      <c r="F2601" t="n">
        <v>1</v>
      </c>
      <c r="G2601" t="n">
        <v>219</v>
      </c>
      <c r="H2601" t="n">
        <v>17.16</v>
      </c>
      <c r="I2601" t="inlineStr">
        <is>
          <t>credit_card</t>
        </is>
      </c>
      <c r="J2601" t="n">
        <v>13</v>
      </c>
      <c r="K2601" t="inlineStr">
        <is>
          <t>On Time</t>
        </is>
      </c>
      <c r="L2601" t="n">
        <v>5</v>
      </c>
      <c r="M2601">
        <f>VLOOKUP(D2601,State_Lookup!$A$2:$B$28,2,FALSE)</f>
        <v/>
      </c>
    </row>
    <row r="2602">
      <c r="A2602" t="inlineStr">
        <is>
          <t>06fef7fd666bfeff415e544f1648a7de</t>
        </is>
      </c>
      <c r="B2602" t="inlineStr">
        <is>
          <t>2018-01-25</t>
        </is>
      </c>
      <c r="C2602" t="inlineStr">
        <is>
          <t>2018-01</t>
        </is>
      </c>
      <c r="D2602" t="inlineStr">
        <is>
          <t>DF</t>
        </is>
      </c>
      <c r="E2602" t="inlineStr">
        <is>
          <t>telephony</t>
        </is>
      </c>
      <c r="F2602" t="n">
        <v>1</v>
      </c>
      <c r="G2602" t="n">
        <v>29.99</v>
      </c>
      <c r="H2602" t="n">
        <v>14.1</v>
      </c>
      <c r="I2602" t="inlineStr">
        <is>
          <t>boleto</t>
        </is>
      </c>
      <c r="J2602" t="n">
        <v>12</v>
      </c>
      <c r="K2602" t="inlineStr">
        <is>
          <t>On Time</t>
        </is>
      </c>
      <c r="L2602" t="n">
        <v>1</v>
      </c>
      <c r="M2602">
        <f>VLOOKUP(D2602,State_Lookup!$A$2:$B$28,2,FALSE)</f>
        <v/>
      </c>
    </row>
    <row r="2603">
      <c r="A2603" t="inlineStr">
        <is>
          <t>8f50817faced9fa9f4c8807f6fc4548a</t>
        </is>
      </c>
      <c r="B2603" t="inlineStr">
        <is>
          <t>2018-01-25</t>
        </is>
      </c>
      <c r="C2603" t="inlineStr">
        <is>
          <t>2018-01</t>
        </is>
      </c>
      <c r="D2603" t="inlineStr">
        <is>
          <t>SP</t>
        </is>
      </c>
      <c r="E2603" t="inlineStr">
        <is>
          <t>health_beauty</t>
        </is>
      </c>
      <c r="F2603" t="n">
        <v>1</v>
      </c>
      <c r="G2603" t="n">
        <v>89.98999999999999</v>
      </c>
      <c r="H2603" t="n">
        <v>9.44</v>
      </c>
      <c r="I2603" t="inlineStr">
        <is>
          <t>credit_card</t>
        </is>
      </c>
      <c r="J2603" t="n">
        <v>4</v>
      </c>
      <c r="K2603" t="inlineStr">
        <is>
          <t>On Time</t>
        </is>
      </c>
      <c r="L2603" t="n">
        <v>5</v>
      </c>
      <c r="M2603">
        <f>VLOOKUP(D2603,State_Lookup!$A$2:$B$28,2,FALSE)</f>
        <v/>
      </c>
    </row>
    <row r="2604">
      <c r="A2604" t="inlineStr">
        <is>
          <t>3c79ec251c0c9e0831dcc2cf541c5dda</t>
        </is>
      </c>
      <c r="B2604" t="inlineStr">
        <is>
          <t>2018-01-25</t>
        </is>
      </c>
      <c r="C2604" t="inlineStr">
        <is>
          <t>2018-01</t>
        </is>
      </c>
      <c r="D2604" t="inlineStr">
        <is>
          <t>SC</t>
        </is>
      </c>
      <c r="E2604" t="inlineStr">
        <is>
          <t>perfumery</t>
        </is>
      </c>
      <c r="F2604" t="n">
        <v>1</v>
      </c>
      <c r="G2604" t="n">
        <v>37.9</v>
      </c>
      <c r="H2604" t="n">
        <v>15.11</v>
      </c>
      <c r="I2604" t="inlineStr">
        <is>
          <t>credit_card</t>
        </is>
      </c>
      <c r="J2604" t="n">
        <v>19</v>
      </c>
      <c r="K2604" t="inlineStr">
        <is>
          <t>On Time</t>
        </is>
      </c>
      <c r="L2604" t="n">
        <v>4</v>
      </c>
      <c r="M2604">
        <f>VLOOKUP(D2604,State_Lookup!$A$2:$B$28,2,FALSE)</f>
        <v/>
      </c>
    </row>
    <row r="2605">
      <c r="A2605" t="inlineStr">
        <is>
          <t>1762d5c6c1f5efce31b1d21339212730</t>
        </is>
      </c>
      <c r="B2605" t="inlineStr">
        <is>
          <t>2018-01-25</t>
        </is>
      </c>
      <c r="C2605" t="inlineStr">
        <is>
          <t>2018-01</t>
        </is>
      </c>
      <c r="D2605" t="inlineStr">
        <is>
          <t>MG</t>
        </is>
      </c>
      <c r="E2605" t="inlineStr">
        <is>
          <t>housewares</t>
        </is>
      </c>
      <c r="F2605" t="n">
        <v>1</v>
      </c>
      <c r="G2605" t="n">
        <v>36.9</v>
      </c>
      <c r="H2605" t="n">
        <v>17.6</v>
      </c>
      <c r="I2605" t="inlineStr">
        <is>
          <t>credit_card</t>
        </is>
      </c>
      <c r="J2605" t="n">
        <v>6</v>
      </c>
      <c r="K2605" t="inlineStr">
        <is>
          <t>On Time</t>
        </is>
      </c>
      <c r="L2605" t="n">
        <v>5</v>
      </c>
      <c r="M2605">
        <f>VLOOKUP(D2605,State_Lookup!$A$2:$B$28,2,FALSE)</f>
        <v/>
      </c>
    </row>
    <row r="2606">
      <c r="A2606" t="inlineStr">
        <is>
          <t>cb6257603930f3618def090a02e57d92</t>
        </is>
      </c>
      <c r="B2606" t="inlineStr">
        <is>
          <t>2018-01-25</t>
        </is>
      </c>
      <c r="C2606" t="inlineStr">
        <is>
          <t>2018-01</t>
        </is>
      </c>
      <c r="D2606" t="inlineStr">
        <is>
          <t>RJ</t>
        </is>
      </c>
      <c r="E2606" t="inlineStr">
        <is>
          <t>furniture_living_room</t>
        </is>
      </c>
      <c r="F2606" t="n">
        <v>1</v>
      </c>
      <c r="G2606" t="n">
        <v>179.99</v>
      </c>
      <c r="H2606" t="n">
        <v>27.58</v>
      </c>
      <c r="I2606" t="inlineStr">
        <is>
          <t>credit_card</t>
        </is>
      </c>
      <c r="J2606" t="n">
        <v>9</v>
      </c>
      <c r="K2606" t="inlineStr">
        <is>
          <t>On Time</t>
        </is>
      </c>
      <c r="L2606" t="n">
        <v>5</v>
      </c>
      <c r="M2606">
        <f>VLOOKUP(D2606,State_Lookup!$A$2:$B$28,2,FALSE)</f>
        <v/>
      </c>
    </row>
    <row r="2607">
      <c r="A2607" t="inlineStr">
        <is>
          <t>3a129877493c8189c59c60eb71d97c29</t>
        </is>
      </c>
      <c r="B2607" t="inlineStr">
        <is>
          <t>2018-01-25</t>
        </is>
      </c>
      <c r="C2607" t="inlineStr">
        <is>
          <t>2018-01</t>
        </is>
      </c>
      <c r="D2607" t="inlineStr">
        <is>
          <t>PR</t>
        </is>
      </c>
      <c r="E2607" t="inlineStr">
        <is>
          <t>sports_leisure</t>
        </is>
      </c>
      <c r="F2607" t="n">
        <v>1</v>
      </c>
      <c r="G2607" t="n">
        <v>35.9</v>
      </c>
      <c r="H2607" t="n">
        <v>15.1</v>
      </c>
      <c r="I2607" t="inlineStr">
        <is>
          <t>voucher</t>
        </is>
      </c>
      <c r="J2607" t="inlineStr"/>
      <c r="K2607" t="inlineStr">
        <is>
          <t>Not Delivered</t>
        </is>
      </c>
      <c r="L2607" t="n">
        <v>1</v>
      </c>
      <c r="M2607">
        <f>VLOOKUP(D2607,State_Lookup!$A$2:$B$28,2,FALSE)</f>
        <v/>
      </c>
    </row>
    <row r="2608">
      <c r="A2608" t="inlineStr">
        <is>
          <t>4211e9c52967c6118ba50e4efde875a5</t>
        </is>
      </c>
      <c r="B2608" t="inlineStr">
        <is>
          <t>2018-01-25</t>
        </is>
      </c>
      <c r="C2608" t="inlineStr">
        <is>
          <t>2018-01</t>
        </is>
      </c>
      <c r="D2608" t="inlineStr">
        <is>
          <t>SP</t>
        </is>
      </c>
      <c r="E2608" t="inlineStr">
        <is>
          <t>health_beauty</t>
        </is>
      </c>
      <c r="F2608" t="n">
        <v>3</v>
      </c>
      <c r="G2608" t="n">
        <v>44.97</v>
      </c>
      <c r="H2608" t="n">
        <v>23.34</v>
      </c>
      <c r="I2608" t="inlineStr">
        <is>
          <t>credit_card</t>
        </is>
      </c>
      <c r="J2608" t="n">
        <v>7</v>
      </c>
      <c r="K2608" t="inlineStr">
        <is>
          <t>On Time</t>
        </is>
      </c>
      <c r="L2608" t="n">
        <v>5</v>
      </c>
      <c r="M2608">
        <f>VLOOKUP(D2608,State_Lookup!$A$2:$B$28,2,FALSE)</f>
        <v/>
      </c>
    </row>
    <row r="2609">
      <c r="A2609" t="inlineStr">
        <is>
          <t>884e5d3456c8de94634174aa2fa4cb5e</t>
        </is>
      </c>
      <c r="B2609" t="inlineStr">
        <is>
          <t>2018-01-26</t>
        </is>
      </c>
      <c r="C2609" t="inlineStr">
        <is>
          <t>2018-01</t>
        </is>
      </c>
      <c r="D2609" t="inlineStr">
        <is>
          <t>SP</t>
        </is>
      </c>
      <c r="E2609" t="inlineStr">
        <is>
          <t>bed_bath_table</t>
        </is>
      </c>
      <c r="F2609" t="n">
        <v>1</v>
      </c>
      <c r="G2609" t="n">
        <v>31.9</v>
      </c>
      <c r="H2609" t="n">
        <v>12.69</v>
      </c>
      <c r="I2609" t="inlineStr">
        <is>
          <t>credit_card</t>
        </is>
      </c>
      <c r="J2609" t="n">
        <v>6</v>
      </c>
      <c r="K2609" t="inlineStr">
        <is>
          <t>On Time</t>
        </is>
      </c>
      <c r="L2609" t="n">
        <v>4</v>
      </c>
      <c r="M2609">
        <f>VLOOKUP(D2609,State_Lookup!$A$2:$B$28,2,FALSE)</f>
        <v/>
      </c>
    </row>
    <row r="2610">
      <c r="A2610" t="inlineStr">
        <is>
          <t>dc49dbbb4fdb62c17557f79ebfed0225</t>
        </is>
      </c>
      <c r="B2610" t="inlineStr">
        <is>
          <t>2018-01-26</t>
        </is>
      </c>
      <c r="C2610" t="inlineStr">
        <is>
          <t>2018-01</t>
        </is>
      </c>
      <c r="D2610" t="inlineStr">
        <is>
          <t>SP</t>
        </is>
      </c>
      <c r="E2610" t="inlineStr">
        <is>
          <t>furniture_decor</t>
        </is>
      </c>
      <c r="F2610" t="n">
        <v>1</v>
      </c>
      <c r="G2610" t="n">
        <v>169</v>
      </c>
      <c r="H2610" t="n">
        <v>12.39</v>
      </c>
      <c r="I2610" t="inlineStr">
        <is>
          <t>credit_card</t>
        </is>
      </c>
      <c r="J2610" t="n">
        <v>6</v>
      </c>
      <c r="K2610" t="inlineStr">
        <is>
          <t>On Time</t>
        </is>
      </c>
      <c r="L2610" t="n">
        <v>5</v>
      </c>
      <c r="M2610">
        <f>VLOOKUP(D2610,State_Lookup!$A$2:$B$28,2,FALSE)</f>
        <v/>
      </c>
    </row>
    <row r="2611">
      <c r="A2611" t="inlineStr">
        <is>
          <t>75d64d83a9bbe69f614a590930b789f0</t>
        </is>
      </c>
      <c r="B2611" t="inlineStr">
        <is>
          <t>2018-01-26</t>
        </is>
      </c>
      <c r="C2611" t="inlineStr">
        <is>
          <t>2018-01</t>
        </is>
      </c>
      <c r="D2611" t="inlineStr">
        <is>
          <t>ES</t>
        </is>
      </c>
      <c r="E2611" t="inlineStr">
        <is>
          <t>musical_instruments</t>
        </is>
      </c>
      <c r="F2611" t="n">
        <v>1</v>
      </c>
      <c r="G2611" t="n">
        <v>478.7</v>
      </c>
      <c r="H2611" t="n">
        <v>21.59</v>
      </c>
      <c r="I2611" t="inlineStr">
        <is>
          <t>boleto</t>
        </is>
      </c>
      <c r="J2611" t="n">
        <v>26</v>
      </c>
      <c r="K2611" t="inlineStr">
        <is>
          <t>On Time</t>
        </is>
      </c>
      <c r="L2611" t="n">
        <v>3</v>
      </c>
      <c r="M2611">
        <f>VLOOKUP(D2611,State_Lookup!$A$2:$B$28,2,FALSE)</f>
        <v/>
      </c>
    </row>
    <row r="2612">
      <c r="A2612" t="inlineStr">
        <is>
          <t>8b4116b3c788f8fc49c7d5089ad2450d</t>
        </is>
      </c>
      <c r="B2612" t="inlineStr">
        <is>
          <t>2018-01-26</t>
        </is>
      </c>
      <c r="C2612" t="inlineStr">
        <is>
          <t>2018-01</t>
        </is>
      </c>
      <c r="D2612" t="inlineStr">
        <is>
          <t>SP</t>
        </is>
      </c>
      <c r="E2612" t="inlineStr">
        <is>
          <t>industry_commerce_and_business</t>
        </is>
      </c>
      <c r="F2612" t="n">
        <v>1</v>
      </c>
      <c r="G2612" t="n">
        <v>104</v>
      </c>
      <c r="H2612" t="n">
        <v>15.48</v>
      </c>
      <c r="I2612" t="inlineStr">
        <is>
          <t>credit_card</t>
        </is>
      </c>
      <c r="J2612" t="n">
        <v>4</v>
      </c>
      <c r="K2612" t="inlineStr">
        <is>
          <t>On Time</t>
        </is>
      </c>
      <c r="L2612" t="n">
        <v>5</v>
      </c>
      <c r="M2612">
        <f>VLOOKUP(D2612,State_Lookup!$A$2:$B$28,2,FALSE)</f>
        <v/>
      </c>
    </row>
    <row r="2613">
      <c r="A2613" t="inlineStr">
        <is>
          <t>e352ff9f2e0ad057b6ce41cc5a662991</t>
        </is>
      </c>
      <c r="B2613" t="inlineStr">
        <is>
          <t>2018-01-26</t>
        </is>
      </c>
      <c r="C2613" t="inlineStr">
        <is>
          <t>2018-01</t>
        </is>
      </c>
      <c r="D2613" t="inlineStr">
        <is>
          <t>SC</t>
        </is>
      </c>
      <c r="E2613" t="inlineStr">
        <is>
          <t>bed_bath_table</t>
        </is>
      </c>
      <c r="F2613" t="n">
        <v>4</v>
      </c>
      <c r="G2613" t="n">
        <v>35.96</v>
      </c>
      <c r="H2613" t="n">
        <v>67.16</v>
      </c>
      <c r="I2613" t="inlineStr">
        <is>
          <t>boleto</t>
        </is>
      </c>
      <c r="J2613" t="n">
        <v>32</v>
      </c>
      <c r="K2613" t="inlineStr">
        <is>
          <t>On Time</t>
        </is>
      </c>
      <c r="L2613" t="n">
        <v>1</v>
      </c>
      <c r="M2613">
        <f>VLOOKUP(D2613,State_Lookup!$A$2:$B$28,2,FALSE)</f>
        <v/>
      </c>
    </row>
    <row r="2614">
      <c r="A2614" t="inlineStr">
        <is>
          <t>12ba6eb5ae5bb52161567bf261f9339e</t>
        </is>
      </c>
      <c r="B2614" t="inlineStr">
        <is>
          <t>2018-01-26</t>
        </is>
      </c>
      <c r="C2614" t="inlineStr">
        <is>
          <t>2018-01</t>
        </is>
      </c>
      <c r="D2614" t="inlineStr">
        <is>
          <t>SP</t>
        </is>
      </c>
      <c r="E2614" t="inlineStr">
        <is>
          <t>watches_gifts</t>
        </is>
      </c>
      <c r="F2614" t="n">
        <v>1</v>
      </c>
      <c r="G2614" t="n">
        <v>215</v>
      </c>
      <c r="H2614" t="n">
        <v>13.01</v>
      </c>
      <c r="I2614" t="inlineStr">
        <is>
          <t>credit_card</t>
        </is>
      </c>
      <c r="J2614" t="n">
        <v>7</v>
      </c>
      <c r="K2614" t="inlineStr">
        <is>
          <t>On Time</t>
        </is>
      </c>
      <c r="L2614" t="n">
        <v>5</v>
      </c>
      <c r="M2614">
        <f>VLOOKUP(D2614,State_Lookup!$A$2:$B$28,2,FALSE)</f>
        <v/>
      </c>
    </row>
    <row r="2615">
      <c r="A2615" t="inlineStr">
        <is>
          <t>3a7f40eab12e1d0bbd77a6cbb0e9f4e0</t>
        </is>
      </c>
      <c r="B2615" t="inlineStr">
        <is>
          <t>2018-01-26</t>
        </is>
      </c>
      <c r="C2615" t="inlineStr">
        <is>
          <t>2018-01</t>
        </is>
      </c>
      <c r="D2615" t="inlineStr">
        <is>
          <t>RJ</t>
        </is>
      </c>
      <c r="E2615" t="inlineStr">
        <is>
          <t>health_beauty</t>
        </is>
      </c>
      <c r="F2615" t="n">
        <v>1</v>
      </c>
      <c r="G2615" t="n">
        <v>150</v>
      </c>
      <c r="H2615" t="n">
        <v>15.8</v>
      </c>
      <c r="I2615" t="inlineStr">
        <is>
          <t>credit_card</t>
        </is>
      </c>
      <c r="J2615" t="n">
        <v>24</v>
      </c>
      <c r="K2615" t="inlineStr">
        <is>
          <t>On Time</t>
        </is>
      </c>
      <c r="L2615" t="n">
        <v>3</v>
      </c>
      <c r="M2615">
        <f>VLOOKUP(D2615,State_Lookup!$A$2:$B$28,2,FALSE)</f>
        <v/>
      </c>
    </row>
    <row r="2616">
      <c r="A2616" t="inlineStr">
        <is>
          <t>aeae8ce86f335790a6beccae2f8c5092</t>
        </is>
      </c>
      <c r="B2616" t="inlineStr">
        <is>
          <t>2018-01-26</t>
        </is>
      </c>
      <c r="C2616" t="inlineStr">
        <is>
          <t>2018-01</t>
        </is>
      </c>
      <c r="D2616" t="inlineStr">
        <is>
          <t>PE</t>
        </is>
      </c>
      <c r="E2616" t="inlineStr">
        <is>
          <t>books_technical</t>
        </is>
      </c>
      <c r="F2616" t="n">
        <v>1</v>
      </c>
      <c r="G2616" t="n">
        <v>65</v>
      </c>
      <c r="H2616" t="n">
        <v>26.99</v>
      </c>
      <c r="I2616" t="inlineStr">
        <is>
          <t>credit_card</t>
        </is>
      </c>
      <c r="J2616" t="n">
        <v>13</v>
      </c>
      <c r="K2616" t="inlineStr">
        <is>
          <t>On Time</t>
        </is>
      </c>
      <c r="L2616" t="n">
        <v>5</v>
      </c>
      <c r="M2616">
        <f>VLOOKUP(D2616,State_Lookup!$A$2:$B$28,2,FALSE)</f>
        <v/>
      </c>
    </row>
    <row r="2617">
      <c r="A2617" t="inlineStr">
        <is>
          <t>611e352f93ae51674ed15e44ec53f99e</t>
        </is>
      </c>
      <c r="B2617" t="inlineStr">
        <is>
          <t>2018-01-26</t>
        </is>
      </c>
      <c r="C2617" t="inlineStr">
        <is>
          <t>2018-01</t>
        </is>
      </c>
      <c r="D2617" t="inlineStr">
        <is>
          <t>ES</t>
        </is>
      </c>
      <c r="E2617" t="inlineStr">
        <is>
          <t>auto</t>
        </is>
      </c>
      <c r="F2617" t="n">
        <v>1</v>
      </c>
      <c r="G2617" t="n">
        <v>53</v>
      </c>
      <c r="H2617" t="n">
        <v>14.12</v>
      </c>
      <c r="I2617" t="inlineStr">
        <is>
          <t>boleto</t>
        </is>
      </c>
      <c r="J2617" t="n">
        <v>19</v>
      </c>
      <c r="K2617" t="inlineStr">
        <is>
          <t>On Time</t>
        </is>
      </c>
      <c r="L2617" t="n">
        <v>5</v>
      </c>
      <c r="M2617">
        <f>VLOOKUP(D2617,State_Lookup!$A$2:$B$28,2,FALSE)</f>
        <v/>
      </c>
    </row>
    <row r="2618">
      <c r="A2618" t="inlineStr">
        <is>
          <t>2b44f8afc9f2df6a6090d45db68f9162</t>
        </is>
      </c>
      <c r="B2618" t="inlineStr">
        <is>
          <t>2018-01-27</t>
        </is>
      </c>
      <c r="C2618" t="inlineStr">
        <is>
          <t>2018-01</t>
        </is>
      </c>
      <c r="D2618" t="inlineStr">
        <is>
          <t>SP</t>
        </is>
      </c>
      <c r="E2618" t="inlineStr">
        <is>
          <t>health_beauty</t>
        </is>
      </c>
      <c r="F2618" t="n">
        <v>1</v>
      </c>
      <c r="G2618" t="n">
        <v>199.9</v>
      </c>
      <c r="H2618" t="n">
        <v>17.16</v>
      </c>
      <c r="I2618" t="inlineStr">
        <is>
          <t>credit_card</t>
        </is>
      </c>
      <c r="J2618" t="n">
        <v>30</v>
      </c>
      <c r="K2618" t="inlineStr">
        <is>
          <t>On Time</t>
        </is>
      </c>
      <c r="L2618" t="n">
        <v>4</v>
      </c>
      <c r="M2618">
        <f>VLOOKUP(D2618,State_Lookup!$A$2:$B$28,2,FALSE)</f>
        <v/>
      </c>
    </row>
    <row r="2619">
      <c r="A2619" t="inlineStr">
        <is>
          <t>37ce40447807e0d3e58cc474ce549881</t>
        </is>
      </c>
      <c r="B2619" t="inlineStr">
        <is>
          <t>2018-01-27</t>
        </is>
      </c>
      <c r="C2619" t="inlineStr">
        <is>
          <t>2018-01</t>
        </is>
      </c>
      <c r="D2619" t="inlineStr">
        <is>
          <t>BA</t>
        </is>
      </c>
      <c r="E2619" t="inlineStr">
        <is>
          <t>stationery</t>
        </is>
      </c>
      <c r="F2619" t="n">
        <v>1</v>
      </c>
      <c r="G2619" t="n">
        <v>99.90000000000001</v>
      </c>
      <c r="H2619" t="n">
        <v>17.14</v>
      </c>
      <c r="I2619" t="inlineStr">
        <is>
          <t>credit_card</t>
        </is>
      </c>
      <c r="J2619" t="inlineStr"/>
      <c r="K2619" t="inlineStr">
        <is>
          <t>Not Delivered</t>
        </is>
      </c>
      <c r="L2619" t="n">
        <v>1</v>
      </c>
      <c r="M2619">
        <f>VLOOKUP(D2619,State_Lookup!$A$2:$B$28,2,FALSE)</f>
        <v/>
      </c>
    </row>
    <row r="2620">
      <c r="A2620" t="inlineStr">
        <is>
          <t>6afe56a58c8b67e87e2abd3e88c4f41d</t>
        </is>
      </c>
      <c r="B2620" t="inlineStr">
        <is>
          <t>2018-01-27</t>
        </is>
      </c>
      <c r="C2620" t="inlineStr">
        <is>
          <t>2018-01</t>
        </is>
      </c>
      <c r="D2620" t="inlineStr">
        <is>
          <t>PR</t>
        </is>
      </c>
      <c r="E2620" t="inlineStr">
        <is>
          <t>telephony</t>
        </is>
      </c>
      <c r="F2620" t="n">
        <v>1</v>
      </c>
      <c r="G2620" t="n">
        <v>49.99</v>
      </c>
      <c r="H2620" t="n">
        <v>14.1</v>
      </c>
      <c r="I2620" t="inlineStr">
        <is>
          <t>credit_card</t>
        </is>
      </c>
      <c r="J2620" t="n">
        <v>5</v>
      </c>
      <c r="K2620" t="inlineStr">
        <is>
          <t>On Time</t>
        </is>
      </c>
      <c r="L2620" t="n">
        <v>5</v>
      </c>
      <c r="M2620">
        <f>VLOOKUP(D2620,State_Lookup!$A$2:$B$28,2,FALSE)</f>
        <v/>
      </c>
    </row>
    <row r="2621">
      <c r="A2621" t="inlineStr">
        <is>
          <t>cb5856e20e27928c1e437683b9c0c9ec</t>
        </is>
      </c>
      <c r="B2621" t="inlineStr">
        <is>
          <t>2018-01-27</t>
        </is>
      </c>
      <c r="C2621" t="inlineStr">
        <is>
          <t>2018-01</t>
        </is>
      </c>
      <c r="D2621" t="inlineStr">
        <is>
          <t>SP</t>
        </is>
      </c>
      <c r="E2621" t="inlineStr">
        <is>
          <t>office_furniture</t>
        </is>
      </c>
      <c r="F2621" t="n">
        <v>1</v>
      </c>
      <c r="G2621" t="n">
        <v>106.94</v>
      </c>
      <c r="H2621" t="n">
        <v>18.46</v>
      </c>
      <c r="I2621" t="inlineStr">
        <is>
          <t>credit_card</t>
        </is>
      </c>
      <c r="J2621" t="n">
        <v>18</v>
      </c>
      <c r="K2621" t="inlineStr">
        <is>
          <t>On Time</t>
        </is>
      </c>
      <c r="L2621" t="n">
        <v>4</v>
      </c>
      <c r="M2621">
        <f>VLOOKUP(D2621,State_Lookup!$A$2:$B$28,2,FALSE)</f>
        <v/>
      </c>
    </row>
    <row r="2622">
      <c r="A2622" t="inlineStr">
        <is>
          <t>88c8805f126160713535daf5badbd485</t>
        </is>
      </c>
      <c r="B2622" t="inlineStr">
        <is>
          <t>2018-01-28</t>
        </is>
      </c>
      <c r="C2622" t="inlineStr">
        <is>
          <t>2018-01</t>
        </is>
      </c>
      <c r="D2622" t="inlineStr">
        <is>
          <t>SP</t>
        </is>
      </c>
      <c r="E2622" t="inlineStr">
        <is>
          <t>health_beauty</t>
        </is>
      </c>
      <c r="F2622" t="n">
        <v>1</v>
      </c>
      <c r="G2622" t="n">
        <v>359</v>
      </c>
      <c r="H2622" t="n">
        <v>16.26</v>
      </c>
      <c r="I2622" t="inlineStr">
        <is>
          <t>credit_card</t>
        </is>
      </c>
      <c r="J2622" t="n">
        <v>9</v>
      </c>
      <c r="K2622" t="inlineStr">
        <is>
          <t>On Time</t>
        </is>
      </c>
      <c r="L2622" t="n">
        <v>5</v>
      </c>
      <c r="M2622">
        <f>VLOOKUP(D2622,State_Lookup!$A$2:$B$28,2,FALSE)</f>
        <v/>
      </c>
    </row>
    <row r="2623">
      <c r="A2623" t="inlineStr">
        <is>
          <t>128874d639055ad5609b5269defad1c3</t>
        </is>
      </c>
      <c r="B2623" t="inlineStr">
        <is>
          <t>2018-01-28</t>
        </is>
      </c>
      <c r="C2623" t="inlineStr">
        <is>
          <t>2018-01</t>
        </is>
      </c>
      <c r="D2623" t="inlineStr">
        <is>
          <t>SP</t>
        </is>
      </c>
      <c r="E2623" t="inlineStr">
        <is>
          <t>sports_leisure</t>
        </is>
      </c>
      <c r="F2623" t="n">
        <v>1</v>
      </c>
      <c r="G2623" t="n">
        <v>90</v>
      </c>
      <c r="H2623" t="n">
        <v>13.65</v>
      </c>
      <c r="I2623" t="inlineStr">
        <is>
          <t>credit_card</t>
        </is>
      </c>
      <c r="J2623" t="n">
        <v>5</v>
      </c>
      <c r="K2623" t="inlineStr">
        <is>
          <t>On Time</t>
        </is>
      </c>
      <c r="L2623" t="n">
        <v>4</v>
      </c>
      <c r="M2623">
        <f>VLOOKUP(D2623,State_Lookup!$A$2:$B$28,2,FALSE)</f>
        <v/>
      </c>
    </row>
    <row r="2624">
      <c r="A2624" t="inlineStr">
        <is>
          <t>cc9c27c90afa88462b4d852d81b367fc</t>
        </is>
      </c>
      <c r="B2624" t="inlineStr">
        <is>
          <t>2018-01-28</t>
        </is>
      </c>
      <c r="C2624" t="inlineStr">
        <is>
          <t>2018-01</t>
        </is>
      </c>
      <c r="D2624" t="inlineStr">
        <is>
          <t>MG</t>
        </is>
      </c>
      <c r="E2624" t="inlineStr">
        <is>
          <t>musical_instruments</t>
        </is>
      </c>
      <c r="F2624" t="n">
        <v>1</v>
      </c>
      <c r="G2624" t="n">
        <v>269</v>
      </c>
      <c r="H2624" t="n">
        <v>26.72</v>
      </c>
      <c r="I2624" t="inlineStr">
        <is>
          <t>credit_card</t>
        </is>
      </c>
      <c r="J2624" t="n">
        <v>5</v>
      </c>
      <c r="K2624" t="inlineStr">
        <is>
          <t>On Time</t>
        </is>
      </c>
      <c r="L2624" t="n">
        <v>5</v>
      </c>
      <c r="M2624">
        <f>VLOOKUP(D2624,State_Lookup!$A$2:$B$28,2,FALSE)</f>
        <v/>
      </c>
    </row>
    <row r="2625">
      <c r="A2625" t="inlineStr">
        <is>
          <t>2286b145b395497c04386640eb5cb5cb</t>
        </is>
      </c>
      <c r="B2625" t="inlineStr">
        <is>
          <t>2018-01-28</t>
        </is>
      </c>
      <c r="C2625" t="inlineStr">
        <is>
          <t>2018-01</t>
        </is>
      </c>
      <c r="D2625" t="inlineStr">
        <is>
          <t>SP</t>
        </is>
      </c>
      <c r="E2625" t="inlineStr">
        <is>
          <t>furniture_decor</t>
        </is>
      </c>
      <c r="F2625" t="n">
        <v>1</v>
      </c>
      <c r="G2625" t="n">
        <v>97</v>
      </c>
      <c r="H2625" t="n">
        <v>14.41</v>
      </c>
      <c r="I2625" t="inlineStr">
        <is>
          <t>boleto</t>
        </is>
      </c>
      <c r="J2625" t="n">
        <v>22</v>
      </c>
      <c r="K2625" t="inlineStr">
        <is>
          <t>On Time</t>
        </is>
      </c>
      <c r="L2625" t="n">
        <v>4</v>
      </c>
      <c r="M2625">
        <f>VLOOKUP(D2625,State_Lookup!$A$2:$B$28,2,FALSE)</f>
        <v/>
      </c>
    </row>
    <row r="2626">
      <c r="A2626" t="inlineStr">
        <is>
          <t>320830bbdec047e0eb59a44965450195</t>
        </is>
      </c>
      <c r="B2626" t="inlineStr">
        <is>
          <t>2018-01-28</t>
        </is>
      </c>
      <c r="C2626" t="inlineStr">
        <is>
          <t>2018-01</t>
        </is>
      </c>
      <c r="D2626" t="inlineStr">
        <is>
          <t>SP</t>
        </is>
      </c>
      <c r="E2626" t="inlineStr">
        <is>
          <t>housewares</t>
        </is>
      </c>
      <c r="F2626" t="n">
        <v>1</v>
      </c>
      <c r="G2626" t="n">
        <v>64.95999999999999</v>
      </c>
      <c r="H2626" t="n">
        <v>26.97</v>
      </c>
      <c r="I2626" t="inlineStr">
        <is>
          <t>credit_card</t>
        </is>
      </c>
      <c r="J2626" t="n">
        <v>9</v>
      </c>
      <c r="K2626" t="inlineStr">
        <is>
          <t>On Time</t>
        </is>
      </c>
      <c r="L2626" t="n">
        <v>3</v>
      </c>
      <c r="M2626">
        <f>VLOOKUP(D2626,State_Lookup!$A$2:$B$28,2,FALSE)</f>
        <v/>
      </c>
    </row>
    <row r="2627">
      <c r="A2627" t="inlineStr">
        <is>
          <t>293bc7dd9611917b0037860893adb256</t>
        </is>
      </c>
      <c r="B2627" t="inlineStr">
        <is>
          <t>2018-01-28</t>
        </is>
      </c>
      <c r="C2627" t="inlineStr">
        <is>
          <t>2018-01</t>
        </is>
      </c>
      <c r="D2627" t="inlineStr">
        <is>
          <t>SP</t>
        </is>
      </c>
      <c r="E2627" t="inlineStr">
        <is>
          <t>furniture_mattress_and_upholstery</t>
        </is>
      </c>
      <c r="F2627" t="n">
        <v>1</v>
      </c>
      <c r="G2627" t="n">
        <v>75</v>
      </c>
      <c r="H2627" t="n">
        <v>36.62</v>
      </c>
      <c r="I2627" t="inlineStr">
        <is>
          <t>credit_card</t>
        </is>
      </c>
      <c r="J2627" t="n">
        <v>9</v>
      </c>
      <c r="K2627" t="inlineStr">
        <is>
          <t>On Time</t>
        </is>
      </c>
      <c r="L2627" t="n">
        <v>4</v>
      </c>
      <c r="M2627">
        <f>VLOOKUP(D2627,State_Lookup!$A$2:$B$28,2,FALSE)</f>
        <v/>
      </c>
    </row>
    <row r="2628">
      <c r="A2628" t="inlineStr">
        <is>
          <t>6362a7fa249232a216ff4ed1cec9f7b3</t>
        </is>
      </c>
      <c r="B2628" t="inlineStr">
        <is>
          <t>2018-01-28</t>
        </is>
      </c>
      <c r="C2628" t="inlineStr">
        <is>
          <t>2018-01</t>
        </is>
      </c>
      <c r="D2628" t="inlineStr">
        <is>
          <t>MG</t>
        </is>
      </c>
      <c r="E2628" t="inlineStr">
        <is>
          <t>watches_gifts</t>
        </is>
      </c>
      <c r="F2628" t="n">
        <v>1</v>
      </c>
      <c r="G2628" t="n">
        <v>229.9</v>
      </c>
      <c r="H2628" t="n">
        <v>16.36</v>
      </c>
      <c r="I2628" t="inlineStr">
        <is>
          <t>credit_card</t>
        </is>
      </c>
      <c r="J2628" t="n">
        <v>17</v>
      </c>
      <c r="K2628" t="inlineStr">
        <is>
          <t>On Time</t>
        </is>
      </c>
      <c r="L2628" t="n">
        <v>5</v>
      </c>
      <c r="M2628">
        <f>VLOOKUP(D2628,State_Lookup!$A$2:$B$28,2,FALSE)</f>
        <v/>
      </c>
    </row>
    <row r="2629">
      <c r="A2629" t="inlineStr">
        <is>
          <t>ccdbdaee1f24ce882d752fe79410cfef</t>
        </is>
      </c>
      <c r="B2629" t="inlineStr">
        <is>
          <t>2018-01-28</t>
        </is>
      </c>
      <c r="C2629" t="inlineStr">
        <is>
          <t>2018-01</t>
        </is>
      </c>
      <c r="D2629" t="inlineStr">
        <is>
          <t>MG</t>
        </is>
      </c>
      <c r="E2629" t="inlineStr">
        <is>
          <t>industry_commerce_and_business</t>
        </is>
      </c>
      <c r="F2629" t="n">
        <v>1</v>
      </c>
      <c r="G2629" t="n">
        <v>187.9</v>
      </c>
      <c r="H2629" t="n">
        <v>24.19</v>
      </c>
      <c r="I2629" t="inlineStr">
        <is>
          <t>credit_card</t>
        </is>
      </c>
      <c r="J2629" t="n">
        <v>10</v>
      </c>
      <c r="K2629" t="inlineStr">
        <is>
          <t>On Time</t>
        </is>
      </c>
      <c r="L2629" t="n">
        <v>5</v>
      </c>
      <c r="M2629">
        <f>VLOOKUP(D2629,State_Lookup!$A$2:$B$28,2,FALSE)</f>
        <v/>
      </c>
    </row>
    <row r="2630">
      <c r="A2630" t="inlineStr">
        <is>
          <t>eadd6e0947c9e1304fecc4a1d4b04da9</t>
        </is>
      </c>
      <c r="B2630" t="inlineStr">
        <is>
          <t>2018-01-28</t>
        </is>
      </c>
      <c r="C2630" t="inlineStr">
        <is>
          <t>2018-01</t>
        </is>
      </c>
      <c r="D2630" t="inlineStr">
        <is>
          <t>SP</t>
        </is>
      </c>
      <c r="E2630" t="inlineStr">
        <is>
          <t>health_beauty</t>
        </is>
      </c>
      <c r="F2630" t="n">
        <v>1</v>
      </c>
      <c r="G2630" t="n">
        <v>99.90000000000001</v>
      </c>
      <c r="H2630" t="n">
        <v>14.43</v>
      </c>
      <c r="I2630" t="inlineStr">
        <is>
          <t>debit_card</t>
        </is>
      </c>
      <c r="J2630" t="n">
        <v>9</v>
      </c>
      <c r="K2630" t="inlineStr">
        <is>
          <t>On Time</t>
        </is>
      </c>
      <c r="L2630" t="n">
        <v>5</v>
      </c>
      <c r="M2630">
        <f>VLOOKUP(D2630,State_Lookup!$A$2:$B$28,2,FALSE)</f>
        <v/>
      </c>
    </row>
    <row r="2631">
      <c r="A2631" t="inlineStr">
        <is>
          <t>4930f37130adb20a3c7d0b02b07050ca</t>
        </is>
      </c>
      <c r="B2631" t="inlineStr">
        <is>
          <t>2018-01-28</t>
        </is>
      </c>
      <c r="C2631" t="inlineStr">
        <is>
          <t>2018-01</t>
        </is>
      </c>
      <c r="D2631" t="inlineStr">
        <is>
          <t>RS</t>
        </is>
      </c>
      <c r="E2631" t="inlineStr">
        <is>
          <t>bed_bath_table</t>
        </is>
      </c>
      <c r="F2631" t="n">
        <v>1</v>
      </c>
      <c r="G2631" t="n">
        <v>42.99</v>
      </c>
      <c r="H2631" t="n">
        <v>17.6</v>
      </c>
      <c r="I2631" t="inlineStr">
        <is>
          <t>credit_card</t>
        </is>
      </c>
      <c r="J2631" t="n">
        <v>21</v>
      </c>
      <c r="K2631" t="inlineStr">
        <is>
          <t>On Time</t>
        </is>
      </c>
      <c r="L2631" t="inlineStr"/>
      <c r="M2631">
        <f>VLOOKUP(D2631,State_Lookup!$A$2:$B$28,2,FALSE)</f>
        <v/>
      </c>
    </row>
    <row r="2632">
      <c r="A2632" t="inlineStr">
        <is>
          <t>e3d24d79c3175a6511519e3c4cd64c14</t>
        </is>
      </c>
      <c r="B2632" t="inlineStr">
        <is>
          <t>2018-01-29</t>
        </is>
      </c>
      <c r="C2632" t="inlineStr">
        <is>
          <t>2018-01</t>
        </is>
      </c>
      <c r="D2632" t="inlineStr">
        <is>
          <t>SC</t>
        </is>
      </c>
      <c r="E2632" t="inlineStr">
        <is>
          <t>sports_leisure</t>
        </is>
      </c>
      <c r="F2632" t="n">
        <v>1</v>
      </c>
      <c r="G2632" t="n">
        <v>479.9</v>
      </c>
      <c r="H2632" t="n">
        <v>26.23</v>
      </c>
      <c r="I2632" t="inlineStr">
        <is>
          <t>credit_card</t>
        </is>
      </c>
      <c r="J2632" t="n">
        <v>16</v>
      </c>
      <c r="K2632" t="inlineStr">
        <is>
          <t>On Time</t>
        </is>
      </c>
      <c r="L2632" t="n">
        <v>5</v>
      </c>
      <c r="M2632">
        <f>VLOOKUP(D2632,State_Lookup!$A$2:$B$28,2,FALSE)</f>
        <v/>
      </c>
    </row>
    <row r="2633">
      <c r="A2633" t="inlineStr">
        <is>
          <t>8631a3dfd0bd0c5d450e5219edb4e506</t>
        </is>
      </c>
      <c r="B2633" t="inlineStr">
        <is>
          <t>2018-01-29</t>
        </is>
      </c>
      <c r="C2633" t="inlineStr">
        <is>
          <t>2018-01</t>
        </is>
      </c>
      <c r="D2633" t="inlineStr">
        <is>
          <t>SP</t>
        </is>
      </c>
      <c r="E2633" t="inlineStr">
        <is>
          <t>books_imported</t>
        </is>
      </c>
      <c r="F2633" t="n">
        <v>1</v>
      </c>
      <c r="G2633" t="n">
        <v>125</v>
      </c>
      <c r="H2633" t="n">
        <v>10.09</v>
      </c>
      <c r="I2633" t="inlineStr">
        <is>
          <t>credit_card</t>
        </is>
      </c>
      <c r="J2633" t="n">
        <v>7</v>
      </c>
      <c r="K2633" t="inlineStr">
        <is>
          <t>On Time</t>
        </is>
      </c>
      <c r="L2633" t="n">
        <v>5</v>
      </c>
      <c r="M2633">
        <f>VLOOKUP(D2633,State_Lookup!$A$2:$B$28,2,FALSE)</f>
        <v/>
      </c>
    </row>
    <row r="2634">
      <c r="A2634" t="inlineStr">
        <is>
          <t>a7b10e487b0ab6b5e6f059a7fd2e79bc</t>
        </is>
      </c>
      <c r="B2634" t="inlineStr">
        <is>
          <t>2018-01-29</t>
        </is>
      </c>
      <c r="C2634" t="inlineStr">
        <is>
          <t>2018-01</t>
        </is>
      </c>
      <c r="D2634" t="inlineStr">
        <is>
          <t>SP</t>
        </is>
      </c>
      <c r="E2634" t="inlineStr">
        <is>
          <t>bed_bath_table</t>
        </is>
      </c>
      <c r="F2634" t="n">
        <v>1</v>
      </c>
      <c r="G2634" t="n">
        <v>178</v>
      </c>
      <c r="H2634" t="n">
        <v>45.72</v>
      </c>
      <c r="I2634" t="inlineStr">
        <is>
          <t>boleto</t>
        </is>
      </c>
      <c r="J2634" t="n">
        <v>7</v>
      </c>
      <c r="K2634" t="inlineStr">
        <is>
          <t>On Time</t>
        </is>
      </c>
      <c r="L2634" t="n">
        <v>1</v>
      </c>
      <c r="M2634">
        <f>VLOOKUP(D2634,State_Lookup!$A$2:$B$28,2,FALSE)</f>
        <v/>
      </c>
    </row>
    <row r="2635">
      <c r="A2635" t="inlineStr">
        <is>
          <t>a1d1fd8981cd1da55c3dc58cef2ecd8c</t>
        </is>
      </c>
      <c r="B2635" t="inlineStr">
        <is>
          <t>2018-01-29</t>
        </is>
      </c>
      <c r="C2635" t="inlineStr">
        <is>
          <t>2018-01</t>
        </is>
      </c>
      <c r="D2635" t="inlineStr">
        <is>
          <t>RJ</t>
        </is>
      </c>
      <c r="E2635" t="inlineStr">
        <is>
          <t>bed_bath_table</t>
        </is>
      </c>
      <c r="F2635" t="n">
        <v>1</v>
      </c>
      <c r="G2635" t="n">
        <v>99.90000000000001</v>
      </c>
      <c r="H2635" t="n">
        <v>17.95</v>
      </c>
      <c r="I2635" t="inlineStr">
        <is>
          <t>credit_card</t>
        </is>
      </c>
      <c r="J2635" t="n">
        <v>8</v>
      </c>
      <c r="K2635" t="inlineStr">
        <is>
          <t>On Time</t>
        </is>
      </c>
      <c r="L2635" t="n">
        <v>5</v>
      </c>
      <c r="M2635">
        <f>VLOOKUP(D2635,State_Lookup!$A$2:$B$28,2,FALSE)</f>
        <v/>
      </c>
    </row>
    <row r="2636">
      <c r="A2636" t="inlineStr">
        <is>
          <t>893a4c6dd6508b5e0db4f76986f77a3c</t>
        </is>
      </c>
      <c r="B2636" t="inlineStr">
        <is>
          <t>2018-01-29</t>
        </is>
      </c>
      <c r="C2636" t="inlineStr">
        <is>
          <t>2018-01</t>
        </is>
      </c>
      <c r="D2636" t="inlineStr">
        <is>
          <t>MG</t>
        </is>
      </c>
      <c r="E2636" t="inlineStr">
        <is>
          <t>auto</t>
        </is>
      </c>
      <c r="F2636" t="n">
        <v>1</v>
      </c>
      <c r="G2636" t="n">
        <v>28.5</v>
      </c>
      <c r="H2636" t="n">
        <v>15.1</v>
      </c>
      <c r="I2636" t="inlineStr">
        <is>
          <t>boleto</t>
        </is>
      </c>
      <c r="J2636" t="n">
        <v>22</v>
      </c>
      <c r="K2636" t="inlineStr">
        <is>
          <t>On Time</t>
        </is>
      </c>
      <c r="L2636" t="n">
        <v>4</v>
      </c>
      <c r="M2636">
        <f>VLOOKUP(D2636,State_Lookup!$A$2:$B$28,2,FALSE)</f>
        <v/>
      </c>
    </row>
    <row r="2637">
      <c r="A2637" t="inlineStr">
        <is>
          <t>12231ecac809d329ff8a11fe2264697a</t>
        </is>
      </c>
      <c r="B2637" t="inlineStr">
        <is>
          <t>2018-01-29</t>
        </is>
      </c>
      <c r="C2637" t="inlineStr">
        <is>
          <t>2018-01</t>
        </is>
      </c>
      <c r="D2637" t="inlineStr">
        <is>
          <t>SP</t>
        </is>
      </c>
      <c r="E2637" t="inlineStr">
        <is>
          <t>health_beauty</t>
        </is>
      </c>
      <c r="F2637" t="n">
        <v>1</v>
      </c>
      <c r="G2637" t="n">
        <v>30</v>
      </c>
      <c r="H2637" t="n">
        <v>7.78</v>
      </c>
      <c r="I2637" t="inlineStr">
        <is>
          <t>boleto</t>
        </is>
      </c>
      <c r="J2637" t="n">
        <v>4</v>
      </c>
      <c r="K2637" t="inlineStr">
        <is>
          <t>On Time</t>
        </is>
      </c>
      <c r="L2637" t="n">
        <v>4</v>
      </c>
      <c r="M2637">
        <f>VLOOKUP(D2637,State_Lookup!$A$2:$B$28,2,FALSE)</f>
        <v/>
      </c>
    </row>
    <row r="2638">
      <c r="A2638" t="inlineStr">
        <is>
          <t>6eb2a690131ac9952365adf622793a1e</t>
        </is>
      </c>
      <c r="B2638" t="inlineStr">
        <is>
          <t>2018-01-29</t>
        </is>
      </c>
      <c r="C2638" t="inlineStr">
        <is>
          <t>2018-01</t>
        </is>
      </c>
      <c r="D2638" t="inlineStr">
        <is>
          <t>PE</t>
        </is>
      </c>
      <c r="E2638" t="inlineStr">
        <is>
          <t>health_beauty</t>
        </is>
      </c>
      <c r="F2638" t="n">
        <v>1</v>
      </c>
      <c r="G2638" t="n">
        <v>349.9</v>
      </c>
      <c r="H2638" t="n">
        <v>48.98</v>
      </c>
      <c r="I2638" t="inlineStr">
        <is>
          <t>credit_card</t>
        </is>
      </c>
      <c r="J2638" t="n">
        <v>10</v>
      </c>
      <c r="K2638" t="inlineStr">
        <is>
          <t>On Time</t>
        </is>
      </c>
      <c r="L2638" t="n">
        <v>5</v>
      </c>
      <c r="M2638">
        <f>VLOOKUP(D2638,State_Lookup!$A$2:$B$28,2,FALSE)</f>
        <v/>
      </c>
    </row>
    <row r="2639">
      <c r="A2639" t="inlineStr">
        <is>
          <t>24a36fdfb713ce43bf2b074fdc339995</t>
        </is>
      </c>
      <c r="B2639" t="inlineStr">
        <is>
          <t>2018-01-29</t>
        </is>
      </c>
      <c r="C2639" t="inlineStr">
        <is>
          <t>2018-01</t>
        </is>
      </c>
      <c r="D2639" t="inlineStr">
        <is>
          <t>SP</t>
        </is>
      </c>
      <c r="E2639" t="inlineStr">
        <is>
          <t>luggage_accessories</t>
        </is>
      </c>
      <c r="F2639" t="n">
        <v>1</v>
      </c>
      <c r="G2639" t="n">
        <v>99.90000000000001</v>
      </c>
      <c r="H2639" t="n">
        <v>14.43</v>
      </c>
      <c r="I2639" t="inlineStr">
        <is>
          <t>credit_card</t>
        </is>
      </c>
      <c r="J2639" t="n">
        <v>8</v>
      </c>
      <c r="K2639" t="inlineStr">
        <is>
          <t>On Time</t>
        </is>
      </c>
      <c r="L2639" t="n">
        <v>3</v>
      </c>
      <c r="M2639">
        <f>VLOOKUP(D2639,State_Lookup!$A$2:$B$28,2,FALSE)</f>
        <v/>
      </c>
    </row>
    <row r="2640">
      <c r="A2640" t="inlineStr">
        <is>
          <t>0f7f0f5f679b32fd80e1535ca33a7c30</t>
        </is>
      </c>
      <c r="B2640" t="inlineStr">
        <is>
          <t>2018-01-29</t>
        </is>
      </c>
      <c r="C2640" t="inlineStr">
        <is>
          <t>2018-01</t>
        </is>
      </c>
      <c r="D2640" t="inlineStr">
        <is>
          <t>RS</t>
        </is>
      </c>
      <c r="E2640" t="inlineStr">
        <is>
          <t>housewares</t>
        </is>
      </c>
      <c r="F2640" t="n">
        <v>1</v>
      </c>
      <c r="G2640" t="n">
        <v>85.70999999999999</v>
      </c>
      <c r="H2640" t="n">
        <v>16.85</v>
      </c>
      <c r="I2640" t="inlineStr">
        <is>
          <t>credit_card</t>
        </is>
      </c>
      <c r="J2640" t="n">
        <v>17</v>
      </c>
      <c r="K2640" t="inlineStr">
        <is>
          <t>On Time</t>
        </is>
      </c>
      <c r="L2640" t="n">
        <v>4</v>
      </c>
      <c r="M2640">
        <f>VLOOKUP(D2640,State_Lookup!$A$2:$B$28,2,FALSE)</f>
        <v/>
      </c>
    </row>
    <row r="2641">
      <c r="A2641" t="inlineStr">
        <is>
          <t>2148d1d6458e2aed4af9ddd978c48ac3</t>
        </is>
      </c>
      <c r="B2641" t="inlineStr">
        <is>
          <t>2018-01-29</t>
        </is>
      </c>
      <c r="C2641" t="inlineStr">
        <is>
          <t>2018-01</t>
        </is>
      </c>
      <c r="D2641" t="inlineStr">
        <is>
          <t>PA</t>
        </is>
      </c>
      <c r="E2641" t="inlineStr">
        <is>
          <t>health_beauty</t>
        </is>
      </c>
      <c r="F2641" t="n">
        <v>1</v>
      </c>
      <c r="G2641" t="n">
        <v>139.65</v>
      </c>
      <c r="H2641" t="n">
        <v>43.01</v>
      </c>
      <c r="I2641" t="inlineStr">
        <is>
          <t>credit_card</t>
        </is>
      </c>
      <c r="J2641" t="n">
        <v>36</v>
      </c>
      <c r="K2641" t="inlineStr">
        <is>
          <t>On Time</t>
        </is>
      </c>
      <c r="L2641" t="n">
        <v>4</v>
      </c>
      <c r="M2641">
        <f>VLOOKUP(D2641,State_Lookup!$A$2:$B$28,2,FALSE)</f>
        <v/>
      </c>
    </row>
    <row r="2642">
      <c r="A2642" t="inlineStr">
        <is>
          <t>fe4275936c291c453f09fad434e6b3d2</t>
        </is>
      </c>
      <c r="B2642" t="inlineStr">
        <is>
          <t>2018-01-29</t>
        </is>
      </c>
      <c r="C2642" t="inlineStr">
        <is>
          <t>2018-01</t>
        </is>
      </c>
      <c r="D2642" t="inlineStr">
        <is>
          <t>PR</t>
        </is>
      </c>
      <c r="E2642" t="inlineStr">
        <is>
          <t>housewares</t>
        </is>
      </c>
      <c r="F2642" t="n">
        <v>1</v>
      </c>
      <c r="G2642" t="n">
        <v>35.9</v>
      </c>
      <c r="H2642" t="n">
        <v>15.1</v>
      </c>
      <c r="I2642" t="inlineStr">
        <is>
          <t>boleto</t>
        </is>
      </c>
      <c r="J2642" t="n">
        <v>24</v>
      </c>
      <c r="K2642" t="inlineStr">
        <is>
          <t>On Time</t>
        </is>
      </c>
      <c r="L2642" t="n">
        <v>4</v>
      </c>
      <c r="M2642">
        <f>VLOOKUP(D2642,State_Lookup!$A$2:$B$28,2,FALSE)</f>
        <v/>
      </c>
    </row>
    <row r="2643">
      <c r="A2643" t="inlineStr">
        <is>
          <t>e0be387e4482cc1e135c5ffe3d896885</t>
        </is>
      </c>
      <c r="B2643" t="inlineStr">
        <is>
          <t>2018-01-29</t>
        </is>
      </c>
      <c r="C2643" t="inlineStr">
        <is>
          <t>2018-01</t>
        </is>
      </c>
      <c r="D2643" t="inlineStr">
        <is>
          <t>SP</t>
        </is>
      </c>
      <c r="E2643" t="inlineStr">
        <is>
          <t>garden_tools</t>
        </is>
      </c>
      <c r="F2643" t="n">
        <v>2</v>
      </c>
      <c r="G2643" t="n">
        <v>99.8</v>
      </c>
      <c r="H2643" t="n">
        <v>26.74</v>
      </c>
      <c r="I2643" t="inlineStr">
        <is>
          <t>credit_card</t>
        </is>
      </c>
      <c r="J2643" t="n">
        <v>11</v>
      </c>
      <c r="K2643" t="inlineStr">
        <is>
          <t>On Time</t>
        </is>
      </c>
      <c r="L2643" t="n">
        <v>1</v>
      </c>
      <c r="M2643">
        <f>VLOOKUP(D2643,State_Lookup!$A$2:$B$28,2,FALSE)</f>
        <v/>
      </c>
    </row>
    <row r="2644">
      <c r="A2644" t="inlineStr">
        <is>
          <t>4575195c5ca6f5a5e4b623b45e865a6e</t>
        </is>
      </c>
      <c r="B2644" t="inlineStr">
        <is>
          <t>2018-01-29</t>
        </is>
      </c>
      <c r="C2644" t="inlineStr">
        <is>
          <t>2018-01</t>
        </is>
      </c>
      <c r="D2644" t="inlineStr">
        <is>
          <t>PR</t>
        </is>
      </c>
      <c r="E2644" t="inlineStr">
        <is>
          <t>sports_leisure</t>
        </is>
      </c>
      <c r="F2644" t="n">
        <v>3</v>
      </c>
      <c r="G2644" t="n">
        <v>115.44</v>
      </c>
      <c r="H2644" t="n">
        <v>45.3</v>
      </c>
      <c r="I2644" t="inlineStr">
        <is>
          <t>boleto</t>
        </is>
      </c>
      <c r="J2644" t="n">
        <v>16</v>
      </c>
      <c r="K2644" t="inlineStr">
        <is>
          <t>On Time</t>
        </is>
      </c>
      <c r="L2644" t="n">
        <v>3</v>
      </c>
      <c r="M2644">
        <f>VLOOKUP(D2644,State_Lookup!$A$2:$B$28,2,FALSE)</f>
        <v/>
      </c>
    </row>
    <row r="2645">
      <c r="A2645" t="inlineStr">
        <is>
          <t>44eebc94f0d68e1da78cc8e088db945a</t>
        </is>
      </c>
      <c r="B2645" t="inlineStr">
        <is>
          <t>2018-01-29</t>
        </is>
      </c>
      <c r="C2645" t="inlineStr">
        <is>
          <t>2018-01</t>
        </is>
      </c>
      <c r="D2645" t="inlineStr">
        <is>
          <t>MG</t>
        </is>
      </c>
      <c r="E2645" t="inlineStr">
        <is>
          <t>sports_leisure</t>
        </is>
      </c>
      <c r="F2645" t="n">
        <v>1</v>
      </c>
      <c r="G2645" t="n">
        <v>49.9</v>
      </c>
      <c r="H2645" t="n">
        <v>15.1</v>
      </c>
      <c r="I2645" t="inlineStr">
        <is>
          <t>credit_card</t>
        </is>
      </c>
      <c r="J2645" t="n">
        <v>21</v>
      </c>
      <c r="K2645" t="inlineStr">
        <is>
          <t>On Time</t>
        </is>
      </c>
      <c r="L2645" t="n">
        <v>4</v>
      </c>
      <c r="M2645">
        <f>VLOOKUP(D2645,State_Lookup!$A$2:$B$28,2,FALSE)</f>
        <v/>
      </c>
    </row>
    <row r="2646">
      <c r="A2646" t="inlineStr">
        <is>
          <t>152a293b457051eb0d7673c27bba44c7</t>
        </is>
      </c>
      <c r="B2646" t="inlineStr">
        <is>
          <t>2018-01-30</t>
        </is>
      </c>
      <c r="C2646" t="inlineStr">
        <is>
          <t>2018-01</t>
        </is>
      </c>
      <c r="D2646" t="inlineStr">
        <is>
          <t>SP</t>
        </is>
      </c>
      <c r="E2646" t="inlineStr">
        <is>
          <t>fashion_bags_accessories</t>
        </is>
      </c>
      <c r="F2646" t="n">
        <v>1</v>
      </c>
      <c r="G2646" t="n">
        <v>29.99</v>
      </c>
      <c r="H2646" t="n">
        <v>14.1</v>
      </c>
      <c r="I2646" t="inlineStr">
        <is>
          <t>credit_card</t>
        </is>
      </c>
      <c r="J2646" t="n">
        <v>3</v>
      </c>
      <c r="K2646" t="inlineStr">
        <is>
          <t>On Time</t>
        </is>
      </c>
      <c r="L2646" t="n">
        <v>5</v>
      </c>
      <c r="M2646">
        <f>VLOOKUP(D2646,State_Lookup!$A$2:$B$28,2,FALSE)</f>
        <v/>
      </c>
    </row>
    <row r="2647">
      <c r="A2647" t="inlineStr">
        <is>
          <t>5990719adf4d9d93dd602a9e14879bc3</t>
        </is>
      </c>
      <c r="B2647" t="inlineStr">
        <is>
          <t>2018-01-30</t>
        </is>
      </c>
      <c r="C2647" t="inlineStr">
        <is>
          <t>2018-01</t>
        </is>
      </c>
      <c r="D2647" t="inlineStr">
        <is>
          <t>PA</t>
        </is>
      </c>
      <c r="E2647" t="inlineStr">
        <is>
          <t>unknown</t>
        </is>
      </c>
      <c r="F2647" t="n">
        <v>1</v>
      </c>
      <c r="G2647" t="n">
        <v>122.99</v>
      </c>
      <c r="H2647" t="n">
        <v>18.14</v>
      </c>
      <c r="I2647" t="inlineStr">
        <is>
          <t>boleto</t>
        </is>
      </c>
      <c r="J2647" t="n">
        <v>28</v>
      </c>
      <c r="K2647" t="inlineStr">
        <is>
          <t>On Time</t>
        </is>
      </c>
      <c r="L2647" t="n">
        <v>1</v>
      </c>
      <c r="M2647">
        <f>VLOOKUP(D2647,State_Lookup!$A$2:$B$28,2,FALSE)</f>
        <v/>
      </c>
    </row>
    <row r="2648">
      <c r="A2648" t="inlineStr">
        <is>
          <t>5f22a7ee1c317c6e6f25ebe122f66bdd</t>
        </is>
      </c>
      <c r="B2648" t="inlineStr">
        <is>
          <t>2018-01-30</t>
        </is>
      </c>
      <c r="C2648" t="inlineStr">
        <is>
          <t>2018-01</t>
        </is>
      </c>
      <c r="D2648" t="inlineStr">
        <is>
          <t>SP</t>
        </is>
      </c>
      <c r="E2648" t="inlineStr">
        <is>
          <t>computers_accessories</t>
        </is>
      </c>
      <c r="F2648" t="n">
        <v>1</v>
      </c>
      <c r="G2648" t="n">
        <v>53.99</v>
      </c>
      <c r="H2648" t="n">
        <v>8.720000000000001</v>
      </c>
      <c r="I2648" t="inlineStr">
        <is>
          <t>credit_card</t>
        </is>
      </c>
      <c r="J2648" t="n">
        <v>2</v>
      </c>
      <c r="K2648" t="inlineStr">
        <is>
          <t>On Time</t>
        </is>
      </c>
      <c r="L2648" t="n">
        <v>4</v>
      </c>
      <c r="M2648">
        <f>VLOOKUP(D2648,State_Lookup!$A$2:$B$28,2,FALSE)</f>
        <v/>
      </c>
    </row>
    <row r="2649">
      <c r="A2649" t="inlineStr">
        <is>
          <t>27d40c905fcf5d681df561eb736986e2</t>
        </is>
      </c>
      <c r="B2649" t="inlineStr">
        <is>
          <t>2018-01-30</t>
        </is>
      </c>
      <c r="C2649" t="inlineStr">
        <is>
          <t>2018-01</t>
        </is>
      </c>
      <c r="D2649" t="inlineStr">
        <is>
          <t>BA</t>
        </is>
      </c>
      <c r="E2649" t="inlineStr">
        <is>
          <t>computers_accessories</t>
        </is>
      </c>
      <c r="F2649" t="n">
        <v>2</v>
      </c>
      <c r="G2649" t="n">
        <v>200</v>
      </c>
      <c r="H2649" t="n">
        <v>36.54</v>
      </c>
      <c r="I2649" t="inlineStr">
        <is>
          <t>credit_card</t>
        </is>
      </c>
      <c r="J2649" t="n">
        <v>25</v>
      </c>
      <c r="K2649" t="inlineStr">
        <is>
          <t>On Time</t>
        </is>
      </c>
      <c r="L2649" t="n">
        <v>1</v>
      </c>
      <c r="M2649">
        <f>VLOOKUP(D2649,State_Lookup!$A$2:$B$28,2,FALSE)</f>
        <v/>
      </c>
    </row>
    <row r="2650">
      <c r="A2650" t="inlineStr">
        <is>
          <t>0d88c1807ea23596e9a3222c2aad549d</t>
        </is>
      </c>
      <c r="B2650" t="inlineStr">
        <is>
          <t>2018-01-30</t>
        </is>
      </c>
      <c r="C2650" t="inlineStr">
        <is>
          <t>2018-01</t>
        </is>
      </c>
      <c r="D2650" t="inlineStr">
        <is>
          <t>MG</t>
        </is>
      </c>
      <c r="E2650" t="inlineStr">
        <is>
          <t>electronics</t>
        </is>
      </c>
      <c r="F2650" t="n">
        <v>2</v>
      </c>
      <c r="G2650" t="n">
        <v>25.8</v>
      </c>
      <c r="H2650" t="n">
        <v>28.2</v>
      </c>
      <c r="I2650" t="inlineStr">
        <is>
          <t>credit_card</t>
        </is>
      </c>
      <c r="J2650" t="n">
        <v>15</v>
      </c>
      <c r="K2650" t="inlineStr">
        <is>
          <t>On Time</t>
        </is>
      </c>
      <c r="L2650" t="n">
        <v>1</v>
      </c>
      <c r="M2650">
        <f>VLOOKUP(D2650,State_Lookup!$A$2:$B$28,2,FALSE)</f>
        <v/>
      </c>
    </row>
    <row r="2651">
      <c r="A2651" t="inlineStr">
        <is>
          <t>3e23457628bb06cc3328814e58a4f889</t>
        </is>
      </c>
      <c r="B2651" t="inlineStr">
        <is>
          <t>2018-01-30</t>
        </is>
      </c>
      <c r="C2651" t="inlineStr">
        <is>
          <t>2018-01</t>
        </is>
      </c>
      <c r="D2651" t="inlineStr">
        <is>
          <t>SP</t>
        </is>
      </c>
      <c r="E2651" t="inlineStr">
        <is>
          <t>computers_accessories</t>
        </is>
      </c>
      <c r="F2651" t="n">
        <v>1</v>
      </c>
      <c r="G2651" t="n">
        <v>89.5</v>
      </c>
      <c r="H2651" t="n">
        <v>10.04</v>
      </c>
      <c r="I2651" t="inlineStr">
        <is>
          <t>credit_card</t>
        </is>
      </c>
      <c r="J2651" t="n">
        <v>6</v>
      </c>
      <c r="K2651" t="inlineStr">
        <is>
          <t>On Time</t>
        </is>
      </c>
      <c r="L2651" t="n">
        <v>3</v>
      </c>
      <c r="M2651">
        <f>VLOOKUP(D2651,State_Lookup!$A$2:$B$28,2,FALSE)</f>
        <v/>
      </c>
    </row>
    <row r="2652">
      <c r="A2652" t="inlineStr">
        <is>
          <t>a8efa4edb9c660aab65cfeb8c5375d81</t>
        </is>
      </c>
      <c r="B2652" t="inlineStr">
        <is>
          <t>2018-01-30</t>
        </is>
      </c>
      <c r="C2652" t="inlineStr">
        <is>
          <t>2018-01</t>
        </is>
      </c>
      <c r="D2652" t="inlineStr">
        <is>
          <t>MG</t>
        </is>
      </c>
      <c r="E2652" t="inlineStr">
        <is>
          <t>bed_bath_table</t>
        </is>
      </c>
      <c r="F2652" t="n">
        <v>2</v>
      </c>
      <c r="G2652" t="n">
        <v>109.1</v>
      </c>
      <c r="H2652" t="n">
        <v>30.26</v>
      </c>
      <c r="I2652" t="inlineStr">
        <is>
          <t>credit_card</t>
        </is>
      </c>
      <c r="J2652" t="n">
        <v>16</v>
      </c>
      <c r="K2652" t="inlineStr">
        <is>
          <t>On Time</t>
        </is>
      </c>
      <c r="L2652" t="n">
        <v>3</v>
      </c>
      <c r="M2652">
        <f>VLOOKUP(D2652,State_Lookup!$A$2:$B$28,2,FALSE)</f>
        <v/>
      </c>
    </row>
    <row r="2653">
      <c r="A2653" t="inlineStr">
        <is>
          <t>13580847458b662c5919901d5d9eae94</t>
        </is>
      </c>
      <c r="B2653" t="inlineStr">
        <is>
          <t>2018-01-30</t>
        </is>
      </c>
      <c r="C2653" t="inlineStr">
        <is>
          <t>2018-01</t>
        </is>
      </c>
      <c r="D2653" t="inlineStr">
        <is>
          <t>MG</t>
        </is>
      </c>
      <c r="E2653" t="inlineStr">
        <is>
          <t>sports_leisure</t>
        </is>
      </c>
      <c r="F2653" t="n">
        <v>1</v>
      </c>
      <c r="G2653" t="n">
        <v>148.9</v>
      </c>
      <c r="H2653" t="n">
        <v>23.91</v>
      </c>
      <c r="I2653" t="inlineStr">
        <is>
          <t>credit_card</t>
        </is>
      </c>
      <c r="J2653" t="n">
        <v>15</v>
      </c>
      <c r="K2653" t="inlineStr">
        <is>
          <t>On Time</t>
        </is>
      </c>
      <c r="L2653" t="n">
        <v>4</v>
      </c>
      <c r="M2653">
        <f>VLOOKUP(D2653,State_Lookup!$A$2:$B$28,2,FALSE)</f>
        <v/>
      </c>
    </row>
    <row r="2654">
      <c r="A2654" t="inlineStr">
        <is>
          <t>18d86dc05e56e4fe15bf2d5570ba8c4c</t>
        </is>
      </c>
      <c r="B2654" t="inlineStr">
        <is>
          <t>2018-01-30</t>
        </is>
      </c>
      <c r="C2654" t="inlineStr">
        <is>
          <t>2018-01</t>
        </is>
      </c>
      <c r="D2654" t="inlineStr">
        <is>
          <t>SP</t>
        </is>
      </c>
      <c r="E2654" t="inlineStr">
        <is>
          <t>small_appliances</t>
        </is>
      </c>
      <c r="F2654" t="n">
        <v>1</v>
      </c>
      <c r="G2654" t="n">
        <v>119.9</v>
      </c>
      <c r="H2654" t="n">
        <v>17.55</v>
      </c>
      <c r="I2654" t="inlineStr">
        <is>
          <t>credit_card</t>
        </is>
      </c>
      <c r="J2654" t="n">
        <v>2</v>
      </c>
      <c r="K2654" t="inlineStr">
        <is>
          <t>On Time</t>
        </is>
      </c>
      <c r="L2654" t="n">
        <v>5</v>
      </c>
      <c r="M2654">
        <f>VLOOKUP(D2654,State_Lookup!$A$2:$B$28,2,FALSE)</f>
        <v/>
      </c>
    </row>
    <row r="2655">
      <c r="A2655" t="inlineStr">
        <is>
          <t>5b9983c12367a47fae641c25ac8877f4</t>
        </is>
      </c>
      <c r="B2655" t="inlineStr">
        <is>
          <t>2018-01-30</t>
        </is>
      </c>
      <c r="C2655" t="inlineStr">
        <is>
          <t>2018-01</t>
        </is>
      </c>
      <c r="D2655" t="inlineStr">
        <is>
          <t>MG</t>
        </is>
      </c>
      <c r="E2655" t="inlineStr">
        <is>
          <t>unknown</t>
        </is>
      </c>
      <c r="F2655" t="n">
        <v>1</v>
      </c>
      <c r="G2655" t="n">
        <v>122.99</v>
      </c>
      <c r="H2655" t="n">
        <v>14.61</v>
      </c>
      <c r="I2655" t="inlineStr">
        <is>
          <t>boleto</t>
        </is>
      </c>
      <c r="J2655" t="n">
        <v>8</v>
      </c>
      <c r="K2655" t="inlineStr">
        <is>
          <t>On Time</t>
        </is>
      </c>
      <c r="L2655" t="n">
        <v>5</v>
      </c>
      <c r="M2655">
        <f>VLOOKUP(D2655,State_Lookup!$A$2:$B$28,2,FALSE)</f>
        <v/>
      </c>
    </row>
    <row r="2656">
      <c r="A2656" t="inlineStr">
        <is>
          <t>6b24fdfdcbca62d19e7fa83f37af2fb7</t>
        </is>
      </c>
      <c r="B2656" t="inlineStr">
        <is>
          <t>2018-01-30</t>
        </is>
      </c>
      <c r="C2656" t="inlineStr">
        <is>
          <t>2018-01</t>
        </is>
      </c>
      <c r="D2656" t="inlineStr">
        <is>
          <t>MG</t>
        </is>
      </c>
      <c r="E2656" t="inlineStr">
        <is>
          <t>computers_accessories</t>
        </is>
      </c>
      <c r="F2656" t="n">
        <v>1</v>
      </c>
      <c r="G2656" t="n">
        <v>41.9</v>
      </c>
      <c r="H2656" t="n">
        <v>15.1</v>
      </c>
      <c r="I2656" t="inlineStr">
        <is>
          <t>credit_card</t>
        </is>
      </c>
      <c r="J2656" t="n">
        <v>9</v>
      </c>
      <c r="K2656" t="inlineStr">
        <is>
          <t>On Time</t>
        </is>
      </c>
      <c r="L2656" t="n">
        <v>5</v>
      </c>
      <c r="M2656">
        <f>VLOOKUP(D2656,State_Lookup!$A$2:$B$28,2,FALSE)</f>
        <v/>
      </c>
    </row>
    <row r="2657">
      <c r="A2657" t="inlineStr">
        <is>
          <t>b9e02f2f3a6648709578cdd17f31976d</t>
        </is>
      </c>
      <c r="B2657" t="inlineStr">
        <is>
          <t>2018-01-30</t>
        </is>
      </c>
      <c r="C2657" t="inlineStr">
        <is>
          <t>2018-01</t>
        </is>
      </c>
      <c r="D2657" t="inlineStr">
        <is>
          <t>SP</t>
        </is>
      </c>
      <c r="E2657" t="inlineStr">
        <is>
          <t>auto</t>
        </is>
      </c>
      <c r="F2657" t="n">
        <v>1</v>
      </c>
      <c r="G2657" t="n">
        <v>16.9</v>
      </c>
      <c r="H2657" t="n">
        <v>11.85</v>
      </c>
      <c r="I2657" t="inlineStr">
        <is>
          <t>credit_card</t>
        </is>
      </c>
      <c r="J2657" t="n">
        <v>16</v>
      </c>
      <c r="K2657" t="inlineStr">
        <is>
          <t>On Time</t>
        </is>
      </c>
      <c r="L2657" t="n">
        <v>3</v>
      </c>
      <c r="M2657">
        <f>VLOOKUP(D2657,State_Lookup!$A$2:$B$28,2,FALSE)</f>
        <v/>
      </c>
    </row>
    <row r="2658">
      <c r="A2658" t="inlineStr">
        <is>
          <t>a632507614b292ff5f60b5282ba78df1</t>
        </is>
      </c>
      <c r="B2658" t="inlineStr">
        <is>
          <t>2018-01-30</t>
        </is>
      </c>
      <c r="C2658" t="inlineStr">
        <is>
          <t>2018-01</t>
        </is>
      </c>
      <c r="D2658" t="inlineStr">
        <is>
          <t>PE</t>
        </is>
      </c>
      <c r="E2658" t="inlineStr">
        <is>
          <t>garden_tools</t>
        </is>
      </c>
      <c r="F2658" t="n">
        <v>1</v>
      </c>
      <c r="G2658" t="n">
        <v>49.9</v>
      </c>
      <c r="H2658" t="n">
        <v>28.75</v>
      </c>
      <c r="I2658" t="inlineStr">
        <is>
          <t>credit_card</t>
        </is>
      </c>
      <c r="J2658" t="n">
        <v>15</v>
      </c>
      <c r="K2658" t="inlineStr">
        <is>
          <t>On Time</t>
        </is>
      </c>
      <c r="L2658" t="n">
        <v>1</v>
      </c>
      <c r="M2658">
        <f>VLOOKUP(D2658,State_Lookup!$A$2:$B$28,2,FALSE)</f>
        <v/>
      </c>
    </row>
    <row r="2659">
      <c r="A2659" t="inlineStr">
        <is>
          <t>77a2e7c36ffbd077e377bba2f76eec9f</t>
        </is>
      </c>
      <c r="B2659" t="inlineStr">
        <is>
          <t>2018-01-30</t>
        </is>
      </c>
      <c r="C2659" t="inlineStr">
        <is>
          <t>2018-01</t>
        </is>
      </c>
      <c r="D2659" t="inlineStr">
        <is>
          <t>RS</t>
        </is>
      </c>
      <c r="E2659" t="inlineStr">
        <is>
          <t>telephony</t>
        </is>
      </c>
      <c r="F2659" t="n">
        <v>1</v>
      </c>
      <c r="G2659" t="n">
        <v>29.99</v>
      </c>
      <c r="H2659" t="n">
        <v>14.1</v>
      </c>
      <c r="I2659" t="inlineStr">
        <is>
          <t>credit_card</t>
        </is>
      </c>
      <c r="J2659" t="n">
        <v>26</v>
      </c>
      <c r="K2659" t="inlineStr">
        <is>
          <t>On Time</t>
        </is>
      </c>
      <c r="L2659" t="n">
        <v>3</v>
      </c>
      <c r="M2659">
        <f>VLOOKUP(D2659,State_Lookup!$A$2:$B$28,2,FALSE)</f>
        <v/>
      </c>
    </row>
    <row r="2660">
      <c r="A2660" t="inlineStr">
        <is>
          <t>6890a2ccd47e0016c365c4e1a240cbfb</t>
        </is>
      </c>
      <c r="B2660" t="inlineStr">
        <is>
          <t>2018-01-31</t>
        </is>
      </c>
      <c r="C2660" t="inlineStr">
        <is>
          <t>2018-01</t>
        </is>
      </c>
      <c r="D2660" t="inlineStr">
        <is>
          <t>SP</t>
        </is>
      </c>
      <c r="E2660" t="inlineStr">
        <is>
          <t>computers_accessories</t>
        </is>
      </c>
      <c r="F2660" t="n">
        <v>1</v>
      </c>
      <c r="G2660" t="n">
        <v>68.98999999999999</v>
      </c>
      <c r="H2660" t="n">
        <v>11.98</v>
      </c>
      <c r="I2660" t="inlineStr">
        <is>
          <t>credit_card</t>
        </is>
      </c>
      <c r="J2660" t="n">
        <v>8</v>
      </c>
      <c r="K2660" t="inlineStr">
        <is>
          <t>On Time</t>
        </is>
      </c>
      <c r="L2660" t="n">
        <v>5</v>
      </c>
      <c r="M2660">
        <f>VLOOKUP(D2660,State_Lookup!$A$2:$B$28,2,FALSE)</f>
        <v/>
      </c>
    </row>
    <row r="2661">
      <c r="A2661" t="inlineStr">
        <is>
          <t>414cadf0b930cce31271e8d9d6c1da64</t>
        </is>
      </c>
      <c r="B2661" t="inlineStr">
        <is>
          <t>2018-01-31</t>
        </is>
      </c>
      <c r="C2661" t="inlineStr">
        <is>
          <t>2018-01</t>
        </is>
      </c>
      <c r="D2661" t="inlineStr">
        <is>
          <t>RJ</t>
        </is>
      </c>
      <c r="E2661" t="inlineStr">
        <is>
          <t>unknown</t>
        </is>
      </c>
      <c r="F2661" t="n">
        <v>1</v>
      </c>
      <c r="G2661" t="n">
        <v>34.3</v>
      </c>
      <c r="H2661" t="n">
        <v>15.1</v>
      </c>
      <c r="I2661" t="inlineStr">
        <is>
          <t>credit_card</t>
        </is>
      </c>
      <c r="J2661" t="n">
        <v>16</v>
      </c>
      <c r="K2661" t="inlineStr">
        <is>
          <t>On Time</t>
        </is>
      </c>
      <c r="L2661" t="n">
        <v>5</v>
      </c>
      <c r="M2661">
        <f>VLOOKUP(D2661,State_Lookup!$A$2:$B$28,2,FALSE)</f>
        <v/>
      </c>
    </row>
    <row r="2662">
      <c r="A2662" t="inlineStr">
        <is>
          <t>aaeb62cc323c2669aa1d7f2b7bf0b02a</t>
        </is>
      </c>
      <c r="B2662" t="inlineStr">
        <is>
          <t>2018-01-31</t>
        </is>
      </c>
      <c r="C2662" t="inlineStr">
        <is>
          <t>2018-01</t>
        </is>
      </c>
      <c r="D2662" t="inlineStr">
        <is>
          <t>MG</t>
        </is>
      </c>
      <c r="E2662" t="inlineStr">
        <is>
          <t>bed_bath_table</t>
        </is>
      </c>
      <c r="F2662" t="n">
        <v>1</v>
      </c>
      <c r="G2662" t="n">
        <v>99.90000000000001</v>
      </c>
      <c r="H2662" t="n">
        <v>17.95</v>
      </c>
      <c r="I2662" t="inlineStr">
        <is>
          <t>boleto</t>
        </is>
      </c>
      <c r="J2662" t="n">
        <v>14</v>
      </c>
      <c r="K2662" t="inlineStr">
        <is>
          <t>On Time</t>
        </is>
      </c>
      <c r="L2662" t="n">
        <v>4</v>
      </c>
      <c r="M2662">
        <f>VLOOKUP(D2662,State_Lookup!$A$2:$B$28,2,FALSE)</f>
        <v/>
      </c>
    </row>
    <row r="2663">
      <c r="A2663" t="inlineStr">
        <is>
          <t>1e9808b58869f4edf92ce918b62efb74</t>
        </is>
      </c>
      <c r="B2663" t="inlineStr">
        <is>
          <t>2018-01-31</t>
        </is>
      </c>
      <c r="C2663" t="inlineStr">
        <is>
          <t>2018-01</t>
        </is>
      </c>
      <c r="D2663" t="inlineStr">
        <is>
          <t>SP</t>
        </is>
      </c>
      <c r="E2663" t="inlineStr">
        <is>
          <t>bed_bath_table</t>
        </is>
      </c>
      <c r="F2663" t="n">
        <v>1</v>
      </c>
      <c r="G2663" t="n">
        <v>79.98999999999999</v>
      </c>
      <c r="H2663" t="n">
        <v>8.75</v>
      </c>
      <c r="I2663" t="inlineStr">
        <is>
          <t>credit_card</t>
        </is>
      </c>
      <c r="J2663" t="n">
        <v>11</v>
      </c>
      <c r="K2663" t="inlineStr">
        <is>
          <t>On Time</t>
        </is>
      </c>
      <c r="L2663" t="n">
        <v>5</v>
      </c>
      <c r="M2663">
        <f>VLOOKUP(D2663,State_Lookup!$A$2:$B$28,2,FALSE)</f>
        <v/>
      </c>
    </row>
    <row r="2664">
      <c r="A2664" t="inlineStr">
        <is>
          <t>1580aa3360c01bdd268dd1665a8ff929</t>
        </is>
      </c>
      <c r="B2664" t="inlineStr">
        <is>
          <t>2018-01-31</t>
        </is>
      </c>
      <c r="C2664" t="inlineStr">
        <is>
          <t>2018-01</t>
        </is>
      </c>
      <c r="D2664" t="inlineStr">
        <is>
          <t>PR</t>
        </is>
      </c>
      <c r="E2664" t="inlineStr">
        <is>
          <t>computers_accessories</t>
        </is>
      </c>
      <c r="F2664" t="n">
        <v>1</v>
      </c>
      <c r="G2664" t="n">
        <v>89.5</v>
      </c>
      <c r="H2664" t="n">
        <v>16.39</v>
      </c>
      <c r="I2664" t="inlineStr">
        <is>
          <t>boleto</t>
        </is>
      </c>
      <c r="J2664" t="n">
        <v>19</v>
      </c>
      <c r="K2664" t="inlineStr">
        <is>
          <t>On Time</t>
        </is>
      </c>
      <c r="L2664" t="n">
        <v>4</v>
      </c>
      <c r="M2664">
        <f>VLOOKUP(D2664,State_Lookup!$A$2:$B$28,2,FALSE)</f>
        <v/>
      </c>
    </row>
    <row r="2665">
      <c r="A2665" t="inlineStr">
        <is>
          <t>0f6665a373c36216e96163b3162404b0</t>
        </is>
      </c>
      <c r="B2665" t="inlineStr">
        <is>
          <t>2018-01-31</t>
        </is>
      </c>
      <c r="C2665" t="inlineStr">
        <is>
          <t>2018-01</t>
        </is>
      </c>
      <c r="D2665" t="inlineStr">
        <is>
          <t>GO</t>
        </is>
      </c>
      <c r="E2665" t="inlineStr">
        <is>
          <t>auto</t>
        </is>
      </c>
      <c r="F2665" t="n">
        <v>1</v>
      </c>
      <c r="G2665" t="n">
        <v>42.6</v>
      </c>
      <c r="H2665" t="n">
        <v>31.1</v>
      </c>
      <c r="I2665" t="inlineStr">
        <is>
          <t>voucher</t>
        </is>
      </c>
      <c r="J2665" t="n">
        <v>16</v>
      </c>
      <c r="K2665" t="inlineStr">
        <is>
          <t>On Time</t>
        </is>
      </c>
      <c r="L2665" t="n">
        <v>4</v>
      </c>
      <c r="M2665">
        <f>VLOOKUP(D2665,State_Lookup!$A$2:$B$28,2,FALSE)</f>
        <v/>
      </c>
    </row>
    <row r="2666">
      <c r="A2666" t="inlineStr">
        <is>
          <t>6460cc80249f46f8289b2a8d55d61dbd</t>
        </is>
      </c>
      <c r="B2666" t="inlineStr">
        <is>
          <t>2018-01-31</t>
        </is>
      </c>
      <c r="C2666" t="inlineStr">
        <is>
          <t>2018-01</t>
        </is>
      </c>
      <c r="D2666" t="inlineStr">
        <is>
          <t>SP</t>
        </is>
      </c>
      <c r="E2666" t="inlineStr">
        <is>
          <t>bed_bath_table</t>
        </is>
      </c>
      <c r="F2666" t="n">
        <v>2</v>
      </c>
      <c r="G2666" t="n">
        <v>129.8</v>
      </c>
      <c r="H2666" t="n">
        <v>23.59</v>
      </c>
      <c r="I2666" t="inlineStr">
        <is>
          <t>credit_card</t>
        </is>
      </c>
      <c r="J2666" t="n">
        <v>7</v>
      </c>
      <c r="K2666" t="inlineStr">
        <is>
          <t>On Time</t>
        </is>
      </c>
      <c r="L2666" t="n">
        <v>1</v>
      </c>
      <c r="M2666">
        <f>VLOOKUP(D2666,State_Lookup!$A$2:$B$28,2,FALSE)</f>
        <v/>
      </c>
    </row>
    <row r="2667">
      <c r="A2667" t="inlineStr">
        <is>
          <t>8ebf7a16041c5ed735384020269ae2b6</t>
        </is>
      </c>
      <c r="B2667" t="inlineStr">
        <is>
          <t>2018-01-31</t>
        </is>
      </c>
      <c r="C2667" t="inlineStr">
        <is>
          <t>2018-01</t>
        </is>
      </c>
      <c r="D2667" t="inlineStr">
        <is>
          <t>GO</t>
        </is>
      </c>
      <c r="E2667" t="inlineStr">
        <is>
          <t>sports_leisure</t>
        </is>
      </c>
      <c r="F2667" t="n">
        <v>3</v>
      </c>
      <c r="G2667" t="n">
        <v>50.7</v>
      </c>
      <c r="H2667" t="n">
        <v>45.3</v>
      </c>
      <c r="I2667" t="inlineStr">
        <is>
          <t>boleto</t>
        </is>
      </c>
      <c r="J2667" t="n">
        <v>14</v>
      </c>
      <c r="K2667" t="inlineStr">
        <is>
          <t>On Time</t>
        </is>
      </c>
      <c r="L2667" t="n">
        <v>5</v>
      </c>
      <c r="M2667">
        <f>VLOOKUP(D2667,State_Lookup!$A$2:$B$28,2,FALSE)</f>
        <v/>
      </c>
    </row>
    <row r="2668">
      <c r="A2668" t="inlineStr">
        <is>
          <t>5236307716393b7114b53ee991f36956</t>
        </is>
      </c>
      <c r="B2668" t="inlineStr">
        <is>
          <t>2018-01-31</t>
        </is>
      </c>
      <c r="C2668" t="inlineStr">
        <is>
          <t>2018-01</t>
        </is>
      </c>
      <c r="D2668" t="inlineStr">
        <is>
          <t>RJ</t>
        </is>
      </c>
      <c r="E2668" t="inlineStr">
        <is>
          <t>art</t>
        </is>
      </c>
      <c r="F2668" t="n">
        <v>1</v>
      </c>
      <c r="G2668" t="n">
        <v>248</v>
      </c>
      <c r="H2668" t="n">
        <v>17.99</v>
      </c>
      <c r="I2668" t="inlineStr">
        <is>
          <t>voucher</t>
        </is>
      </c>
      <c r="J2668" t="n">
        <v>15</v>
      </c>
      <c r="K2668" t="inlineStr">
        <is>
          <t>On Time</t>
        </is>
      </c>
      <c r="L2668" t="n">
        <v>5</v>
      </c>
      <c r="M2668">
        <f>VLOOKUP(D2668,State_Lookup!$A$2:$B$28,2,FALSE)</f>
        <v/>
      </c>
    </row>
    <row r="2669">
      <c r="A2669" t="inlineStr">
        <is>
          <t>a0ed4ee4837f4807030d5ebbe2ea16e2</t>
        </is>
      </c>
      <c r="B2669" t="inlineStr">
        <is>
          <t>2018-01-31</t>
        </is>
      </c>
      <c r="C2669" t="inlineStr">
        <is>
          <t>2018-01</t>
        </is>
      </c>
      <c r="D2669" t="inlineStr">
        <is>
          <t>MG</t>
        </is>
      </c>
      <c r="E2669" t="inlineStr">
        <is>
          <t>sports_leisure</t>
        </is>
      </c>
      <c r="F2669" t="n">
        <v>1</v>
      </c>
      <c r="G2669" t="n">
        <v>49.9</v>
      </c>
      <c r="H2669" t="n">
        <v>15.1</v>
      </c>
      <c r="I2669" t="inlineStr">
        <is>
          <t>credit_card</t>
        </is>
      </c>
      <c r="J2669" t="n">
        <v>19</v>
      </c>
      <c r="K2669" t="inlineStr">
        <is>
          <t>On Time</t>
        </is>
      </c>
      <c r="L2669" t="n">
        <v>3</v>
      </c>
      <c r="M2669">
        <f>VLOOKUP(D2669,State_Lookup!$A$2:$B$28,2,FALSE)</f>
        <v/>
      </c>
    </row>
    <row r="2670">
      <c r="A2670" t="inlineStr">
        <is>
          <t>bc54c3719175670ad9effca0e152ec38</t>
        </is>
      </c>
      <c r="B2670" t="inlineStr">
        <is>
          <t>2018-01-31</t>
        </is>
      </c>
      <c r="C2670" t="inlineStr">
        <is>
          <t>2018-01</t>
        </is>
      </c>
      <c r="D2670" t="inlineStr">
        <is>
          <t>SP</t>
        </is>
      </c>
      <c r="E2670" t="inlineStr">
        <is>
          <t>small_appliances</t>
        </is>
      </c>
      <c r="F2670" t="n">
        <v>1</v>
      </c>
      <c r="G2670" t="n">
        <v>48.9</v>
      </c>
      <c r="H2670" t="n">
        <v>17.6</v>
      </c>
      <c r="I2670" t="inlineStr">
        <is>
          <t>credit_card</t>
        </is>
      </c>
      <c r="J2670" t="n">
        <v>19</v>
      </c>
      <c r="K2670" t="inlineStr">
        <is>
          <t>On Time</t>
        </is>
      </c>
      <c r="L2670" t="n">
        <v>2</v>
      </c>
      <c r="M2670">
        <f>VLOOKUP(D2670,State_Lookup!$A$2:$B$28,2,FALSE)</f>
        <v/>
      </c>
    </row>
    <row r="2671">
      <c r="A2671" t="inlineStr">
        <is>
          <t>0ee315717889c709f2cd864a34eb3ded</t>
        </is>
      </c>
      <c r="B2671" t="inlineStr">
        <is>
          <t>2018-01-31</t>
        </is>
      </c>
      <c r="C2671" t="inlineStr">
        <is>
          <t>2018-01</t>
        </is>
      </c>
      <c r="D2671" t="inlineStr">
        <is>
          <t>SP</t>
        </is>
      </c>
      <c r="E2671" t="inlineStr">
        <is>
          <t>garden_tools</t>
        </is>
      </c>
      <c r="F2671" t="n">
        <v>1</v>
      </c>
      <c r="G2671" t="n">
        <v>49.9</v>
      </c>
      <c r="H2671" t="n">
        <v>13.37</v>
      </c>
      <c r="I2671" t="inlineStr">
        <is>
          <t>boleto</t>
        </is>
      </c>
      <c r="J2671" t="n">
        <v>19</v>
      </c>
      <c r="K2671" t="inlineStr">
        <is>
          <t>On Time</t>
        </is>
      </c>
      <c r="L2671" t="n">
        <v>4</v>
      </c>
      <c r="M2671">
        <f>VLOOKUP(D2671,State_Lookup!$A$2:$B$28,2,FALSE)</f>
        <v/>
      </c>
    </row>
    <row r="2672">
      <c r="A2672" t="inlineStr">
        <is>
          <t>29210b1d48462ce1f12d87ed7ccd6397</t>
        </is>
      </c>
      <c r="B2672" t="inlineStr">
        <is>
          <t>2018-01-31</t>
        </is>
      </c>
      <c r="C2672" t="inlineStr">
        <is>
          <t>2018-01</t>
        </is>
      </c>
      <c r="D2672" t="inlineStr">
        <is>
          <t>SP</t>
        </is>
      </c>
      <c r="E2672" t="inlineStr">
        <is>
          <t>bed_bath_table</t>
        </is>
      </c>
      <c r="F2672" t="n">
        <v>1</v>
      </c>
      <c r="G2672" t="n">
        <v>19.9</v>
      </c>
      <c r="H2672" t="n">
        <v>11.85</v>
      </c>
      <c r="I2672" t="inlineStr">
        <is>
          <t>boleto</t>
        </is>
      </c>
      <c r="J2672" t="n">
        <v>14</v>
      </c>
      <c r="K2672" t="inlineStr">
        <is>
          <t>On Time</t>
        </is>
      </c>
      <c r="L2672" t="n">
        <v>5</v>
      </c>
      <c r="M2672">
        <f>VLOOKUP(D2672,State_Lookup!$A$2:$B$28,2,FALSE)</f>
        <v/>
      </c>
    </row>
    <row r="2673">
      <c r="A2673" t="inlineStr">
        <is>
          <t>9827d07ad9392a9fff10d7b9f6c05f7e</t>
        </is>
      </c>
      <c r="B2673" t="inlineStr">
        <is>
          <t>2018-01-31</t>
        </is>
      </c>
      <c r="C2673" t="inlineStr">
        <is>
          <t>2018-01</t>
        </is>
      </c>
      <c r="D2673" t="inlineStr">
        <is>
          <t>RJ</t>
        </is>
      </c>
      <c r="E2673" t="inlineStr">
        <is>
          <t>bed_bath_table</t>
        </is>
      </c>
      <c r="F2673" t="n">
        <v>1</v>
      </c>
      <c r="G2673" t="n">
        <v>422</v>
      </c>
      <c r="H2673" t="n">
        <v>36.31</v>
      </c>
      <c r="I2673" t="inlineStr">
        <is>
          <t>credit_card</t>
        </is>
      </c>
      <c r="J2673" t="n">
        <v>8</v>
      </c>
      <c r="K2673" t="inlineStr">
        <is>
          <t>On Time</t>
        </is>
      </c>
      <c r="L2673" t="n">
        <v>5</v>
      </c>
      <c r="M2673">
        <f>VLOOKUP(D2673,State_Lookup!$A$2:$B$28,2,FALSE)</f>
        <v/>
      </c>
    </row>
    <row r="2674">
      <c r="A2674" t="inlineStr">
        <is>
          <t>72661cd9e4da775b13011b9afff1969e</t>
        </is>
      </c>
      <c r="B2674" t="inlineStr">
        <is>
          <t>2018-02-01</t>
        </is>
      </c>
      <c r="C2674" t="inlineStr">
        <is>
          <t>2018-02</t>
        </is>
      </c>
      <c r="D2674" t="inlineStr">
        <is>
          <t>SP</t>
        </is>
      </c>
      <c r="E2674" t="inlineStr">
        <is>
          <t>fashion_bags_accessories</t>
        </is>
      </c>
      <c r="F2674" t="n">
        <v>1</v>
      </c>
      <c r="G2674" t="n">
        <v>14.7</v>
      </c>
      <c r="H2674" t="n">
        <v>8.109999999999999</v>
      </c>
      <c r="I2674" t="inlineStr">
        <is>
          <t>credit_card</t>
        </is>
      </c>
      <c r="J2674" t="n">
        <v>5</v>
      </c>
      <c r="K2674" t="inlineStr">
        <is>
          <t>On Time</t>
        </is>
      </c>
      <c r="L2674" t="n">
        <v>5</v>
      </c>
      <c r="M2674">
        <f>VLOOKUP(D2674,State_Lookup!$A$2:$B$28,2,FALSE)</f>
        <v/>
      </c>
    </row>
    <row r="2675">
      <c r="A2675" t="inlineStr">
        <is>
          <t>c40e2f36cb82dc5413567d994a7add93</t>
        </is>
      </c>
      <c r="B2675" t="inlineStr">
        <is>
          <t>2018-02-01</t>
        </is>
      </c>
      <c r="C2675" t="inlineStr">
        <is>
          <t>2018-02</t>
        </is>
      </c>
      <c r="D2675" t="inlineStr">
        <is>
          <t>RJ</t>
        </is>
      </c>
      <c r="E2675" t="inlineStr">
        <is>
          <t>health_beauty</t>
        </is>
      </c>
      <c r="F2675" t="n">
        <v>1</v>
      </c>
      <c r="G2675" t="n">
        <v>34.99</v>
      </c>
      <c r="H2675" t="n">
        <v>25.38</v>
      </c>
      <c r="I2675" t="inlineStr">
        <is>
          <t>credit_card</t>
        </is>
      </c>
      <c r="J2675" t="n">
        <v>12</v>
      </c>
      <c r="K2675" t="inlineStr">
        <is>
          <t>On Time</t>
        </is>
      </c>
      <c r="L2675" t="n">
        <v>5</v>
      </c>
      <c r="M2675">
        <f>VLOOKUP(D2675,State_Lookup!$A$2:$B$28,2,FALSE)</f>
        <v/>
      </c>
    </row>
    <row r="2676">
      <c r="A2676" t="inlineStr">
        <is>
          <t>770df021424ca2a0552fb73c4583e2da</t>
        </is>
      </c>
      <c r="B2676" t="inlineStr">
        <is>
          <t>2018-02-01</t>
        </is>
      </c>
      <c r="C2676" t="inlineStr">
        <is>
          <t>2018-02</t>
        </is>
      </c>
      <c r="D2676" t="inlineStr">
        <is>
          <t>SP</t>
        </is>
      </c>
      <c r="E2676" t="inlineStr">
        <is>
          <t>bed_bath_table</t>
        </is>
      </c>
      <c r="F2676" t="n">
        <v>1</v>
      </c>
      <c r="G2676" t="n">
        <v>99.90000000000001</v>
      </c>
      <c r="H2676" t="n">
        <v>12.4</v>
      </c>
      <c r="I2676" t="inlineStr">
        <is>
          <t>boleto</t>
        </is>
      </c>
      <c r="J2676" t="n">
        <v>5</v>
      </c>
      <c r="K2676" t="inlineStr">
        <is>
          <t>On Time</t>
        </is>
      </c>
      <c r="L2676" t="n">
        <v>5</v>
      </c>
      <c r="M2676">
        <f>VLOOKUP(D2676,State_Lookup!$A$2:$B$28,2,FALSE)</f>
        <v/>
      </c>
    </row>
    <row r="2677">
      <c r="A2677" t="inlineStr">
        <is>
          <t>98200dd99e0bfe78c2d1378ad05fe51c</t>
        </is>
      </c>
      <c r="B2677" t="inlineStr">
        <is>
          <t>2018-02-01</t>
        </is>
      </c>
      <c r="C2677" t="inlineStr">
        <is>
          <t>2018-02</t>
        </is>
      </c>
      <c r="D2677" t="inlineStr">
        <is>
          <t>RJ</t>
        </is>
      </c>
      <c r="E2677" t="inlineStr">
        <is>
          <t>electronics</t>
        </is>
      </c>
      <c r="F2677" t="n">
        <v>1</v>
      </c>
      <c r="G2677" t="n">
        <v>97.90000000000001</v>
      </c>
      <c r="H2677" t="n">
        <v>17.94</v>
      </c>
      <c r="I2677" t="inlineStr">
        <is>
          <t>credit_card</t>
        </is>
      </c>
      <c r="J2677" t="n">
        <v>21</v>
      </c>
      <c r="K2677" t="inlineStr">
        <is>
          <t>On Time</t>
        </is>
      </c>
      <c r="L2677" t="n">
        <v>4</v>
      </c>
      <c r="M2677">
        <f>VLOOKUP(D2677,State_Lookup!$A$2:$B$28,2,FALSE)</f>
        <v/>
      </c>
    </row>
    <row r="2678">
      <c r="A2678" t="inlineStr">
        <is>
          <t>423000c9a3d2d87b594ab701c1c9b944</t>
        </is>
      </c>
      <c r="B2678" t="inlineStr">
        <is>
          <t>2018-02-01</t>
        </is>
      </c>
      <c r="C2678" t="inlineStr">
        <is>
          <t>2018-02</t>
        </is>
      </c>
      <c r="D2678" t="inlineStr">
        <is>
          <t>RJ</t>
        </is>
      </c>
      <c r="E2678" t="inlineStr">
        <is>
          <t>telephony</t>
        </is>
      </c>
      <c r="F2678" t="n">
        <v>1</v>
      </c>
      <c r="G2678" t="n">
        <v>39.99</v>
      </c>
      <c r="H2678" t="n">
        <v>14.1</v>
      </c>
      <c r="I2678" t="inlineStr">
        <is>
          <t>credit_card</t>
        </is>
      </c>
      <c r="J2678" t="n">
        <v>18</v>
      </c>
      <c r="K2678" t="inlineStr">
        <is>
          <t>On Time</t>
        </is>
      </c>
      <c r="L2678" t="n">
        <v>5</v>
      </c>
      <c r="M2678">
        <f>VLOOKUP(D2678,State_Lookup!$A$2:$B$28,2,FALSE)</f>
        <v/>
      </c>
    </row>
    <row r="2679">
      <c r="A2679" t="inlineStr">
        <is>
          <t>182fb1824c0cd548ce120c6108630e37</t>
        </is>
      </c>
      <c r="B2679" t="inlineStr">
        <is>
          <t>2018-02-01</t>
        </is>
      </c>
      <c r="C2679" t="inlineStr">
        <is>
          <t>2018-02</t>
        </is>
      </c>
      <c r="D2679" t="inlineStr">
        <is>
          <t>SC</t>
        </is>
      </c>
      <c r="E2679" t="inlineStr">
        <is>
          <t>watches_gifts</t>
        </is>
      </c>
      <c r="F2679" t="n">
        <v>1</v>
      </c>
      <c r="G2679" t="n">
        <v>209.9</v>
      </c>
      <c r="H2679" t="n">
        <v>18.72</v>
      </c>
      <c r="I2679" t="inlineStr">
        <is>
          <t>voucher</t>
        </is>
      </c>
      <c r="J2679" t="n">
        <v>19</v>
      </c>
      <c r="K2679" t="inlineStr">
        <is>
          <t>On Time</t>
        </is>
      </c>
      <c r="L2679" t="n">
        <v>5</v>
      </c>
      <c r="M2679">
        <f>VLOOKUP(D2679,State_Lookup!$A$2:$B$28,2,FALSE)</f>
        <v/>
      </c>
    </row>
    <row r="2680">
      <c r="A2680" t="inlineStr">
        <is>
          <t>183ee0e3ebd4c1c995e5f9ac2d950ee8</t>
        </is>
      </c>
      <c r="B2680" t="inlineStr">
        <is>
          <t>2018-02-01</t>
        </is>
      </c>
      <c r="C2680" t="inlineStr">
        <is>
          <t>2018-02</t>
        </is>
      </c>
      <c r="D2680" t="inlineStr">
        <is>
          <t>SP</t>
        </is>
      </c>
      <c r="E2680" t="inlineStr">
        <is>
          <t>electronics</t>
        </is>
      </c>
      <c r="F2680" t="n">
        <v>2</v>
      </c>
      <c r="G2680" t="n">
        <v>43.8</v>
      </c>
      <c r="H2680" t="n">
        <v>23.7</v>
      </c>
      <c r="I2680" t="inlineStr">
        <is>
          <t>credit_card</t>
        </is>
      </c>
      <c r="J2680" t="n">
        <v>12</v>
      </c>
      <c r="K2680" t="inlineStr">
        <is>
          <t>On Time</t>
        </is>
      </c>
      <c r="L2680" t="n">
        <v>4</v>
      </c>
      <c r="M2680">
        <f>VLOOKUP(D2680,State_Lookup!$A$2:$B$28,2,FALSE)</f>
        <v/>
      </c>
    </row>
    <row r="2681">
      <c r="A2681" t="inlineStr">
        <is>
          <t>a7d6661622ba254f0be9fa2c51d97253</t>
        </is>
      </c>
      <c r="B2681" t="inlineStr">
        <is>
          <t>2018-02-01</t>
        </is>
      </c>
      <c r="C2681" t="inlineStr">
        <is>
          <t>2018-02</t>
        </is>
      </c>
      <c r="D2681" t="inlineStr">
        <is>
          <t>SP</t>
        </is>
      </c>
      <c r="E2681" t="inlineStr">
        <is>
          <t>toys</t>
        </is>
      </c>
      <c r="F2681" t="n">
        <v>1</v>
      </c>
      <c r="G2681" t="n">
        <v>79.90000000000001</v>
      </c>
      <c r="H2681" t="n">
        <v>7.81</v>
      </c>
      <c r="I2681" t="inlineStr">
        <is>
          <t>credit_card</t>
        </is>
      </c>
      <c r="J2681" t="n">
        <v>2</v>
      </c>
      <c r="K2681" t="inlineStr">
        <is>
          <t>On Time</t>
        </is>
      </c>
      <c r="L2681" t="n">
        <v>5</v>
      </c>
      <c r="M2681">
        <f>VLOOKUP(D2681,State_Lookup!$A$2:$B$28,2,FALSE)</f>
        <v/>
      </c>
    </row>
    <row r="2682">
      <c r="A2682" t="inlineStr">
        <is>
          <t>897fd799ba00cbe2a0d8f726dd211231</t>
        </is>
      </c>
      <c r="B2682" t="inlineStr">
        <is>
          <t>2018-02-01</t>
        </is>
      </c>
      <c r="C2682" t="inlineStr">
        <is>
          <t>2018-02</t>
        </is>
      </c>
      <c r="D2682" t="inlineStr">
        <is>
          <t>RJ</t>
        </is>
      </c>
      <c r="E2682" t="inlineStr">
        <is>
          <t>electronics</t>
        </is>
      </c>
      <c r="F2682" t="n">
        <v>1</v>
      </c>
      <c r="G2682" t="n">
        <v>12.3</v>
      </c>
      <c r="H2682" t="n">
        <v>14.1</v>
      </c>
      <c r="I2682" t="inlineStr">
        <is>
          <t>credit_card</t>
        </is>
      </c>
      <c r="J2682" t="n">
        <v>13</v>
      </c>
      <c r="K2682" t="inlineStr">
        <is>
          <t>On Time</t>
        </is>
      </c>
      <c r="L2682" t="n">
        <v>4</v>
      </c>
      <c r="M2682">
        <f>VLOOKUP(D2682,State_Lookup!$A$2:$B$28,2,FALSE)</f>
        <v/>
      </c>
    </row>
    <row r="2683">
      <c r="A2683" t="inlineStr">
        <is>
          <t>417d2c0b5fb1f2aacd28ed66e8b9c194</t>
        </is>
      </c>
      <c r="B2683" t="inlineStr">
        <is>
          <t>2018-02-01</t>
        </is>
      </c>
      <c r="C2683" t="inlineStr">
        <is>
          <t>2018-02</t>
        </is>
      </c>
      <c r="D2683" t="inlineStr">
        <is>
          <t>SP</t>
        </is>
      </c>
      <c r="E2683" t="inlineStr">
        <is>
          <t>sports_leisure</t>
        </is>
      </c>
      <c r="F2683" t="n">
        <v>1</v>
      </c>
      <c r="G2683" t="n">
        <v>94</v>
      </c>
      <c r="H2683" t="n">
        <v>8.4</v>
      </c>
      <c r="I2683" t="inlineStr">
        <is>
          <t>credit_card</t>
        </is>
      </c>
      <c r="J2683" t="n">
        <v>1</v>
      </c>
      <c r="K2683" t="inlineStr">
        <is>
          <t>On Time</t>
        </is>
      </c>
      <c r="L2683" t="n">
        <v>5</v>
      </c>
      <c r="M2683">
        <f>VLOOKUP(D2683,State_Lookup!$A$2:$B$28,2,FALSE)</f>
        <v/>
      </c>
    </row>
    <row r="2684">
      <c r="A2684" t="inlineStr">
        <is>
          <t>012248555cb0bf51df99199cef81d562</t>
        </is>
      </c>
      <c r="B2684" t="inlineStr">
        <is>
          <t>2018-02-01</t>
        </is>
      </c>
      <c r="C2684" t="inlineStr">
        <is>
          <t>2018-02</t>
        </is>
      </c>
      <c r="D2684" t="inlineStr">
        <is>
          <t>BA</t>
        </is>
      </c>
      <c r="E2684" t="inlineStr">
        <is>
          <t>watches_gifts</t>
        </is>
      </c>
      <c r="F2684" t="n">
        <v>1</v>
      </c>
      <c r="G2684" t="n">
        <v>55</v>
      </c>
      <c r="H2684" t="n">
        <v>15.83</v>
      </c>
      <c r="I2684" t="inlineStr">
        <is>
          <t>credit_card</t>
        </is>
      </c>
      <c r="J2684" t="n">
        <v>16</v>
      </c>
      <c r="K2684" t="inlineStr">
        <is>
          <t>On Time</t>
        </is>
      </c>
      <c r="L2684" t="n">
        <v>5</v>
      </c>
      <c r="M2684">
        <f>VLOOKUP(D2684,State_Lookup!$A$2:$B$28,2,FALSE)</f>
        <v/>
      </c>
    </row>
    <row r="2685">
      <c r="A2685" t="inlineStr">
        <is>
          <t>62fffe3cf205e0deb385d92481d3cb40</t>
        </is>
      </c>
      <c r="B2685" t="inlineStr">
        <is>
          <t>2018-02-02</t>
        </is>
      </c>
      <c r="C2685" t="inlineStr">
        <is>
          <t>2018-02</t>
        </is>
      </c>
      <c r="D2685" t="inlineStr">
        <is>
          <t>DF</t>
        </is>
      </c>
      <c r="E2685" t="inlineStr">
        <is>
          <t>bed_bath_table</t>
        </is>
      </c>
      <c r="F2685" t="n">
        <v>2</v>
      </c>
      <c r="G2685" t="n">
        <v>230</v>
      </c>
      <c r="H2685" t="n">
        <v>29.12</v>
      </c>
      <c r="I2685" t="inlineStr">
        <is>
          <t>credit_card</t>
        </is>
      </c>
      <c r="J2685" t="n">
        <v>18</v>
      </c>
      <c r="K2685" t="inlineStr">
        <is>
          <t>On Time</t>
        </is>
      </c>
      <c r="L2685" t="n">
        <v>1</v>
      </c>
      <c r="M2685">
        <f>VLOOKUP(D2685,State_Lookup!$A$2:$B$28,2,FALSE)</f>
        <v/>
      </c>
    </row>
    <row r="2686">
      <c r="A2686" t="inlineStr">
        <is>
          <t>9156ebc5786466511701db24f06c5daf</t>
        </is>
      </c>
      <c r="B2686" t="inlineStr">
        <is>
          <t>2018-02-02</t>
        </is>
      </c>
      <c r="C2686" t="inlineStr">
        <is>
          <t>2018-02</t>
        </is>
      </c>
      <c r="D2686" t="inlineStr">
        <is>
          <t>RJ</t>
        </is>
      </c>
      <c r="E2686" t="inlineStr">
        <is>
          <t>electronics</t>
        </is>
      </c>
      <c r="F2686" t="n">
        <v>1</v>
      </c>
      <c r="G2686" t="n">
        <v>390</v>
      </c>
      <c r="H2686" t="n">
        <v>17.48</v>
      </c>
      <c r="I2686" t="inlineStr">
        <is>
          <t>credit_card</t>
        </is>
      </c>
      <c r="J2686" t="n">
        <v>14</v>
      </c>
      <c r="K2686" t="inlineStr">
        <is>
          <t>On Time</t>
        </is>
      </c>
      <c r="L2686" t="n">
        <v>5</v>
      </c>
      <c r="M2686">
        <f>VLOOKUP(D2686,State_Lookup!$A$2:$B$28,2,FALSE)</f>
        <v/>
      </c>
    </row>
    <row r="2687">
      <c r="A2687" t="inlineStr">
        <is>
          <t>49bd41f48c18196e903f49c327dc57f6</t>
        </is>
      </c>
      <c r="B2687" t="inlineStr">
        <is>
          <t>2018-02-02</t>
        </is>
      </c>
      <c r="C2687" t="inlineStr">
        <is>
          <t>2018-02</t>
        </is>
      </c>
      <c r="D2687" t="inlineStr">
        <is>
          <t>SP</t>
        </is>
      </c>
      <c r="E2687" t="inlineStr">
        <is>
          <t>bed_bath_table</t>
        </is>
      </c>
      <c r="F2687" t="n">
        <v>1</v>
      </c>
      <c r="G2687" t="n">
        <v>19.9</v>
      </c>
      <c r="H2687" t="n">
        <v>11.85</v>
      </c>
      <c r="I2687" t="inlineStr">
        <is>
          <t>credit_card</t>
        </is>
      </c>
      <c r="J2687" t="n">
        <v>7</v>
      </c>
      <c r="K2687" t="inlineStr">
        <is>
          <t>On Time</t>
        </is>
      </c>
      <c r="L2687" t="n">
        <v>5</v>
      </c>
      <c r="M2687">
        <f>VLOOKUP(D2687,State_Lookup!$A$2:$B$28,2,FALSE)</f>
        <v/>
      </c>
    </row>
    <row r="2688">
      <c r="A2688" t="inlineStr">
        <is>
          <t>98c9c5c7df242bfccd1ad3510eff89f2</t>
        </is>
      </c>
      <c r="B2688" t="inlineStr">
        <is>
          <t>2018-02-02</t>
        </is>
      </c>
      <c r="C2688" t="inlineStr">
        <is>
          <t>2018-02</t>
        </is>
      </c>
      <c r="D2688" t="inlineStr">
        <is>
          <t>MG</t>
        </is>
      </c>
      <c r="E2688" t="inlineStr">
        <is>
          <t>health_beauty</t>
        </is>
      </c>
      <c r="F2688" t="n">
        <v>1</v>
      </c>
      <c r="G2688" t="n">
        <v>779.89</v>
      </c>
      <c r="H2688" t="n">
        <v>21.22</v>
      </c>
      <c r="I2688" t="inlineStr">
        <is>
          <t>credit_card</t>
        </is>
      </c>
      <c r="J2688" t="n">
        <v>18</v>
      </c>
      <c r="K2688" t="inlineStr">
        <is>
          <t>On Time</t>
        </is>
      </c>
      <c r="L2688" t="n">
        <v>5</v>
      </c>
      <c r="M2688">
        <f>VLOOKUP(D2688,State_Lookup!$A$2:$B$28,2,FALSE)</f>
        <v/>
      </c>
    </row>
    <row r="2689">
      <c r="A2689" t="inlineStr">
        <is>
          <t>ba42c755d2fd20af5e6ccc193942e46d</t>
        </is>
      </c>
      <c r="B2689" t="inlineStr">
        <is>
          <t>2018-02-02</t>
        </is>
      </c>
      <c r="C2689" t="inlineStr">
        <is>
          <t>2018-02</t>
        </is>
      </c>
      <c r="D2689" t="inlineStr">
        <is>
          <t>SP</t>
        </is>
      </c>
      <c r="E2689" t="inlineStr">
        <is>
          <t>electronics</t>
        </is>
      </c>
      <c r="F2689" t="n">
        <v>1</v>
      </c>
      <c r="G2689" t="n">
        <v>21.9</v>
      </c>
      <c r="H2689" t="n">
        <v>11.85</v>
      </c>
      <c r="I2689" t="inlineStr">
        <is>
          <t>boleto</t>
        </is>
      </c>
      <c r="J2689" t="n">
        <v>14</v>
      </c>
      <c r="K2689" t="inlineStr">
        <is>
          <t>On Time</t>
        </is>
      </c>
      <c r="L2689" t="n">
        <v>5</v>
      </c>
      <c r="M2689">
        <f>VLOOKUP(D2689,State_Lookup!$A$2:$B$28,2,FALSE)</f>
        <v/>
      </c>
    </row>
    <row r="2690">
      <c r="A2690" t="inlineStr">
        <is>
          <t>8237087537c881d90057c801bfbbeb83</t>
        </is>
      </c>
      <c r="B2690" t="inlineStr">
        <is>
          <t>2018-02-02</t>
        </is>
      </c>
      <c r="C2690" t="inlineStr">
        <is>
          <t>2018-02</t>
        </is>
      </c>
      <c r="D2690" t="inlineStr">
        <is>
          <t>RJ</t>
        </is>
      </c>
      <c r="E2690" t="inlineStr">
        <is>
          <t>furniture_decor</t>
        </is>
      </c>
      <c r="F2690" t="n">
        <v>1</v>
      </c>
      <c r="G2690" t="n">
        <v>119.9</v>
      </c>
      <c r="H2690" t="n">
        <v>20.08</v>
      </c>
      <c r="I2690" t="inlineStr">
        <is>
          <t>boleto</t>
        </is>
      </c>
      <c r="J2690" t="n">
        <v>22</v>
      </c>
      <c r="K2690" t="inlineStr">
        <is>
          <t>On Time</t>
        </is>
      </c>
      <c r="L2690" t="n">
        <v>5</v>
      </c>
      <c r="M2690">
        <f>VLOOKUP(D2690,State_Lookup!$A$2:$B$28,2,FALSE)</f>
        <v/>
      </c>
    </row>
    <row r="2691">
      <c r="A2691" t="inlineStr">
        <is>
          <t>b7248875eca77a299fa182dc16258c77</t>
        </is>
      </c>
      <c r="B2691" t="inlineStr">
        <is>
          <t>2018-02-02</t>
        </is>
      </c>
      <c r="C2691" t="inlineStr">
        <is>
          <t>2018-02</t>
        </is>
      </c>
      <c r="D2691" t="inlineStr">
        <is>
          <t>SP</t>
        </is>
      </c>
      <c r="E2691" t="inlineStr">
        <is>
          <t>sports_leisure</t>
        </is>
      </c>
      <c r="F2691" t="n">
        <v>1</v>
      </c>
      <c r="G2691" t="n">
        <v>133</v>
      </c>
      <c r="H2691" t="n">
        <v>13.27</v>
      </c>
      <c r="I2691" t="inlineStr">
        <is>
          <t>credit_card</t>
        </is>
      </c>
      <c r="J2691" t="n">
        <v>7</v>
      </c>
      <c r="K2691" t="inlineStr">
        <is>
          <t>On Time</t>
        </is>
      </c>
      <c r="L2691" t="n">
        <v>5</v>
      </c>
      <c r="M2691">
        <f>VLOOKUP(D2691,State_Lookup!$A$2:$B$28,2,FALSE)</f>
        <v/>
      </c>
    </row>
    <row r="2692">
      <c r="A2692" t="inlineStr">
        <is>
          <t>6b751a27edaaa33537b2e893d7fd18ce</t>
        </is>
      </c>
      <c r="B2692" t="inlineStr">
        <is>
          <t>2018-02-02</t>
        </is>
      </c>
      <c r="C2692" t="inlineStr">
        <is>
          <t>2018-02</t>
        </is>
      </c>
      <c r="D2692" t="inlineStr">
        <is>
          <t>SP</t>
        </is>
      </c>
      <c r="E2692" t="inlineStr">
        <is>
          <t>auto</t>
        </is>
      </c>
      <c r="F2692" t="n">
        <v>1</v>
      </c>
      <c r="G2692" t="n">
        <v>29.9</v>
      </c>
      <c r="H2692" t="n">
        <v>15.1</v>
      </c>
      <c r="I2692" t="inlineStr">
        <is>
          <t>debit_card</t>
        </is>
      </c>
      <c r="J2692" t="n">
        <v>18</v>
      </c>
      <c r="K2692" t="inlineStr">
        <is>
          <t>On Time</t>
        </is>
      </c>
      <c r="L2692" t="n">
        <v>5</v>
      </c>
      <c r="M2692">
        <f>VLOOKUP(D2692,State_Lookup!$A$2:$B$28,2,FALSE)</f>
        <v/>
      </c>
    </row>
    <row r="2693">
      <c r="A2693" t="inlineStr">
        <is>
          <t>5429402f55e24651d38a030602f4b50c</t>
        </is>
      </c>
      <c r="B2693" t="inlineStr">
        <is>
          <t>2018-02-02</t>
        </is>
      </c>
      <c r="C2693" t="inlineStr">
        <is>
          <t>2018-02</t>
        </is>
      </c>
      <c r="D2693" t="inlineStr">
        <is>
          <t>SP</t>
        </is>
      </c>
      <c r="E2693" t="inlineStr">
        <is>
          <t>bed_bath_table</t>
        </is>
      </c>
      <c r="F2693" t="n">
        <v>1</v>
      </c>
      <c r="G2693" t="n">
        <v>34.99</v>
      </c>
      <c r="H2693" t="n">
        <v>11.85</v>
      </c>
      <c r="I2693" t="inlineStr">
        <is>
          <t>boleto</t>
        </is>
      </c>
      <c r="J2693" t="n">
        <v>11</v>
      </c>
      <c r="K2693" t="inlineStr">
        <is>
          <t>On Time</t>
        </is>
      </c>
      <c r="L2693" t="n">
        <v>1</v>
      </c>
      <c r="M2693">
        <f>VLOOKUP(D2693,State_Lookup!$A$2:$B$28,2,FALSE)</f>
        <v/>
      </c>
    </row>
    <row r="2694">
      <c r="A2694" t="inlineStr">
        <is>
          <t>d5bb9d038d2a63cbd482acc8b1e5941f</t>
        </is>
      </c>
      <c r="B2694" t="inlineStr">
        <is>
          <t>2018-02-02</t>
        </is>
      </c>
      <c r="C2694" t="inlineStr">
        <is>
          <t>2018-02</t>
        </is>
      </c>
      <c r="D2694" t="inlineStr">
        <is>
          <t>MG</t>
        </is>
      </c>
      <c r="E2694" t="inlineStr">
        <is>
          <t>bed_bath_table</t>
        </is>
      </c>
      <c r="F2694" t="n">
        <v>1</v>
      </c>
      <c r="G2694" t="n">
        <v>109.9</v>
      </c>
      <c r="H2694" t="n">
        <v>25.61</v>
      </c>
      <c r="I2694" t="inlineStr">
        <is>
          <t>boleto</t>
        </is>
      </c>
      <c r="J2694" t="n">
        <v>15</v>
      </c>
      <c r="K2694" t="inlineStr">
        <is>
          <t>On Time</t>
        </is>
      </c>
      <c r="L2694" t="n">
        <v>5</v>
      </c>
      <c r="M2694">
        <f>VLOOKUP(D2694,State_Lookup!$A$2:$B$28,2,FALSE)</f>
        <v/>
      </c>
    </row>
    <row r="2695">
      <c r="A2695" t="inlineStr">
        <is>
          <t>ad1c49d96d60ad32cea5220dbe6aafda</t>
        </is>
      </c>
      <c r="B2695" t="inlineStr">
        <is>
          <t>2018-02-02</t>
        </is>
      </c>
      <c r="C2695" t="inlineStr">
        <is>
          <t>2018-02</t>
        </is>
      </c>
      <c r="D2695" t="inlineStr">
        <is>
          <t>DF</t>
        </is>
      </c>
      <c r="E2695" t="inlineStr">
        <is>
          <t>telephony</t>
        </is>
      </c>
      <c r="F2695" t="n">
        <v>1</v>
      </c>
      <c r="G2695" t="n">
        <v>23.99</v>
      </c>
      <c r="H2695" t="n">
        <v>14.1</v>
      </c>
      <c r="I2695" t="inlineStr">
        <is>
          <t>voucher</t>
        </is>
      </c>
      <c r="J2695" t="n">
        <v>19</v>
      </c>
      <c r="K2695" t="inlineStr">
        <is>
          <t>On Time</t>
        </is>
      </c>
      <c r="L2695" t="n">
        <v>5</v>
      </c>
      <c r="M2695">
        <f>VLOOKUP(D2695,State_Lookup!$A$2:$B$28,2,FALSE)</f>
        <v/>
      </c>
    </row>
    <row r="2696">
      <c r="A2696" t="inlineStr">
        <is>
          <t>ea84037149fffac865af31b750615c96</t>
        </is>
      </c>
      <c r="B2696" t="inlineStr">
        <is>
          <t>2018-02-02</t>
        </is>
      </c>
      <c r="C2696" t="inlineStr">
        <is>
          <t>2018-02</t>
        </is>
      </c>
      <c r="D2696" t="inlineStr">
        <is>
          <t>SP</t>
        </is>
      </c>
      <c r="E2696" t="inlineStr">
        <is>
          <t>baby</t>
        </is>
      </c>
      <c r="F2696" t="n">
        <v>1</v>
      </c>
      <c r="G2696" t="n">
        <v>54</v>
      </c>
      <c r="H2696" t="n">
        <v>14.13</v>
      </c>
      <c r="I2696" t="inlineStr">
        <is>
          <t>credit_card</t>
        </is>
      </c>
      <c r="J2696" t="n">
        <v>12</v>
      </c>
      <c r="K2696" t="inlineStr">
        <is>
          <t>On Time</t>
        </is>
      </c>
      <c r="L2696" t="n">
        <v>4</v>
      </c>
      <c r="M2696">
        <f>VLOOKUP(D2696,State_Lookup!$A$2:$B$28,2,FALSE)</f>
        <v/>
      </c>
    </row>
    <row r="2697">
      <c r="A2697" t="inlineStr">
        <is>
          <t>566919db57e507da7ace615456eeba3a</t>
        </is>
      </c>
      <c r="B2697" t="inlineStr">
        <is>
          <t>2018-02-02</t>
        </is>
      </c>
      <c r="C2697" t="inlineStr">
        <is>
          <t>2018-02</t>
        </is>
      </c>
      <c r="D2697" t="inlineStr">
        <is>
          <t>MG</t>
        </is>
      </c>
      <c r="E2697" t="inlineStr">
        <is>
          <t>housewares</t>
        </is>
      </c>
      <c r="F2697" t="n">
        <v>2</v>
      </c>
      <c r="G2697" t="n">
        <v>117.8</v>
      </c>
      <c r="H2697" t="n">
        <v>42.5</v>
      </c>
      <c r="I2697" t="inlineStr">
        <is>
          <t>credit_card</t>
        </is>
      </c>
      <c r="J2697" t="n">
        <v>21</v>
      </c>
      <c r="K2697" t="inlineStr">
        <is>
          <t>On Time</t>
        </is>
      </c>
      <c r="L2697" t="n">
        <v>2</v>
      </c>
      <c r="M2697">
        <f>VLOOKUP(D2697,State_Lookup!$A$2:$B$28,2,FALSE)</f>
        <v/>
      </c>
    </row>
    <row r="2698">
      <c r="A2698" t="inlineStr">
        <is>
          <t>e1cf4f3524c63c7e9c134666f89e722d</t>
        </is>
      </c>
      <c r="B2698" t="inlineStr">
        <is>
          <t>2018-02-02</t>
        </is>
      </c>
      <c r="C2698" t="inlineStr">
        <is>
          <t>2018-02</t>
        </is>
      </c>
      <c r="D2698" t="inlineStr">
        <is>
          <t>SP</t>
        </is>
      </c>
      <c r="E2698" t="inlineStr">
        <is>
          <t>bed_bath_table</t>
        </is>
      </c>
      <c r="F2698" t="n">
        <v>1</v>
      </c>
      <c r="G2698" t="n">
        <v>86.90000000000001</v>
      </c>
      <c r="H2698" t="n">
        <v>13.63</v>
      </c>
      <c r="I2698" t="inlineStr">
        <is>
          <t>credit_card</t>
        </is>
      </c>
      <c r="J2698" t="n">
        <v>32</v>
      </c>
      <c r="K2698" t="inlineStr">
        <is>
          <t>Late</t>
        </is>
      </c>
      <c r="L2698" t="n">
        <v>1</v>
      </c>
      <c r="M2698">
        <f>VLOOKUP(D2698,State_Lookup!$A$2:$B$28,2,FALSE)</f>
        <v/>
      </c>
    </row>
    <row r="2699">
      <c r="A2699" t="inlineStr">
        <is>
          <t>30da20eacd71a5e8cac16c775ef72984</t>
        </is>
      </c>
      <c r="B2699" t="inlineStr">
        <is>
          <t>2018-02-02</t>
        </is>
      </c>
      <c r="C2699" t="inlineStr">
        <is>
          <t>2018-02</t>
        </is>
      </c>
      <c r="D2699" t="inlineStr">
        <is>
          <t>SP</t>
        </is>
      </c>
      <c r="E2699" t="inlineStr">
        <is>
          <t>kitchen_dining_laundry_garden_furniture</t>
        </is>
      </c>
      <c r="F2699" t="n">
        <v>1</v>
      </c>
      <c r="G2699" t="n">
        <v>1320</v>
      </c>
      <c r="H2699" t="n">
        <v>49.63</v>
      </c>
      <c r="I2699" t="inlineStr">
        <is>
          <t>credit_card</t>
        </is>
      </c>
      <c r="J2699" t="n">
        <v>38</v>
      </c>
      <c r="K2699" t="inlineStr">
        <is>
          <t>Late</t>
        </is>
      </c>
      <c r="L2699" t="n">
        <v>1</v>
      </c>
      <c r="M2699">
        <f>VLOOKUP(D2699,State_Lookup!$A$2:$B$28,2,FALSE)</f>
        <v/>
      </c>
    </row>
    <row r="2700">
      <c r="A2700" t="inlineStr">
        <is>
          <t>7620a7f338b6eb9b633cbf1d73e906f5</t>
        </is>
      </c>
      <c r="B2700" t="inlineStr">
        <is>
          <t>2018-02-02</t>
        </is>
      </c>
      <c r="C2700" t="inlineStr">
        <is>
          <t>2018-02</t>
        </is>
      </c>
      <c r="D2700" t="inlineStr">
        <is>
          <t>MG</t>
        </is>
      </c>
      <c r="E2700" t="inlineStr">
        <is>
          <t>computers_accessories</t>
        </is>
      </c>
      <c r="F2700" t="n">
        <v>1</v>
      </c>
      <c r="G2700" t="n">
        <v>89.15000000000001</v>
      </c>
      <c r="H2700" t="n">
        <v>17.06</v>
      </c>
      <c r="I2700" t="inlineStr">
        <is>
          <t>boleto</t>
        </is>
      </c>
      <c r="J2700" t="n">
        <v>13</v>
      </c>
      <c r="K2700" t="inlineStr">
        <is>
          <t>On Time</t>
        </is>
      </c>
      <c r="L2700" t="n">
        <v>1</v>
      </c>
      <c r="M2700">
        <f>VLOOKUP(D2700,State_Lookup!$A$2:$B$28,2,FALSE)</f>
        <v/>
      </c>
    </row>
    <row r="2701">
      <c r="A2701" t="inlineStr">
        <is>
          <t>13990518755c419d33e4fb67c28e843f</t>
        </is>
      </c>
      <c r="B2701" t="inlineStr">
        <is>
          <t>2018-02-03</t>
        </is>
      </c>
      <c r="C2701" t="inlineStr">
        <is>
          <t>2018-02</t>
        </is>
      </c>
      <c r="D2701" t="inlineStr">
        <is>
          <t>PA</t>
        </is>
      </c>
      <c r="E2701" t="inlineStr">
        <is>
          <t>perfumery</t>
        </is>
      </c>
      <c r="F2701" t="n">
        <v>1</v>
      </c>
      <c r="G2701" t="n">
        <v>98.90000000000001</v>
      </c>
      <c r="H2701" t="n">
        <v>17.97</v>
      </c>
      <c r="I2701" t="inlineStr">
        <is>
          <t>credit_card</t>
        </is>
      </c>
      <c r="J2701" t="n">
        <v>27</v>
      </c>
      <c r="K2701" t="inlineStr">
        <is>
          <t>On Time</t>
        </is>
      </c>
      <c r="L2701" t="n">
        <v>4</v>
      </c>
      <c r="M2701">
        <f>VLOOKUP(D2701,State_Lookup!$A$2:$B$28,2,FALSE)</f>
        <v/>
      </c>
    </row>
    <row r="2702">
      <c r="A2702" t="inlineStr">
        <is>
          <t>4ecdf69ae9b28aba772d5f21e8c9b1ff</t>
        </is>
      </c>
      <c r="B2702" t="inlineStr">
        <is>
          <t>2018-02-03</t>
        </is>
      </c>
      <c r="C2702" t="inlineStr">
        <is>
          <t>2018-02</t>
        </is>
      </c>
      <c r="D2702" t="inlineStr">
        <is>
          <t>PR</t>
        </is>
      </c>
      <c r="E2702" t="inlineStr">
        <is>
          <t>stationery</t>
        </is>
      </c>
      <c r="F2702" t="n">
        <v>1</v>
      </c>
      <c r="G2702" t="n">
        <v>49.9</v>
      </c>
      <c r="H2702" t="n">
        <v>14.1</v>
      </c>
      <c r="I2702" t="inlineStr">
        <is>
          <t>credit_card</t>
        </is>
      </c>
      <c r="J2702" t="n">
        <v>17</v>
      </c>
      <c r="K2702" t="inlineStr">
        <is>
          <t>On Time</t>
        </is>
      </c>
      <c r="L2702" t="n">
        <v>5</v>
      </c>
      <c r="M2702">
        <f>VLOOKUP(D2702,State_Lookup!$A$2:$B$28,2,FALSE)</f>
        <v/>
      </c>
    </row>
    <row r="2703">
      <c r="A2703" t="inlineStr">
        <is>
          <t>2996e4479715a9de3500ce7837eefde4</t>
        </is>
      </c>
      <c r="B2703" t="inlineStr">
        <is>
          <t>2018-02-03</t>
        </is>
      </c>
      <c r="C2703" t="inlineStr">
        <is>
          <t>2018-02</t>
        </is>
      </c>
      <c r="D2703" t="inlineStr">
        <is>
          <t>AP</t>
        </is>
      </c>
      <c r="E2703" t="inlineStr">
        <is>
          <t>watches_gifts</t>
        </is>
      </c>
      <c r="F2703" t="n">
        <v>1</v>
      </c>
      <c r="G2703" t="n">
        <v>209.9</v>
      </c>
      <c r="H2703" t="n">
        <v>39.02</v>
      </c>
      <c r="I2703" t="inlineStr">
        <is>
          <t>credit_card</t>
        </is>
      </c>
      <c r="J2703" t="n">
        <v>23</v>
      </c>
      <c r="K2703" t="inlineStr">
        <is>
          <t>On Time</t>
        </is>
      </c>
      <c r="L2703" t="n">
        <v>4</v>
      </c>
      <c r="M2703">
        <f>VLOOKUP(D2703,State_Lookup!$A$2:$B$28,2,FALSE)</f>
        <v/>
      </c>
    </row>
    <row r="2704">
      <c r="A2704" t="inlineStr">
        <is>
          <t>3f7aea4e3cecef996bd62713fbf8712b</t>
        </is>
      </c>
      <c r="B2704" t="inlineStr">
        <is>
          <t>2018-02-03</t>
        </is>
      </c>
      <c r="C2704" t="inlineStr">
        <is>
          <t>2018-02</t>
        </is>
      </c>
      <c r="D2704" t="inlineStr">
        <is>
          <t>MG</t>
        </is>
      </c>
      <c r="E2704" t="inlineStr">
        <is>
          <t>housewares</t>
        </is>
      </c>
      <c r="F2704" t="n">
        <v>1</v>
      </c>
      <c r="G2704" t="n">
        <v>9.9</v>
      </c>
      <c r="H2704" t="n">
        <v>15.1</v>
      </c>
      <c r="I2704" t="inlineStr">
        <is>
          <t>credit_card</t>
        </is>
      </c>
      <c r="J2704" t="n">
        <v>11</v>
      </c>
      <c r="K2704" t="inlineStr">
        <is>
          <t>On Time</t>
        </is>
      </c>
      <c r="L2704" t="n">
        <v>5</v>
      </c>
      <c r="M2704">
        <f>VLOOKUP(D2704,State_Lookup!$A$2:$B$28,2,FALSE)</f>
        <v/>
      </c>
    </row>
    <row r="2705">
      <c r="A2705" t="inlineStr">
        <is>
          <t>837227f97fa1b842e41273e07cf3e350</t>
        </is>
      </c>
      <c r="B2705" t="inlineStr">
        <is>
          <t>2018-02-03</t>
        </is>
      </c>
      <c r="C2705" t="inlineStr">
        <is>
          <t>2018-02</t>
        </is>
      </c>
      <c r="D2705" t="inlineStr">
        <is>
          <t>MG</t>
        </is>
      </c>
      <c r="E2705" t="inlineStr">
        <is>
          <t>electronics</t>
        </is>
      </c>
      <c r="F2705" t="n">
        <v>1</v>
      </c>
      <c r="G2705" t="n">
        <v>13.65</v>
      </c>
      <c r="H2705" t="n">
        <v>14.1</v>
      </c>
      <c r="I2705" t="inlineStr">
        <is>
          <t>credit_card</t>
        </is>
      </c>
      <c r="J2705" t="n">
        <v>18</v>
      </c>
      <c r="K2705" t="inlineStr">
        <is>
          <t>On Time</t>
        </is>
      </c>
      <c r="L2705" t="n">
        <v>3</v>
      </c>
      <c r="M2705">
        <f>VLOOKUP(D2705,State_Lookup!$A$2:$B$28,2,FALSE)</f>
        <v/>
      </c>
    </row>
    <row r="2706">
      <c r="A2706" t="inlineStr">
        <is>
          <t>aab3b583efdded9a5a8214c4edfc387b</t>
        </is>
      </c>
      <c r="B2706" t="inlineStr">
        <is>
          <t>2018-02-03</t>
        </is>
      </c>
      <c r="C2706" t="inlineStr">
        <is>
          <t>2018-02</t>
        </is>
      </c>
      <c r="D2706" t="inlineStr">
        <is>
          <t>GO</t>
        </is>
      </c>
      <c r="E2706" t="inlineStr">
        <is>
          <t>unknown</t>
        </is>
      </c>
      <c r="F2706" t="n">
        <v>1</v>
      </c>
      <c r="G2706" t="n">
        <v>159.77</v>
      </c>
      <c r="H2706" t="n">
        <v>16.88</v>
      </c>
      <c r="I2706" t="inlineStr">
        <is>
          <t>boleto</t>
        </is>
      </c>
      <c r="J2706" t="n">
        <v>23</v>
      </c>
      <c r="K2706" t="inlineStr">
        <is>
          <t>On Time</t>
        </is>
      </c>
      <c r="L2706" t="n">
        <v>5</v>
      </c>
      <c r="M2706">
        <f>VLOOKUP(D2706,State_Lookup!$A$2:$B$28,2,FALSE)</f>
        <v/>
      </c>
    </row>
    <row r="2707">
      <c r="A2707" t="inlineStr">
        <is>
          <t>f83cde9bf6f9593a8466b50ffc0507fa</t>
        </is>
      </c>
      <c r="B2707" t="inlineStr">
        <is>
          <t>2018-02-03</t>
        </is>
      </c>
      <c r="C2707" t="inlineStr">
        <is>
          <t>2018-02</t>
        </is>
      </c>
      <c r="D2707" t="inlineStr">
        <is>
          <t>SP</t>
        </is>
      </c>
      <c r="E2707" t="inlineStr">
        <is>
          <t>books_technical</t>
        </is>
      </c>
      <c r="F2707" t="n">
        <v>1</v>
      </c>
      <c r="G2707" t="n">
        <v>28</v>
      </c>
      <c r="H2707" t="n">
        <v>9.34</v>
      </c>
      <c r="I2707" t="inlineStr">
        <is>
          <t>credit_card</t>
        </is>
      </c>
      <c r="J2707" t="n">
        <v>6</v>
      </c>
      <c r="K2707" t="inlineStr">
        <is>
          <t>On Time</t>
        </is>
      </c>
      <c r="L2707" t="n">
        <v>5</v>
      </c>
      <c r="M2707">
        <f>VLOOKUP(D2707,State_Lookup!$A$2:$B$28,2,FALSE)</f>
        <v/>
      </c>
    </row>
    <row r="2708">
      <c r="A2708" t="inlineStr">
        <is>
          <t>4f1482e926881ff58f7384a6e6bd0771</t>
        </is>
      </c>
      <c r="B2708" t="inlineStr">
        <is>
          <t>2018-02-03</t>
        </is>
      </c>
      <c r="C2708" t="inlineStr">
        <is>
          <t>2018-02</t>
        </is>
      </c>
      <c r="D2708" t="inlineStr">
        <is>
          <t>SP</t>
        </is>
      </c>
      <c r="E2708" t="inlineStr">
        <is>
          <t>fashion_bags_accessories</t>
        </is>
      </c>
      <c r="F2708" t="n">
        <v>1</v>
      </c>
      <c r="G2708" t="n">
        <v>20.3</v>
      </c>
      <c r="H2708" t="n">
        <v>8.109999999999999</v>
      </c>
      <c r="I2708" t="inlineStr">
        <is>
          <t>credit_card</t>
        </is>
      </c>
      <c r="J2708" t="n">
        <v>23</v>
      </c>
      <c r="K2708" t="inlineStr">
        <is>
          <t>Late</t>
        </is>
      </c>
      <c r="L2708" t="n">
        <v>1</v>
      </c>
      <c r="M2708">
        <f>VLOOKUP(D2708,State_Lookup!$A$2:$B$28,2,FALSE)</f>
        <v/>
      </c>
    </row>
    <row r="2709">
      <c r="A2709" t="inlineStr">
        <is>
          <t>bcd05b48176dab8d00672b325de126de</t>
        </is>
      </c>
      <c r="B2709" t="inlineStr">
        <is>
          <t>2018-02-03</t>
        </is>
      </c>
      <c r="C2709" t="inlineStr">
        <is>
          <t>2018-02</t>
        </is>
      </c>
      <c r="D2709" t="inlineStr">
        <is>
          <t>SP</t>
        </is>
      </c>
      <c r="E2709" t="inlineStr">
        <is>
          <t>bed_bath_table</t>
        </is>
      </c>
      <c r="F2709" t="n">
        <v>1</v>
      </c>
      <c r="G2709" t="n">
        <v>148.9</v>
      </c>
      <c r="H2709" t="n">
        <v>21.53</v>
      </c>
      <c r="I2709" t="inlineStr">
        <is>
          <t>credit_card</t>
        </is>
      </c>
      <c r="J2709" t="n">
        <v>15</v>
      </c>
      <c r="K2709" t="inlineStr">
        <is>
          <t>On Time</t>
        </is>
      </c>
      <c r="L2709" t="n">
        <v>5</v>
      </c>
      <c r="M2709">
        <f>VLOOKUP(D2709,State_Lookup!$A$2:$B$28,2,FALSE)</f>
        <v/>
      </c>
    </row>
    <row r="2710">
      <c r="A2710" t="inlineStr">
        <is>
          <t>3f678ace108ecc7c2ffd70470390817b</t>
        </is>
      </c>
      <c r="B2710" t="inlineStr">
        <is>
          <t>2018-02-03</t>
        </is>
      </c>
      <c r="C2710" t="inlineStr">
        <is>
          <t>2018-02</t>
        </is>
      </c>
      <c r="D2710" t="inlineStr">
        <is>
          <t>SP</t>
        </is>
      </c>
      <c r="E2710" t="inlineStr">
        <is>
          <t>auto</t>
        </is>
      </c>
      <c r="F2710" t="n">
        <v>1</v>
      </c>
      <c r="G2710" t="n">
        <v>19.9</v>
      </c>
      <c r="H2710" t="n">
        <v>7.78</v>
      </c>
      <c r="I2710" t="inlineStr">
        <is>
          <t>boleto</t>
        </is>
      </c>
      <c r="J2710" t="n">
        <v>11</v>
      </c>
      <c r="K2710" t="inlineStr">
        <is>
          <t>On Time</t>
        </is>
      </c>
      <c r="L2710" t="n">
        <v>5</v>
      </c>
      <c r="M2710">
        <f>VLOOKUP(D2710,State_Lookup!$A$2:$B$28,2,FALSE)</f>
        <v/>
      </c>
    </row>
    <row r="2711">
      <c r="A2711" t="inlineStr">
        <is>
          <t>167d05678f810589a854d30460ae62f0</t>
        </is>
      </c>
      <c r="B2711" t="inlineStr">
        <is>
          <t>2018-02-03</t>
        </is>
      </c>
      <c r="C2711" t="inlineStr">
        <is>
          <t>2018-02</t>
        </is>
      </c>
      <c r="D2711" t="inlineStr">
        <is>
          <t>RS</t>
        </is>
      </c>
      <c r="E2711" t="inlineStr">
        <is>
          <t>sports_leisure</t>
        </is>
      </c>
      <c r="F2711" t="n">
        <v>1</v>
      </c>
      <c r="G2711" t="n">
        <v>192</v>
      </c>
      <c r="H2711" t="n">
        <v>17.78</v>
      </c>
      <c r="I2711" t="inlineStr">
        <is>
          <t>credit_card</t>
        </is>
      </c>
      <c r="J2711" t="inlineStr"/>
      <c r="K2711" t="inlineStr">
        <is>
          <t>Not Delivered</t>
        </is>
      </c>
      <c r="L2711" t="n">
        <v>1</v>
      </c>
      <c r="M2711">
        <f>VLOOKUP(D2711,State_Lookup!$A$2:$B$28,2,FALSE)</f>
        <v/>
      </c>
    </row>
    <row r="2712">
      <c r="A2712" t="inlineStr">
        <is>
          <t>2c0a28ce4971f66f2def8542ef0b6c18</t>
        </is>
      </c>
      <c r="B2712" t="inlineStr">
        <is>
          <t>2018-02-03</t>
        </is>
      </c>
      <c r="C2712" t="inlineStr">
        <is>
          <t>2018-02</t>
        </is>
      </c>
      <c r="D2712" t="inlineStr">
        <is>
          <t>SP</t>
        </is>
      </c>
      <c r="E2712" t="inlineStr">
        <is>
          <t>computers_accessories</t>
        </is>
      </c>
      <c r="F2712" t="n">
        <v>1</v>
      </c>
      <c r="G2712" t="n">
        <v>80.90000000000001</v>
      </c>
      <c r="H2712" t="n">
        <v>12.7</v>
      </c>
      <c r="I2712" t="inlineStr">
        <is>
          <t>credit_card</t>
        </is>
      </c>
      <c r="J2712" t="n">
        <v>12</v>
      </c>
      <c r="K2712" t="inlineStr">
        <is>
          <t>On Time</t>
        </is>
      </c>
      <c r="L2712" t="n">
        <v>4</v>
      </c>
      <c r="M2712">
        <f>VLOOKUP(D2712,State_Lookup!$A$2:$B$28,2,FALSE)</f>
        <v/>
      </c>
    </row>
    <row r="2713">
      <c r="A2713" t="inlineStr">
        <is>
          <t>e05a09fdfa909b44bbe0d68635a0f585</t>
        </is>
      </c>
      <c r="B2713" t="inlineStr">
        <is>
          <t>2018-02-03</t>
        </is>
      </c>
      <c r="C2713" t="inlineStr">
        <is>
          <t>2018-02</t>
        </is>
      </c>
      <c r="D2713" t="inlineStr">
        <is>
          <t>MG</t>
        </is>
      </c>
      <c r="E2713" t="inlineStr">
        <is>
          <t>computers_accessories</t>
        </is>
      </c>
      <c r="F2713" t="n">
        <v>1</v>
      </c>
      <c r="G2713" t="n">
        <v>24.99</v>
      </c>
      <c r="H2713" t="n">
        <v>15.1</v>
      </c>
      <c r="I2713" t="inlineStr">
        <is>
          <t>credit_card</t>
        </is>
      </c>
      <c r="J2713" t="n">
        <v>17</v>
      </c>
      <c r="K2713" t="inlineStr">
        <is>
          <t>On Time</t>
        </is>
      </c>
      <c r="L2713" t="n">
        <v>3</v>
      </c>
      <c r="M2713">
        <f>VLOOKUP(D2713,State_Lookup!$A$2:$B$28,2,FALSE)</f>
        <v/>
      </c>
    </row>
    <row r="2714">
      <c r="A2714" t="inlineStr">
        <is>
          <t>f3cd1b70420f1d1a3cbac5acce1a5b3d</t>
        </is>
      </c>
      <c r="B2714" t="inlineStr">
        <is>
          <t>2018-02-03</t>
        </is>
      </c>
      <c r="C2714" t="inlineStr">
        <is>
          <t>2018-02</t>
        </is>
      </c>
      <c r="D2714" t="inlineStr">
        <is>
          <t>SP</t>
        </is>
      </c>
      <c r="E2714" t="inlineStr">
        <is>
          <t>construction_tools_construction</t>
        </is>
      </c>
      <c r="F2714" t="n">
        <v>1</v>
      </c>
      <c r="G2714" t="n">
        <v>273</v>
      </c>
      <c r="H2714" t="n">
        <v>13.12</v>
      </c>
      <c r="I2714" t="inlineStr">
        <is>
          <t>credit_card</t>
        </is>
      </c>
      <c r="J2714" t="n">
        <v>5</v>
      </c>
      <c r="K2714" t="inlineStr">
        <is>
          <t>On Time</t>
        </is>
      </c>
      <c r="L2714" t="n">
        <v>5</v>
      </c>
      <c r="M2714">
        <f>VLOOKUP(D2714,State_Lookup!$A$2:$B$28,2,FALSE)</f>
        <v/>
      </c>
    </row>
    <row r="2715">
      <c r="A2715" t="inlineStr">
        <is>
          <t>0aea5ed8df108f7cb387c099ddec65c2</t>
        </is>
      </c>
      <c r="B2715" t="inlineStr">
        <is>
          <t>2018-02-04</t>
        </is>
      </c>
      <c r="C2715" t="inlineStr">
        <is>
          <t>2018-02</t>
        </is>
      </c>
      <c r="D2715" t="inlineStr">
        <is>
          <t>SP</t>
        </is>
      </c>
      <c r="E2715" t="inlineStr">
        <is>
          <t>cool_stuff</t>
        </is>
      </c>
      <c r="F2715" t="n">
        <v>1</v>
      </c>
      <c r="G2715" t="n">
        <v>34.9</v>
      </c>
      <c r="H2715" t="n">
        <v>16.79</v>
      </c>
      <c r="I2715" t="inlineStr">
        <is>
          <t>voucher</t>
        </is>
      </c>
      <c r="J2715" t="n">
        <v>12</v>
      </c>
      <c r="K2715" t="inlineStr">
        <is>
          <t>On Time</t>
        </is>
      </c>
      <c r="L2715" t="n">
        <v>5</v>
      </c>
      <c r="M2715">
        <f>VLOOKUP(D2715,State_Lookup!$A$2:$B$28,2,FALSE)</f>
        <v/>
      </c>
    </row>
    <row r="2716">
      <c r="A2716" t="inlineStr">
        <is>
          <t>de5c6352db0b15363de90c22e79d322c</t>
        </is>
      </c>
      <c r="B2716" t="inlineStr">
        <is>
          <t>2018-02-04</t>
        </is>
      </c>
      <c r="C2716" t="inlineStr">
        <is>
          <t>2018-02</t>
        </is>
      </c>
      <c r="D2716" t="inlineStr">
        <is>
          <t>SP</t>
        </is>
      </c>
      <c r="E2716" t="inlineStr">
        <is>
          <t>housewares</t>
        </is>
      </c>
      <c r="F2716" t="n">
        <v>1</v>
      </c>
      <c r="G2716" t="n">
        <v>25.99</v>
      </c>
      <c r="H2716" t="n">
        <v>9.34</v>
      </c>
      <c r="I2716" t="inlineStr">
        <is>
          <t>credit_card</t>
        </is>
      </c>
      <c r="J2716" t="n">
        <v>1</v>
      </c>
      <c r="K2716" t="inlineStr">
        <is>
          <t>On Time</t>
        </is>
      </c>
      <c r="L2716" t="n">
        <v>5</v>
      </c>
      <c r="M2716">
        <f>VLOOKUP(D2716,State_Lookup!$A$2:$B$28,2,FALSE)</f>
        <v/>
      </c>
    </row>
    <row r="2717">
      <c r="A2717" t="inlineStr">
        <is>
          <t>17158b7ebb079668a6f21a5660ec6e83</t>
        </is>
      </c>
      <c r="B2717" t="inlineStr">
        <is>
          <t>2018-02-04</t>
        </is>
      </c>
      <c r="C2717" t="inlineStr">
        <is>
          <t>2018-02</t>
        </is>
      </c>
      <c r="D2717" t="inlineStr">
        <is>
          <t>MG</t>
        </is>
      </c>
      <c r="E2717" t="inlineStr">
        <is>
          <t>housewares</t>
        </is>
      </c>
      <c r="F2717" t="n">
        <v>1</v>
      </c>
      <c r="G2717" t="n">
        <v>29.9</v>
      </c>
      <c r="H2717" t="n">
        <v>16.92</v>
      </c>
      <c r="I2717" t="inlineStr">
        <is>
          <t>credit_card</t>
        </is>
      </c>
      <c r="J2717" t="n">
        <v>3</v>
      </c>
      <c r="K2717" t="inlineStr">
        <is>
          <t>On Time</t>
        </is>
      </c>
      <c r="L2717" t="n">
        <v>5</v>
      </c>
      <c r="M2717">
        <f>VLOOKUP(D2717,State_Lookup!$A$2:$B$28,2,FALSE)</f>
        <v/>
      </c>
    </row>
    <row r="2718">
      <c r="A2718" t="inlineStr">
        <is>
          <t>2f0d70560615459213d3ea85549554a6</t>
        </is>
      </c>
      <c r="B2718" t="inlineStr">
        <is>
          <t>2018-02-04</t>
        </is>
      </c>
      <c r="C2718" t="inlineStr">
        <is>
          <t>2018-02</t>
        </is>
      </c>
      <c r="D2718" t="inlineStr">
        <is>
          <t>SP</t>
        </is>
      </c>
      <c r="E2718" t="inlineStr">
        <is>
          <t>bed_bath_table</t>
        </is>
      </c>
      <c r="F2718" t="n">
        <v>1</v>
      </c>
      <c r="G2718" t="n">
        <v>24.9</v>
      </c>
      <c r="H2718" t="n">
        <v>9.09</v>
      </c>
      <c r="I2718" t="inlineStr">
        <is>
          <t>credit_card</t>
        </is>
      </c>
      <c r="J2718" t="n">
        <v>2</v>
      </c>
      <c r="K2718" t="inlineStr">
        <is>
          <t>On Time</t>
        </is>
      </c>
      <c r="L2718" t="n">
        <v>5</v>
      </c>
      <c r="M2718">
        <f>VLOOKUP(D2718,State_Lookup!$A$2:$B$28,2,FALSE)</f>
        <v/>
      </c>
    </row>
    <row r="2719">
      <c r="A2719" t="inlineStr">
        <is>
          <t>ce5fa76be23d99133bb5c88b56ee3a79</t>
        </is>
      </c>
      <c r="B2719" t="inlineStr">
        <is>
          <t>2018-02-04</t>
        </is>
      </c>
      <c r="C2719" t="inlineStr">
        <is>
          <t>2018-02</t>
        </is>
      </c>
      <c r="D2719" t="inlineStr">
        <is>
          <t>PA</t>
        </is>
      </c>
      <c r="E2719" t="inlineStr">
        <is>
          <t>watches_gifts</t>
        </is>
      </c>
      <c r="F2719" t="n">
        <v>1</v>
      </c>
      <c r="G2719" t="n">
        <v>255</v>
      </c>
      <c r="H2719" t="n">
        <v>27.07</v>
      </c>
      <c r="I2719" t="inlineStr">
        <is>
          <t>credit_card</t>
        </is>
      </c>
      <c r="J2719" t="n">
        <v>25</v>
      </c>
      <c r="K2719" t="inlineStr">
        <is>
          <t>On Time</t>
        </is>
      </c>
      <c r="L2719" t="n">
        <v>5</v>
      </c>
      <c r="M2719">
        <f>VLOOKUP(D2719,State_Lookup!$A$2:$B$28,2,FALSE)</f>
        <v/>
      </c>
    </row>
    <row r="2720">
      <c r="A2720" t="inlineStr">
        <is>
          <t>84529952b44a7b19788d9398f07b6eea</t>
        </is>
      </c>
      <c r="B2720" t="inlineStr">
        <is>
          <t>2018-02-04</t>
        </is>
      </c>
      <c r="C2720" t="inlineStr">
        <is>
          <t>2018-02</t>
        </is>
      </c>
      <c r="D2720" t="inlineStr">
        <is>
          <t>SC</t>
        </is>
      </c>
      <c r="E2720" t="inlineStr">
        <is>
          <t>garden_tools</t>
        </is>
      </c>
      <c r="F2720" t="n">
        <v>1</v>
      </c>
      <c r="G2720" t="n">
        <v>49.9</v>
      </c>
      <c r="H2720" t="n">
        <v>17.6</v>
      </c>
      <c r="I2720" t="inlineStr">
        <is>
          <t>credit_card</t>
        </is>
      </c>
      <c r="J2720" t="n">
        <v>23</v>
      </c>
      <c r="K2720" t="inlineStr">
        <is>
          <t>On Time</t>
        </is>
      </c>
      <c r="L2720" t="n">
        <v>5</v>
      </c>
      <c r="M2720">
        <f>VLOOKUP(D2720,State_Lookup!$A$2:$B$28,2,FALSE)</f>
        <v/>
      </c>
    </row>
    <row r="2721">
      <c r="A2721" t="inlineStr">
        <is>
          <t>8ca8fb2c57d4fbfbb9f7a363c95cdad5</t>
        </is>
      </c>
      <c r="B2721" t="inlineStr">
        <is>
          <t>2018-02-04</t>
        </is>
      </c>
      <c r="C2721" t="inlineStr">
        <is>
          <t>2018-02</t>
        </is>
      </c>
      <c r="D2721" t="inlineStr">
        <is>
          <t>SP</t>
        </is>
      </c>
      <c r="E2721" t="inlineStr">
        <is>
          <t>auto</t>
        </is>
      </c>
      <c r="F2721" t="n">
        <v>1</v>
      </c>
      <c r="G2721" t="n">
        <v>20</v>
      </c>
      <c r="H2721" t="n">
        <v>7.78</v>
      </c>
      <c r="I2721" t="inlineStr">
        <is>
          <t>credit_card</t>
        </is>
      </c>
      <c r="J2721" t="n">
        <v>3</v>
      </c>
      <c r="K2721" t="inlineStr">
        <is>
          <t>On Time</t>
        </is>
      </c>
      <c r="L2721" t="n">
        <v>5</v>
      </c>
      <c r="M2721">
        <f>VLOOKUP(D2721,State_Lookup!$A$2:$B$28,2,FALSE)</f>
        <v/>
      </c>
    </row>
    <row r="2722">
      <c r="A2722" t="inlineStr">
        <is>
          <t>06efe66e043ee5d43f8d6edcba44d653</t>
        </is>
      </c>
      <c r="B2722" t="inlineStr">
        <is>
          <t>2018-02-04</t>
        </is>
      </c>
      <c r="C2722" t="inlineStr">
        <is>
          <t>2018-02</t>
        </is>
      </c>
      <c r="D2722" t="inlineStr">
        <is>
          <t>RS</t>
        </is>
      </c>
      <c r="E2722" t="inlineStr">
        <is>
          <t>housewares</t>
        </is>
      </c>
      <c r="F2722" t="n">
        <v>1</v>
      </c>
      <c r="G2722" t="n">
        <v>50</v>
      </c>
      <c r="H2722" t="n">
        <v>14.1</v>
      </c>
      <c r="I2722" t="inlineStr">
        <is>
          <t>credit_card</t>
        </is>
      </c>
      <c r="J2722" t="n">
        <v>14</v>
      </c>
      <c r="K2722" t="inlineStr">
        <is>
          <t>On Time</t>
        </is>
      </c>
      <c r="L2722" t="n">
        <v>4</v>
      </c>
      <c r="M2722">
        <f>VLOOKUP(D2722,State_Lookup!$A$2:$B$28,2,FALSE)</f>
        <v/>
      </c>
    </row>
    <row r="2723">
      <c r="A2723" t="inlineStr">
        <is>
          <t>5dd63219d314ee0914d93920e6f091c3</t>
        </is>
      </c>
      <c r="B2723" t="inlineStr">
        <is>
          <t>2018-02-05</t>
        </is>
      </c>
      <c r="C2723" t="inlineStr">
        <is>
          <t>2018-02</t>
        </is>
      </c>
      <c r="D2723" t="inlineStr">
        <is>
          <t>SP</t>
        </is>
      </c>
      <c r="E2723" t="inlineStr">
        <is>
          <t>sports_leisure</t>
        </is>
      </c>
      <c r="F2723" t="n">
        <v>1</v>
      </c>
      <c r="G2723" t="n">
        <v>260</v>
      </c>
      <c r="H2723" t="n">
        <v>21.79</v>
      </c>
      <c r="I2723" t="inlineStr">
        <is>
          <t>credit_card</t>
        </is>
      </c>
      <c r="J2723" t="n">
        <v>13</v>
      </c>
      <c r="K2723" t="inlineStr">
        <is>
          <t>On Time</t>
        </is>
      </c>
      <c r="L2723" t="n">
        <v>5</v>
      </c>
      <c r="M2723">
        <f>VLOOKUP(D2723,State_Lookup!$A$2:$B$28,2,FALSE)</f>
        <v/>
      </c>
    </row>
    <row r="2724">
      <c r="A2724" t="inlineStr">
        <is>
          <t>bf5a0b2281067192ee4215a039245d05</t>
        </is>
      </c>
      <c r="B2724" t="inlineStr">
        <is>
          <t>2018-02-05</t>
        </is>
      </c>
      <c r="C2724" t="inlineStr">
        <is>
          <t>2018-02</t>
        </is>
      </c>
      <c r="D2724" t="inlineStr">
        <is>
          <t>SC</t>
        </is>
      </c>
      <c r="E2724" t="inlineStr">
        <is>
          <t>books_general_interest</t>
        </is>
      </c>
      <c r="F2724" t="n">
        <v>1</v>
      </c>
      <c r="G2724" t="n">
        <v>44.9</v>
      </c>
      <c r="H2724" t="n">
        <v>16.11</v>
      </c>
      <c r="I2724" t="inlineStr">
        <is>
          <t>credit_card</t>
        </is>
      </c>
      <c r="J2724" t="n">
        <v>25</v>
      </c>
      <c r="K2724" t="inlineStr">
        <is>
          <t>On Time</t>
        </is>
      </c>
      <c r="L2724" t="n">
        <v>4</v>
      </c>
      <c r="M2724">
        <f>VLOOKUP(D2724,State_Lookup!$A$2:$B$28,2,FALSE)</f>
        <v/>
      </c>
    </row>
    <row r="2725">
      <c r="A2725" t="inlineStr">
        <is>
          <t>2208f3a59d7067fe62c900692f5fdcaf</t>
        </is>
      </c>
      <c r="B2725" t="inlineStr">
        <is>
          <t>2018-02-05</t>
        </is>
      </c>
      <c r="C2725" t="inlineStr">
        <is>
          <t>2018-02</t>
        </is>
      </c>
      <c r="D2725" t="inlineStr">
        <is>
          <t>SP</t>
        </is>
      </c>
      <c r="E2725" t="inlineStr">
        <is>
          <t>toys</t>
        </is>
      </c>
      <c r="F2725" t="n">
        <v>1</v>
      </c>
      <c r="G2725" t="n">
        <v>99</v>
      </c>
      <c r="H2725" t="n">
        <v>27.01</v>
      </c>
      <c r="I2725" t="inlineStr">
        <is>
          <t>voucher</t>
        </is>
      </c>
      <c r="J2725" t="n">
        <v>11</v>
      </c>
      <c r="K2725" t="inlineStr">
        <is>
          <t>On Time</t>
        </is>
      </c>
      <c r="L2725" t="n">
        <v>2</v>
      </c>
      <c r="M2725">
        <f>VLOOKUP(D2725,State_Lookup!$A$2:$B$28,2,FALSE)</f>
        <v/>
      </c>
    </row>
    <row r="2726">
      <c r="A2726" t="inlineStr">
        <is>
          <t>1f63547f5743b270843ccf840f00108a</t>
        </is>
      </c>
      <c r="B2726" t="inlineStr">
        <is>
          <t>2018-02-05</t>
        </is>
      </c>
      <c r="C2726" t="inlineStr">
        <is>
          <t>2018-02</t>
        </is>
      </c>
      <c r="D2726" t="inlineStr">
        <is>
          <t>GO</t>
        </is>
      </c>
      <c r="E2726" t="inlineStr">
        <is>
          <t>bed_bath_table</t>
        </is>
      </c>
      <c r="F2726" t="n">
        <v>2</v>
      </c>
      <c r="G2726" t="n">
        <v>159.8</v>
      </c>
      <c r="H2726" t="n">
        <v>32.64</v>
      </c>
      <c r="I2726" t="inlineStr">
        <is>
          <t>credit_card</t>
        </is>
      </c>
      <c r="J2726" t="n">
        <v>16</v>
      </c>
      <c r="K2726" t="inlineStr">
        <is>
          <t>On Time</t>
        </is>
      </c>
      <c r="L2726" t="n">
        <v>4</v>
      </c>
      <c r="M2726">
        <f>VLOOKUP(D2726,State_Lookup!$A$2:$B$28,2,FALSE)</f>
        <v/>
      </c>
    </row>
    <row r="2727">
      <c r="A2727" t="inlineStr">
        <is>
          <t>51e8b1751420d0520256aee3f5c81b9e</t>
        </is>
      </c>
      <c r="B2727" t="inlineStr">
        <is>
          <t>2018-02-05</t>
        </is>
      </c>
      <c r="C2727" t="inlineStr">
        <is>
          <t>2018-02</t>
        </is>
      </c>
      <c r="D2727" t="inlineStr">
        <is>
          <t>MG</t>
        </is>
      </c>
      <c r="E2727" t="inlineStr">
        <is>
          <t>garden_tools</t>
        </is>
      </c>
      <c r="F2727" t="n">
        <v>1</v>
      </c>
      <c r="G2727" t="n">
        <v>509</v>
      </c>
      <c r="H2727" t="n">
        <v>49.57</v>
      </c>
      <c r="I2727" t="inlineStr">
        <is>
          <t>credit_card</t>
        </is>
      </c>
      <c r="J2727" t="n">
        <v>15</v>
      </c>
      <c r="K2727" t="inlineStr">
        <is>
          <t>On Time</t>
        </is>
      </c>
      <c r="L2727" t="n">
        <v>5</v>
      </c>
      <c r="M2727">
        <f>VLOOKUP(D2727,State_Lookup!$A$2:$B$28,2,FALSE)</f>
        <v/>
      </c>
    </row>
    <row r="2728">
      <c r="A2728" t="inlineStr">
        <is>
          <t>46a354ecffd29742e985db9b49cae302</t>
        </is>
      </c>
      <c r="B2728" t="inlineStr">
        <is>
          <t>2018-02-05</t>
        </is>
      </c>
      <c r="C2728" t="inlineStr">
        <is>
          <t>2018-02</t>
        </is>
      </c>
      <c r="D2728" t="inlineStr">
        <is>
          <t>SP</t>
        </is>
      </c>
      <c r="E2728" t="inlineStr">
        <is>
          <t>fashion_shoes</t>
        </is>
      </c>
      <c r="F2728" t="n">
        <v>2</v>
      </c>
      <c r="G2728" t="n">
        <v>59.8</v>
      </c>
      <c r="H2728" t="n">
        <v>28.2</v>
      </c>
      <c r="I2728" t="inlineStr">
        <is>
          <t>credit_card</t>
        </is>
      </c>
      <c r="J2728" t="n">
        <v>15</v>
      </c>
      <c r="K2728" t="inlineStr">
        <is>
          <t>On Time</t>
        </is>
      </c>
      <c r="L2728" t="n">
        <v>5</v>
      </c>
      <c r="M2728">
        <f>VLOOKUP(D2728,State_Lookup!$A$2:$B$28,2,FALSE)</f>
        <v/>
      </c>
    </row>
    <row r="2729">
      <c r="A2729" t="inlineStr">
        <is>
          <t>7d52cc13ad48508237527a8681689106</t>
        </is>
      </c>
      <c r="B2729" t="inlineStr">
        <is>
          <t>2018-02-05</t>
        </is>
      </c>
      <c r="C2729" t="inlineStr">
        <is>
          <t>2018-02</t>
        </is>
      </c>
      <c r="D2729" t="inlineStr">
        <is>
          <t>GO</t>
        </is>
      </c>
      <c r="E2729" t="inlineStr">
        <is>
          <t>bed_bath_table</t>
        </is>
      </c>
      <c r="F2729" t="n">
        <v>2</v>
      </c>
      <c r="G2729" t="n">
        <v>179.98</v>
      </c>
      <c r="H2729" t="n">
        <v>35.76</v>
      </c>
      <c r="I2729" t="inlineStr">
        <is>
          <t>credit_card</t>
        </is>
      </c>
      <c r="J2729" t="n">
        <v>17</v>
      </c>
      <c r="K2729" t="inlineStr">
        <is>
          <t>On Time</t>
        </is>
      </c>
      <c r="L2729" t="n">
        <v>5</v>
      </c>
      <c r="M2729">
        <f>VLOOKUP(D2729,State_Lookup!$A$2:$B$28,2,FALSE)</f>
        <v/>
      </c>
    </row>
    <row r="2730">
      <c r="A2730" t="inlineStr">
        <is>
          <t>76d8b3b6bdf825ebc88bd1b2aa81f65c</t>
        </is>
      </c>
      <c r="B2730" t="inlineStr">
        <is>
          <t>2018-02-05</t>
        </is>
      </c>
      <c r="C2730" t="inlineStr">
        <is>
          <t>2018-02</t>
        </is>
      </c>
      <c r="D2730" t="inlineStr">
        <is>
          <t>SP</t>
        </is>
      </c>
      <c r="E2730" t="inlineStr">
        <is>
          <t>sports_leisure</t>
        </is>
      </c>
      <c r="F2730" t="n">
        <v>1</v>
      </c>
      <c r="G2730" t="n">
        <v>194</v>
      </c>
      <c r="H2730" t="n">
        <v>16.99</v>
      </c>
      <c r="I2730" t="inlineStr">
        <is>
          <t>credit_card</t>
        </is>
      </c>
      <c r="J2730" t="n">
        <v>8</v>
      </c>
      <c r="K2730" t="inlineStr">
        <is>
          <t>On Time</t>
        </is>
      </c>
      <c r="L2730" t="n">
        <v>5</v>
      </c>
      <c r="M2730">
        <f>VLOOKUP(D2730,State_Lookup!$A$2:$B$28,2,FALSE)</f>
        <v/>
      </c>
    </row>
    <row r="2731">
      <c r="A2731" t="inlineStr">
        <is>
          <t>fdd8197e350ed073eeb591a6dc3e74c8</t>
        </is>
      </c>
      <c r="B2731" t="inlineStr">
        <is>
          <t>2018-02-05</t>
        </is>
      </c>
      <c r="C2731" t="inlineStr">
        <is>
          <t>2018-02</t>
        </is>
      </c>
      <c r="D2731" t="inlineStr">
        <is>
          <t>SP</t>
        </is>
      </c>
      <c r="E2731" t="inlineStr">
        <is>
          <t>watches_gifts</t>
        </is>
      </c>
      <c r="F2731" t="n">
        <v>1</v>
      </c>
      <c r="G2731" t="n">
        <v>148</v>
      </c>
      <c r="H2731" t="n">
        <v>12.54</v>
      </c>
      <c r="I2731" t="inlineStr">
        <is>
          <t>credit_card</t>
        </is>
      </c>
      <c r="J2731" t="n">
        <v>11</v>
      </c>
      <c r="K2731" t="inlineStr">
        <is>
          <t>On Time</t>
        </is>
      </c>
      <c r="L2731" t="n">
        <v>5</v>
      </c>
      <c r="M2731">
        <f>VLOOKUP(D2731,State_Lookup!$A$2:$B$28,2,FALSE)</f>
        <v/>
      </c>
    </row>
    <row r="2732">
      <c r="A2732" t="inlineStr">
        <is>
          <t>0822275bffed889280029c0c32b003e6</t>
        </is>
      </c>
      <c r="B2732" t="inlineStr">
        <is>
          <t>2018-02-05</t>
        </is>
      </c>
      <c r="C2732" t="inlineStr">
        <is>
          <t>2018-02</t>
        </is>
      </c>
      <c r="D2732" t="inlineStr">
        <is>
          <t>RJ</t>
        </is>
      </c>
      <c r="E2732" t="inlineStr">
        <is>
          <t>electronics</t>
        </is>
      </c>
      <c r="F2732" t="n">
        <v>1</v>
      </c>
      <c r="G2732" t="n">
        <v>21.9</v>
      </c>
      <c r="H2732" t="n">
        <v>14.1</v>
      </c>
      <c r="I2732" t="inlineStr">
        <is>
          <t>credit_card</t>
        </is>
      </c>
      <c r="J2732" t="n">
        <v>59</v>
      </c>
      <c r="K2732" t="inlineStr">
        <is>
          <t>Late</t>
        </is>
      </c>
      <c r="L2732" t="n">
        <v>1</v>
      </c>
      <c r="M2732">
        <f>VLOOKUP(D2732,State_Lookup!$A$2:$B$28,2,FALSE)</f>
        <v/>
      </c>
    </row>
    <row r="2733">
      <c r="A2733" t="inlineStr">
        <is>
          <t>dc4e9e7d17fec4c4ded41724619a1b10</t>
        </is>
      </c>
      <c r="B2733" t="inlineStr">
        <is>
          <t>2018-02-05</t>
        </is>
      </c>
      <c r="C2733" t="inlineStr">
        <is>
          <t>2018-02</t>
        </is>
      </c>
      <c r="D2733" t="inlineStr">
        <is>
          <t>SP</t>
        </is>
      </c>
      <c r="E2733" t="inlineStr">
        <is>
          <t>sports_leisure</t>
        </is>
      </c>
      <c r="F2733" t="n">
        <v>1</v>
      </c>
      <c r="G2733" t="n">
        <v>29.5</v>
      </c>
      <c r="H2733" t="n">
        <v>16.11</v>
      </c>
      <c r="I2733" t="inlineStr">
        <is>
          <t>credit_card</t>
        </is>
      </c>
      <c r="J2733" t="n">
        <v>9</v>
      </c>
      <c r="K2733" t="inlineStr">
        <is>
          <t>On Time</t>
        </is>
      </c>
      <c r="L2733" t="n">
        <v>5</v>
      </c>
      <c r="M2733">
        <f>VLOOKUP(D2733,State_Lookup!$A$2:$B$28,2,FALSE)</f>
        <v/>
      </c>
    </row>
    <row r="2734">
      <c r="A2734" t="inlineStr">
        <is>
          <t>7af48c3262020f1e61fed763bbe80920</t>
        </is>
      </c>
      <c r="B2734" t="inlineStr">
        <is>
          <t>2018-02-05</t>
        </is>
      </c>
      <c r="C2734" t="inlineStr">
        <is>
          <t>2018-02</t>
        </is>
      </c>
      <c r="D2734" t="inlineStr">
        <is>
          <t>RS</t>
        </is>
      </c>
      <c r="E2734" t="inlineStr">
        <is>
          <t>computers_accessories</t>
        </is>
      </c>
      <c r="F2734" t="n">
        <v>2</v>
      </c>
      <c r="G2734" t="n">
        <v>360</v>
      </c>
      <c r="H2734" t="n">
        <v>32.02</v>
      </c>
      <c r="I2734" t="inlineStr">
        <is>
          <t>credit_card</t>
        </is>
      </c>
      <c r="J2734" t="n">
        <v>32</v>
      </c>
      <c r="K2734" t="inlineStr">
        <is>
          <t>On Time</t>
        </is>
      </c>
      <c r="L2734" t="n">
        <v>5</v>
      </c>
      <c r="M2734">
        <f>VLOOKUP(D2734,State_Lookup!$A$2:$B$28,2,FALSE)</f>
        <v/>
      </c>
    </row>
    <row r="2735">
      <c r="A2735" t="inlineStr">
        <is>
          <t>76b4763b4e176f7859739182dcf5ff2f</t>
        </is>
      </c>
      <c r="B2735" t="inlineStr">
        <is>
          <t>2018-02-05</t>
        </is>
      </c>
      <c r="C2735" t="inlineStr">
        <is>
          <t>2018-02</t>
        </is>
      </c>
      <c r="D2735" t="inlineStr">
        <is>
          <t>SP</t>
        </is>
      </c>
      <c r="E2735" t="inlineStr">
        <is>
          <t>bed_bath_table</t>
        </is>
      </c>
      <c r="F2735" t="n">
        <v>1</v>
      </c>
      <c r="G2735" t="n">
        <v>34.99</v>
      </c>
      <c r="H2735" t="n">
        <v>11.85</v>
      </c>
      <c r="I2735" t="inlineStr">
        <is>
          <t>credit_card</t>
        </is>
      </c>
      <c r="J2735" t="n">
        <v>10</v>
      </c>
      <c r="K2735" t="inlineStr">
        <is>
          <t>On Time</t>
        </is>
      </c>
      <c r="L2735" t="n">
        <v>4</v>
      </c>
      <c r="M2735">
        <f>VLOOKUP(D2735,State_Lookup!$A$2:$B$28,2,FALSE)</f>
        <v/>
      </c>
    </row>
    <row r="2736">
      <c r="A2736" t="inlineStr">
        <is>
          <t>ba57eec47403f7ec083e0283b0dbf50c</t>
        </is>
      </c>
      <c r="B2736" t="inlineStr">
        <is>
          <t>2018-02-06</t>
        </is>
      </c>
      <c r="C2736" t="inlineStr">
        <is>
          <t>2018-02</t>
        </is>
      </c>
      <c r="D2736" t="inlineStr">
        <is>
          <t>MT</t>
        </is>
      </c>
      <c r="E2736" t="inlineStr">
        <is>
          <t>computers_accessories</t>
        </is>
      </c>
      <c r="F2736" t="n">
        <v>1</v>
      </c>
      <c r="G2736" t="n">
        <v>11.9</v>
      </c>
      <c r="H2736" t="n">
        <v>16.79</v>
      </c>
      <c r="I2736" t="inlineStr">
        <is>
          <t>boleto</t>
        </is>
      </c>
      <c r="J2736" t="n">
        <v>17</v>
      </c>
      <c r="K2736" t="inlineStr">
        <is>
          <t>On Time</t>
        </is>
      </c>
      <c r="L2736" t="n">
        <v>4</v>
      </c>
      <c r="M2736">
        <f>VLOOKUP(D2736,State_Lookup!$A$2:$B$28,2,FALSE)</f>
        <v/>
      </c>
    </row>
    <row r="2737">
      <c r="A2737" t="inlineStr">
        <is>
          <t>55bd4049f3befad7afcead7894b3a0e1</t>
        </is>
      </c>
      <c r="B2737" t="inlineStr">
        <is>
          <t>2018-02-06</t>
        </is>
      </c>
      <c r="C2737" t="inlineStr">
        <is>
          <t>2018-02</t>
        </is>
      </c>
      <c r="D2737" t="inlineStr">
        <is>
          <t>MG</t>
        </is>
      </c>
      <c r="E2737" t="inlineStr">
        <is>
          <t>health_beauty</t>
        </is>
      </c>
      <c r="F2737" t="n">
        <v>1</v>
      </c>
      <c r="G2737" t="n">
        <v>49.9</v>
      </c>
      <c r="H2737" t="n">
        <v>15.1</v>
      </c>
      <c r="I2737" t="inlineStr">
        <is>
          <t>credit_card</t>
        </is>
      </c>
      <c r="J2737" t="n">
        <v>8</v>
      </c>
      <c r="K2737" t="inlineStr">
        <is>
          <t>On Time</t>
        </is>
      </c>
      <c r="L2737" t="n">
        <v>5</v>
      </c>
      <c r="M2737">
        <f>VLOOKUP(D2737,State_Lookup!$A$2:$B$28,2,FALSE)</f>
        <v/>
      </c>
    </row>
    <row r="2738">
      <c r="A2738" t="inlineStr">
        <is>
          <t>ad075cd488e1c655afdbd461e1946cda</t>
        </is>
      </c>
      <c r="B2738" t="inlineStr">
        <is>
          <t>2018-02-06</t>
        </is>
      </c>
      <c r="C2738" t="inlineStr">
        <is>
          <t>2018-02</t>
        </is>
      </c>
      <c r="D2738" t="inlineStr">
        <is>
          <t>MG</t>
        </is>
      </c>
      <c r="E2738" t="inlineStr">
        <is>
          <t>fashion_bags_accessories</t>
        </is>
      </c>
      <c r="F2738" t="n">
        <v>1</v>
      </c>
      <c r="G2738" t="n">
        <v>49.99</v>
      </c>
      <c r="H2738" t="n">
        <v>15.1</v>
      </c>
      <c r="I2738" t="inlineStr">
        <is>
          <t>credit_card</t>
        </is>
      </c>
      <c r="J2738" t="n">
        <v>13</v>
      </c>
      <c r="K2738" t="inlineStr">
        <is>
          <t>On Time</t>
        </is>
      </c>
      <c r="L2738" t="n">
        <v>5</v>
      </c>
      <c r="M2738">
        <f>VLOOKUP(D2738,State_Lookup!$A$2:$B$28,2,FALSE)</f>
        <v/>
      </c>
    </row>
    <row r="2739">
      <c r="A2739" t="inlineStr">
        <is>
          <t>c7077af9c2e19b516a79690cab23a96d</t>
        </is>
      </c>
      <c r="B2739" t="inlineStr">
        <is>
          <t>2018-02-06</t>
        </is>
      </c>
      <c r="C2739" t="inlineStr">
        <is>
          <t>2018-02</t>
        </is>
      </c>
      <c r="D2739" t="inlineStr">
        <is>
          <t>SP</t>
        </is>
      </c>
      <c r="E2739" t="inlineStr">
        <is>
          <t>auto</t>
        </is>
      </c>
      <c r="F2739" t="n">
        <v>1</v>
      </c>
      <c r="G2739" t="n">
        <v>139</v>
      </c>
      <c r="H2739" t="n">
        <v>15.73</v>
      </c>
      <c r="I2739" t="inlineStr">
        <is>
          <t>credit_card</t>
        </is>
      </c>
      <c r="J2739" t="n">
        <v>8</v>
      </c>
      <c r="K2739" t="inlineStr">
        <is>
          <t>On Time</t>
        </is>
      </c>
      <c r="L2739" t="n">
        <v>5</v>
      </c>
      <c r="M2739">
        <f>VLOOKUP(D2739,State_Lookup!$A$2:$B$28,2,FALSE)</f>
        <v/>
      </c>
    </row>
    <row r="2740">
      <c r="A2740" t="inlineStr">
        <is>
          <t>c3789b2ed8f91ea1e56451bc6387454e</t>
        </is>
      </c>
      <c r="B2740" t="inlineStr">
        <is>
          <t>2018-02-06</t>
        </is>
      </c>
      <c r="C2740" t="inlineStr">
        <is>
          <t>2018-02</t>
        </is>
      </c>
      <c r="D2740" t="inlineStr">
        <is>
          <t>RJ</t>
        </is>
      </c>
      <c r="E2740" t="inlineStr">
        <is>
          <t>office_furniture</t>
        </is>
      </c>
      <c r="F2740" t="n">
        <v>1</v>
      </c>
      <c r="G2740" t="n">
        <v>139.99</v>
      </c>
      <c r="H2740" t="n">
        <v>28.34</v>
      </c>
      <c r="I2740" t="inlineStr">
        <is>
          <t>credit_card</t>
        </is>
      </c>
      <c r="J2740" t="n">
        <v>41</v>
      </c>
      <c r="K2740" t="inlineStr">
        <is>
          <t>On Time</t>
        </is>
      </c>
      <c r="L2740" t="n">
        <v>3</v>
      </c>
      <c r="M2740">
        <f>VLOOKUP(D2740,State_Lookup!$A$2:$B$28,2,FALSE)</f>
        <v/>
      </c>
    </row>
    <row r="2741">
      <c r="A2741" t="inlineStr">
        <is>
          <t>c6f24de5c976bfafc4a340b805c70fe7</t>
        </is>
      </c>
      <c r="B2741" t="inlineStr">
        <is>
          <t>2018-02-06</t>
        </is>
      </c>
      <c r="C2741" t="inlineStr">
        <is>
          <t>2018-02</t>
        </is>
      </c>
      <c r="D2741" t="inlineStr">
        <is>
          <t>RJ</t>
        </is>
      </c>
      <c r="E2741" t="inlineStr">
        <is>
          <t>computers_accessories</t>
        </is>
      </c>
      <c r="F2741" t="n">
        <v>1</v>
      </c>
      <c r="G2741" t="n">
        <v>144.41</v>
      </c>
      <c r="H2741" t="n">
        <v>17.45</v>
      </c>
      <c r="I2741" t="inlineStr">
        <is>
          <t>credit_card</t>
        </is>
      </c>
      <c r="J2741" t="n">
        <v>25</v>
      </c>
      <c r="K2741" t="inlineStr">
        <is>
          <t>On Time</t>
        </is>
      </c>
      <c r="L2741" t="n">
        <v>4</v>
      </c>
      <c r="M2741">
        <f>VLOOKUP(D2741,State_Lookup!$A$2:$B$28,2,FALSE)</f>
        <v/>
      </c>
    </row>
    <row r="2742">
      <c r="A2742" t="inlineStr">
        <is>
          <t>807e1137296f0952dc5038aadf9d1f76</t>
        </is>
      </c>
      <c r="B2742" t="inlineStr">
        <is>
          <t>2018-02-06</t>
        </is>
      </c>
      <c r="C2742" t="inlineStr">
        <is>
          <t>2018-02</t>
        </is>
      </c>
      <c r="D2742" t="inlineStr">
        <is>
          <t>MG</t>
        </is>
      </c>
      <c r="E2742" t="inlineStr">
        <is>
          <t>perfumery</t>
        </is>
      </c>
      <c r="F2742" t="n">
        <v>1</v>
      </c>
      <c r="G2742" t="n">
        <v>53.99</v>
      </c>
      <c r="H2742" t="n">
        <v>15.13</v>
      </c>
      <c r="I2742" t="inlineStr">
        <is>
          <t>boleto</t>
        </is>
      </c>
      <c r="J2742" t="n">
        <v>22</v>
      </c>
      <c r="K2742" t="inlineStr">
        <is>
          <t>On Time</t>
        </is>
      </c>
      <c r="L2742" t="n">
        <v>2</v>
      </c>
      <c r="M2742">
        <f>VLOOKUP(D2742,State_Lookup!$A$2:$B$28,2,FALSE)</f>
        <v/>
      </c>
    </row>
    <row r="2743">
      <c r="A2743" t="inlineStr">
        <is>
          <t>6ded0b6cf54a34efba0b47373230a63b</t>
        </is>
      </c>
      <c r="B2743" t="inlineStr">
        <is>
          <t>2018-02-06</t>
        </is>
      </c>
      <c r="C2743" t="inlineStr">
        <is>
          <t>2018-02</t>
        </is>
      </c>
      <c r="D2743" t="inlineStr">
        <is>
          <t>MG</t>
        </is>
      </c>
      <c r="E2743" t="inlineStr">
        <is>
          <t>telephony</t>
        </is>
      </c>
      <c r="F2743" t="n">
        <v>1</v>
      </c>
      <c r="G2743" t="n">
        <v>34.99</v>
      </c>
      <c r="H2743" t="n">
        <v>15.1</v>
      </c>
      <c r="I2743" t="inlineStr">
        <is>
          <t>credit_card</t>
        </is>
      </c>
      <c r="J2743" t="n">
        <v>10</v>
      </c>
      <c r="K2743" t="inlineStr">
        <is>
          <t>On Time</t>
        </is>
      </c>
      <c r="L2743" t="n">
        <v>5</v>
      </c>
      <c r="M2743">
        <f>VLOOKUP(D2743,State_Lookup!$A$2:$B$28,2,FALSE)</f>
        <v/>
      </c>
    </row>
    <row r="2744">
      <c r="A2744" t="inlineStr">
        <is>
          <t>0f77d110146ab4471e3492fa504f6377</t>
        </is>
      </c>
      <c r="B2744" t="inlineStr">
        <is>
          <t>2018-02-06</t>
        </is>
      </c>
      <c r="C2744" t="inlineStr">
        <is>
          <t>2018-02</t>
        </is>
      </c>
      <c r="D2744" t="inlineStr">
        <is>
          <t>MG</t>
        </is>
      </c>
      <c r="E2744" t="inlineStr">
        <is>
          <t>bed_bath_table</t>
        </is>
      </c>
      <c r="F2744" t="n">
        <v>1</v>
      </c>
      <c r="G2744" t="n">
        <v>75.5</v>
      </c>
      <c r="H2744" t="n">
        <v>17.78</v>
      </c>
      <c r="I2744" t="inlineStr">
        <is>
          <t>credit_card</t>
        </is>
      </c>
      <c r="J2744" t="n">
        <v>12</v>
      </c>
      <c r="K2744" t="inlineStr">
        <is>
          <t>On Time</t>
        </is>
      </c>
      <c r="L2744" t="n">
        <v>4</v>
      </c>
      <c r="M2744">
        <f>VLOOKUP(D2744,State_Lookup!$A$2:$B$28,2,FALSE)</f>
        <v/>
      </c>
    </row>
    <row r="2745">
      <c r="A2745" t="inlineStr">
        <is>
          <t>ba8a2682e4b170d1b0f4f3507c2dddc5</t>
        </is>
      </c>
      <c r="B2745" t="inlineStr">
        <is>
          <t>2018-02-06</t>
        </is>
      </c>
      <c r="C2745" t="inlineStr">
        <is>
          <t>2018-02</t>
        </is>
      </c>
      <c r="D2745" t="inlineStr">
        <is>
          <t>SP</t>
        </is>
      </c>
      <c r="E2745" t="inlineStr">
        <is>
          <t>fixed_telephony</t>
        </is>
      </c>
      <c r="F2745" t="n">
        <v>1</v>
      </c>
      <c r="G2745" t="n">
        <v>49</v>
      </c>
      <c r="H2745" t="n">
        <v>9.34</v>
      </c>
      <c r="I2745" t="inlineStr">
        <is>
          <t>credit_card</t>
        </is>
      </c>
      <c r="J2745" t="n">
        <v>8</v>
      </c>
      <c r="K2745" t="inlineStr">
        <is>
          <t>On Time</t>
        </is>
      </c>
      <c r="L2745" t="n">
        <v>5</v>
      </c>
      <c r="M2745">
        <f>VLOOKUP(D2745,State_Lookup!$A$2:$B$28,2,FALSE)</f>
        <v/>
      </c>
    </row>
    <row r="2746">
      <c r="A2746" t="inlineStr">
        <is>
          <t>1e76a4cb16c7849cd980f748e3d8dbed</t>
        </is>
      </c>
      <c r="B2746" t="inlineStr">
        <is>
          <t>2018-02-06</t>
        </is>
      </c>
      <c r="C2746" t="inlineStr">
        <is>
          <t>2018-02</t>
        </is>
      </c>
      <c r="D2746" t="inlineStr">
        <is>
          <t>SP</t>
        </is>
      </c>
      <c r="E2746" t="inlineStr">
        <is>
          <t>auto</t>
        </is>
      </c>
      <c r="F2746" t="n">
        <v>1</v>
      </c>
      <c r="G2746" t="n">
        <v>54.9</v>
      </c>
      <c r="H2746" t="n">
        <v>17.09</v>
      </c>
      <c r="I2746" t="inlineStr">
        <is>
          <t>credit_card</t>
        </is>
      </c>
      <c r="J2746" t="n">
        <v>13</v>
      </c>
      <c r="K2746" t="inlineStr">
        <is>
          <t>On Time</t>
        </is>
      </c>
      <c r="L2746" t="n">
        <v>5</v>
      </c>
      <c r="M2746">
        <f>VLOOKUP(D2746,State_Lookup!$A$2:$B$28,2,FALSE)</f>
        <v/>
      </c>
    </row>
    <row r="2747">
      <c r="A2747" t="inlineStr">
        <is>
          <t>fa0609cc7f74568f4f0b2fe9b286e76c</t>
        </is>
      </c>
      <c r="B2747" t="inlineStr">
        <is>
          <t>2018-02-06</t>
        </is>
      </c>
      <c r="C2747" t="inlineStr">
        <is>
          <t>2018-02</t>
        </is>
      </c>
      <c r="D2747" t="inlineStr">
        <is>
          <t>SP</t>
        </is>
      </c>
      <c r="E2747" t="inlineStr">
        <is>
          <t>cool_stuff</t>
        </is>
      </c>
      <c r="F2747" t="n">
        <v>1</v>
      </c>
      <c r="G2747" t="n">
        <v>144.41</v>
      </c>
      <c r="H2747" t="n">
        <v>13.14</v>
      </c>
      <c r="I2747" t="inlineStr">
        <is>
          <t>credit_card</t>
        </is>
      </c>
      <c r="J2747" t="n">
        <v>9</v>
      </c>
      <c r="K2747" t="inlineStr">
        <is>
          <t>On Time</t>
        </is>
      </c>
      <c r="L2747" t="n">
        <v>1</v>
      </c>
      <c r="M2747">
        <f>VLOOKUP(D2747,State_Lookup!$A$2:$B$28,2,FALSE)</f>
        <v/>
      </c>
    </row>
    <row r="2748">
      <c r="A2748" t="inlineStr">
        <is>
          <t>11752bcab98894b1c72fac988ed11392</t>
        </is>
      </c>
      <c r="B2748" t="inlineStr">
        <is>
          <t>2018-02-06</t>
        </is>
      </c>
      <c r="C2748" t="inlineStr">
        <is>
          <t>2018-02</t>
        </is>
      </c>
      <c r="D2748" t="inlineStr">
        <is>
          <t>RJ</t>
        </is>
      </c>
      <c r="E2748" t="inlineStr">
        <is>
          <t>garden_tools</t>
        </is>
      </c>
      <c r="F2748" t="n">
        <v>1</v>
      </c>
      <c r="G2748" t="n">
        <v>49.9</v>
      </c>
      <c r="H2748" t="n">
        <v>17.6</v>
      </c>
      <c r="I2748" t="inlineStr">
        <is>
          <t>debit_card</t>
        </is>
      </c>
      <c r="J2748" t="n">
        <v>31</v>
      </c>
      <c r="K2748" t="inlineStr">
        <is>
          <t>Late</t>
        </is>
      </c>
      <c r="L2748" t="n">
        <v>1</v>
      </c>
      <c r="M2748">
        <f>VLOOKUP(D2748,State_Lookup!$A$2:$B$28,2,FALSE)</f>
        <v/>
      </c>
    </row>
    <row r="2749">
      <c r="A2749" t="inlineStr">
        <is>
          <t>76947ee86f94611940effa93c62ccdc0</t>
        </is>
      </c>
      <c r="B2749" t="inlineStr">
        <is>
          <t>2018-02-06</t>
        </is>
      </c>
      <c r="C2749" t="inlineStr">
        <is>
          <t>2018-02</t>
        </is>
      </c>
      <c r="D2749" t="inlineStr">
        <is>
          <t>SP</t>
        </is>
      </c>
      <c r="E2749" t="inlineStr">
        <is>
          <t>telephony</t>
        </is>
      </c>
      <c r="F2749" t="n">
        <v>1</v>
      </c>
      <c r="G2749" t="n">
        <v>201.6</v>
      </c>
      <c r="H2749" t="n">
        <v>8.67</v>
      </c>
      <c r="I2749" t="inlineStr">
        <is>
          <t>credit_card</t>
        </is>
      </c>
      <c r="J2749" t="n">
        <v>9</v>
      </c>
      <c r="K2749" t="inlineStr">
        <is>
          <t>On Time</t>
        </is>
      </c>
      <c r="L2749" t="n">
        <v>1</v>
      </c>
      <c r="M2749">
        <f>VLOOKUP(D2749,State_Lookup!$A$2:$B$28,2,FALSE)</f>
        <v/>
      </c>
    </row>
    <row r="2750">
      <c r="A2750" t="inlineStr">
        <is>
          <t>726578ea1b027b33080a7a807e97941a</t>
        </is>
      </c>
      <c r="B2750" t="inlineStr">
        <is>
          <t>2018-02-06</t>
        </is>
      </c>
      <c r="C2750" t="inlineStr">
        <is>
          <t>2018-02</t>
        </is>
      </c>
      <c r="D2750" t="inlineStr">
        <is>
          <t>PR</t>
        </is>
      </c>
      <c r="E2750" t="inlineStr">
        <is>
          <t>sports_leisure</t>
        </is>
      </c>
      <c r="F2750" t="n">
        <v>1</v>
      </c>
      <c r="G2750" t="n">
        <v>99</v>
      </c>
      <c r="H2750" t="n">
        <v>15.44</v>
      </c>
      <c r="I2750" t="inlineStr">
        <is>
          <t>credit_card</t>
        </is>
      </c>
      <c r="J2750" t="n">
        <v>9</v>
      </c>
      <c r="K2750" t="inlineStr">
        <is>
          <t>On Time</t>
        </is>
      </c>
      <c r="L2750" t="n">
        <v>5</v>
      </c>
      <c r="M2750">
        <f>VLOOKUP(D2750,State_Lookup!$A$2:$B$28,2,FALSE)</f>
        <v/>
      </c>
    </row>
    <row r="2751">
      <c r="A2751" t="inlineStr">
        <is>
          <t>2c0032906c603dcc21cd954828fa77d0</t>
        </is>
      </c>
      <c r="B2751" t="inlineStr">
        <is>
          <t>2018-02-06</t>
        </is>
      </c>
      <c r="C2751" t="inlineStr">
        <is>
          <t>2018-02</t>
        </is>
      </c>
      <c r="D2751" t="inlineStr">
        <is>
          <t>TO</t>
        </is>
      </c>
      <c r="E2751" t="inlineStr">
        <is>
          <t>computers_accessories</t>
        </is>
      </c>
      <c r="F2751" t="n">
        <v>1</v>
      </c>
      <c r="G2751" t="n">
        <v>213.75</v>
      </c>
      <c r="H2751" t="n">
        <v>36.82</v>
      </c>
      <c r="I2751" t="inlineStr">
        <is>
          <t>credit_card</t>
        </is>
      </c>
      <c r="J2751" t="inlineStr"/>
      <c r="K2751" t="inlineStr">
        <is>
          <t>Not Delivered</t>
        </is>
      </c>
      <c r="L2751" t="n">
        <v>1</v>
      </c>
      <c r="M2751">
        <f>VLOOKUP(D2751,State_Lookup!$A$2:$B$28,2,FALSE)</f>
        <v/>
      </c>
    </row>
    <row r="2752">
      <c r="A2752" t="inlineStr">
        <is>
          <t>c4cf72ea58abebc4b3fa344363bb750a</t>
        </is>
      </c>
      <c r="B2752" t="inlineStr">
        <is>
          <t>2018-02-07</t>
        </is>
      </c>
      <c r="C2752" t="inlineStr">
        <is>
          <t>2018-02</t>
        </is>
      </c>
      <c r="D2752" t="inlineStr">
        <is>
          <t>SP</t>
        </is>
      </c>
      <c r="E2752" t="inlineStr">
        <is>
          <t>sports_leisure</t>
        </is>
      </c>
      <c r="F2752" t="n">
        <v>1</v>
      </c>
      <c r="G2752" t="n">
        <v>72.90000000000001</v>
      </c>
      <c r="H2752" t="n">
        <v>16.27</v>
      </c>
      <c r="I2752" t="inlineStr">
        <is>
          <t>credit_card</t>
        </is>
      </c>
      <c r="J2752" t="n">
        <v>14</v>
      </c>
      <c r="K2752" t="inlineStr">
        <is>
          <t>On Time</t>
        </is>
      </c>
      <c r="L2752" t="n">
        <v>4</v>
      </c>
      <c r="M2752">
        <f>VLOOKUP(D2752,State_Lookup!$A$2:$B$28,2,FALSE)</f>
        <v/>
      </c>
    </row>
    <row r="2753">
      <c r="A2753" t="inlineStr">
        <is>
          <t>c32cd20b02f7a00f57fc945e5ff41a6f</t>
        </is>
      </c>
      <c r="B2753" t="inlineStr">
        <is>
          <t>2018-02-07</t>
        </is>
      </c>
      <c r="C2753" t="inlineStr">
        <is>
          <t>2018-02</t>
        </is>
      </c>
      <c r="D2753" t="inlineStr">
        <is>
          <t>SP</t>
        </is>
      </c>
      <c r="E2753" t="inlineStr">
        <is>
          <t>telephony</t>
        </is>
      </c>
      <c r="F2753" t="n">
        <v>1</v>
      </c>
      <c r="G2753" t="n">
        <v>19.99</v>
      </c>
      <c r="H2753" t="n">
        <v>7.78</v>
      </c>
      <c r="I2753" t="inlineStr">
        <is>
          <t>credit_card</t>
        </is>
      </c>
      <c r="J2753" t="n">
        <v>7</v>
      </c>
      <c r="K2753" t="inlineStr">
        <is>
          <t>On Time</t>
        </is>
      </c>
      <c r="L2753" t="n">
        <v>4</v>
      </c>
      <c r="M2753">
        <f>VLOOKUP(D2753,State_Lookup!$A$2:$B$28,2,FALSE)</f>
        <v/>
      </c>
    </row>
    <row r="2754">
      <c r="A2754" t="inlineStr">
        <is>
          <t>65f881933f86384f769adf62da94be22</t>
        </is>
      </c>
      <c r="B2754" t="inlineStr">
        <is>
          <t>2018-02-07</t>
        </is>
      </c>
      <c r="C2754" t="inlineStr">
        <is>
          <t>2018-02</t>
        </is>
      </c>
      <c r="D2754" t="inlineStr">
        <is>
          <t>MG</t>
        </is>
      </c>
      <c r="E2754" t="inlineStr">
        <is>
          <t>health_beauty</t>
        </is>
      </c>
      <c r="F2754" t="n">
        <v>1</v>
      </c>
      <c r="G2754" t="n">
        <v>170</v>
      </c>
      <c r="H2754" t="n">
        <v>20.43</v>
      </c>
      <c r="I2754" t="inlineStr">
        <is>
          <t>credit_card</t>
        </is>
      </c>
      <c r="J2754" t="n">
        <v>21</v>
      </c>
      <c r="K2754" t="inlineStr">
        <is>
          <t>On Time</t>
        </is>
      </c>
      <c r="L2754" t="n">
        <v>4</v>
      </c>
      <c r="M2754">
        <f>VLOOKUP(D2754,State_Lookup!$A$2:$B$28,2,FALSE)</f>
        <v/>
      </c>
    </row>
    <row r="2755">
      <c r="A2755" t="inlineStr">
        <is>
          <t>3dfb50022bb703d781966370133ed7a5</t>
        </is>
      </c>
      <c r="B2755" t="inlineStr">
        <is>
          <t>2018-02-07</t>
        </is>
      </c>
      <c r="C2755" t="inlineStr">
        <is>
          <t>2018-02</t>
        </is>
      </c>
      <c r="D2755" t="inlineStr">
        <is>
          <t>PE</t>
        </is>
      </c>
      <c r="E2755" t="inlineStr">
        <is>
          <t>furniture_decor</t>
        </is>
      </c>
      <c r="F2755" t="n">
        <v>2</v>
      </c>
      <c r="G2755" t="n">
        <v>78</v>
      </c>
      <c r="H2755" t="n">
        <v>37.78</v>
      </c>
      <c r="I2755" t="inlineStr">
        <is>
          <t>voucher</t>
        </is>
      </c>
      <c r="J2755" t="n">
        <v>20</v>
      </c>
      <c r="K2755" t="inlineStr">
        <is>
          <t>On Time</t>
        </is>
      </c>
      <c r="L2755" t="inlineStr"/>
      <c r="M2755">
        <f>VLOOKUP(D2755,State_Lookup!$A$2:$B$28,2,FALSE)</f>
        <v/>
      </c>
    </row>
    <row r="2756">
      <c r="A2756" t="inlineStr">
        <is>
          <t>4e71292813192531d46de4a94b8ba881</t>
        </is>
      </c>
      <c r="B2756" t="inlineStr">
        <is>
          <t>2018-02-07</t>
        </is>
      </c>
      <c r="C2756" t="inlineStr">
        <is>
          <t>2018-02</t>
        </is>
      </c>
      <c r="D2756" t="inlineStr">
        <is>
          <t>SP</t>
        </is>
      </c>
      <c r="E2756" t="inlineStr">
        <is>
          <t>sports_leisure</t>
        </is>
      </c>
      <c r="F2756" t="n">
        <v>2</v>
      </c>
      <c r="G2756" t="n">
        <v>69.8</v>
      </c>
      <c r="H2756" t="n">
        <v>15.56</v>
      </c>
      <c r="I2756" t="inlineStr">
        <is>
          <t>credit_card</t>
        </is>
      </c>
      <c r="J2756" t="n">
        <v>7</v>
      </c>
      <c r="K2756" t="inlineStr">
        <is>
          <t>On Time</t>
        </is>
      </c>
      <c r="L2756" t="n">
        <v>4</v>
      </c>
      <c r="M2756">
        <f>VLOOKUP(D2756,State_Lookup!$A$2:$B$28,2,FALSE)</f>
        <v/>
      </c>
    </row>
    <row r="2757">
      <c r="A2757" t="inlineStr">
        <is>
          <t>c9a973cfedbc212cd02b06b4fd11c3cd</t>
        </is>
      </c>
      <c r="B2757" t="inlineStr">
        <is>
          <t>2018-02-07</t>
        </is>
      </c>
      <c r="C2757" t="inlineStr">
        <is>
          <t>2018-02</t>
        </is>
      </c>
      <c r="D2757" t="inlineStr">
        <is>
          <t>MG</t>
        </is>
      </c>
      <c r="E2757" t="inlineStr">
        <is>
          <t>electronics</t>
        </is>
      </c>
      <c r="F2757" t="n">
        <v>1</v>
      </c>
      <c r="G2757" t="n">
        <v>21.9</v>
      </c>
      <c r="H2757" t="n">
        <v>14.1</v>
      </c>
      <c r="I2757" t="inlineStr">
        <is>
          <t>credit_card</t>
        </is>
      </c>
      <c r="J2757" t="n">
        <v>15</v>
      </c>
      <c r="K2757" t="inlineStr">
        <is>
          <t>On Time</t>
        </is>
      </c>
      <c r="L2757" t="n">
        <v>4</v>
      </c>
      <c r="M2757">
        <f>VLOOKUP(D2757,State_Lookup!$A$2:$B$28,2,FALSE)</f>
        <v/>
      </c>
    </row>
    <row r="2758">
      <c r="A2758" t="inlineStr">
        <is>
          <t>fcd173d025d9960fde973eb391a98e0b</t>
        </is>
      </c>
      <c r="B2758" t="inlineStr">
        <is>
          <t>2018-02-07</t>
        </is>
      </c>
      <c r="C2758" t="inlineStr">
        <is>
          <t>2018-02</t>
        </is>
      </c>
      <c r="D2758" t="inlineStr">
        <is>
          <t>PR</t>
        </is>
      </c>
      <c r="E2758" t="inlineStr">
        <is>
          <t>computers_accessories</t>
        </is>
      </c>
      <c r="F2758" t="n">
        <v>1</v>
      </c>
      <c r="G2758" t="n">
        <v>126.12</v>
      </c>
      <c r="H2758" t="n">
        <v>15.63</v>
      </c>
      <c r="I2758" t="inlineStr">
        <is>
          <t>voucher</t>
        </is>
      </c>
      <c r="J2758" t="n">
        <v>14</v>
      </c>
      <c r="K2758" t="inlineStr">
        <is>
          <t>On Time</t>
        </is>
      </c>
      <c r="L2758" t="n">
        <v>5</v>
      </c>
      <c r="M2758">
        <f>VLOOKUP(D2758,State_Lookup!$A$2:$B$28,2,FALSE)</f>
        <v/>
      </c>
    </row>
    <row r="2759">
      <c r="A2759" t="inlineStr">
        <is>
          <t>0758aeea44cefb9c7f59333c7c691714</t>
        </is>
      </c>
      <c r="B2759" t="inlineStr">
        <is>
          <t>2018-02-07</t>
        </is>
      </c>
      <c r="C2759" t="inlineStr">
        <is>
          <t>2018-02</t>
        </is>
      </c>
      <c r="D2759" t="inlineStr">
        <is>
          <t>SP</t>
        </is>
      </c>
      <c r="E2759" t="inlineStr">
        <is>
          <t>office_furniture</t>
        </is>
      </c>
      <c r="F2759" t="n">
        <v>1</v>
      </c>
      <c r="G2759" t="n">
        <v>349.9</v>
      </c>
      <c r="H2759" t="n">
        <v>34.05</v>
      </c>
      <c r="I2759" t="inlineStr">
        <is>
          <t>credit_card</t>
        </is>
      </c>
      <c r="J2759" t="n">
        <v>8</v>
      </c>
      <c r="K2759" t="inlineStr">
        <is>
          <t>On Time</t>
        </is>
      </c>
      <c r="L2759" t="n">
        <v>4</v>
      </c>
      <c r="M2759">
        <f>VLOOKUP(D2759,State_Lookup!$A$2:$B$28,2,FALSE)</f>
        <v/>
      </c>
    </row>
    <row r="2760">
      <c r="A2760" t="inlineStr">
        <is>
          <t>cadea13175cc1434c96265941592ab7b</t>
        </is>
      </c>
      <c r="B2760" t="inlineStr">
        <is>
          <t>2018-02-07</t>
        </is>
      </c>
      <c r="C2760" t="inlineStr">
        <is>
          <t>2018-02</t>
        </is>
      </c>
      <c r="D2760" t="inlineStr">
        <is>
          <t>RJ</t>
        </is>
      </c>
      <c r="E2760" t="inlineStr">
        <is>
          <t>telephony</t>
        </is>
      </c>
      <c r="F2760" t="n">
        <v>2</v>
      </c>
      <c r="G2760" t="n">
        <v>59.98</v>
      </c>
      <c r="H2760" t="n">
        <v>28.2</v>
      </c>
      <c r="I2760" t="inlineStr">
        <is>
          <t>credit_card</t>
        </is>
      </c>
      <c r="J2760" t="n">
        <v>12</v>
      </c>
      <c r="K2760" t="inlineStr">
        <is>
          <t>On Time</t>
        </is>
      </c>
      <c r="L2760" t="n">
        <v>5</v>
      </c>
      <c r="M2760">
        <f>VLOOKUP(D2760,State_Lookup!$A$2:$B$28,2,FALSE)</f>
        <v/>
      </c>
    </row>
    <row r="2761">
      <c r="A2761" t="inlineStr">
        <is>
          <t>3f9cdc88397ce0308a37483fb2f146c1</t>
        </is>
      </c>
      <c r="B2761" t="inlineStr">
        <is>
          <t>2018-02-07</t>
        </is>
      </c>
      <c r="C2761" t="inlineStr">
        <is>
          <t>2018-02</t>
        </is>
      </c>
      <c r="D2761" t="inlineStr">
        <is>
          <t>DF</t>
        </is>
      </c>
      <c r="E2761" t="inlineStr">
        <is>
          <t>computers_accessories</t>
        </is>
      </c>
      <c r="F2761" t="n">
        <v>1</v>
      </c>
      <c r="G2761" t="n">
        <v>85</v>
      </c>
      <c r="H2761" t="n">
        <v>25.87</v>
      </c>
      <c r="I2761" t="inlineStr">
        <is>
          <t>credit_card</t>
        </is>
      </c>
      <c r="J2761" t="n">
        <v>19</v>
      </c>
      <c r="K2761" t="inlineStr">
        <is>
          <t>On Time</t>
        </is>
      </c>
      <c r="L2761" t="n">
        <v>5</v>
      </c>
      <c r="M2761">
        <f>VLOOKUP(D2761,State_Lookup!$A$2:$B$28,2,FALSE)</f>
        <v/>
      </c>
    </row>
    <row r="2762">
      <c r="A2762" t="inlineStr">
        <is>
          <t>8cafeef132aa9cfe9a86b1162012e14b</t>
        </is>
      </c>
      <c r="B2762" t="inlineStr">
        <is>
          <t>2018-02-07</t>
        </is>
      </c>
      <c r="C2762" t="inlineStr">
        <is>
          <t>2018-02</t>
        </is>
      </c>
      <c r="D2762" t="inlineStr">
        <is>
          <t>PE</t>
        </is>
      </c>
      <c r="E2762" t="inlineStr">
        <is>
          <t>cool_stuff</t>
        </is>
      </c>
      <c r="F2762" t="n">
        <v>1</v>
      </c>
      <c r="G2762" t="n">
        <v>60</v>
      </c>
      <c r="H2762" t="n">
        <v>17.7</v>
      </c>
      <c r="I2762" t="inlineStr">
        <is>
          <t>credit_card</t>
        </is>
      </c>
      <c r="J2762" t="n">
        <v>20</v>
      </c>
      <c r="K2762" t="inlineStr">
        <is>
          <t>On Time</t>
        </is>
      </c>
      <c r="L2762" t="n">
        <v>5</v>
      </c>
      <c r="M2762">
        <f>VLOOKUP(D2762,State_Lookup!$A$2:$B$28,2,FALSE)</f>
        <v/>
      </c>
    </row>
    <row r="2763">
      <c r="A2763" t="inlineStr">
        <is>
          <t>ab6c2b531e877fad84a31aa845bc9345</t>
        </is>
      </c>
      <c r="B2763" t="inlineStr">
        <is>
          <t>2018-02-07</t>
        </is>
      </c>
      <c r="C2763" t="inlineStr">
        <is>
          <t>2018-02</t>
        </is>
      </c>
      <c r="D2763" t="inlineStr">
        <is>
          <t>DF</t>
        </is>
      </c>
      <c r="E2763" t="inlineStr">
        <is>
          <t>computers_accessories</t>
        </is>
      </c>
      <c r="F2763" t="n">
        <v>1</v>
      </c>
      <c r="G2763" t="n">
        <v>84.89</v>
      </c>
      <c r="H2763" t="n">
        <v>15.34</v>
      </c>
      <c r="I2763" t="inlineStr">
        <is>
          <t>credit_card</t>
        </is>
      </c>
      <c r="J2763" t="n">
        <v>32</v>
      </c>
      <c r="K2763" t="inlineStr">
        <is>
          <t>Late</t>
        </is>
      </c>
      <c r="L2763" t="n">
        <v>4</v>
      </c>
      <c r="M2763">
        <f>VLOOKUP(D2763,State_Lookup!$A$2:$B$28,2,FALSE)</f>
        <v/>
      </c>
    </row>
    <row r="2764">
      <c r="A2764" t="inlineStr">
        <is>
          <t>8d2a68ca0ac61329c56e0b74695b04b4</t>
        </is>
      </c>
      <c r="B2764" t="inlineStr">
        <is>
          <t>2018-02-07</t>
        </is>
      </c>
      <c r="C2764" t="inlineStr">
        <is>
          <t>2018-02</t>
        </is>
      </c>
      <c r="D2764" t="inlineStr">
        <is>
          <t>SP</t>
        </is>
      </c>
      <c r="E2764" t="inlineStr">
        <is>
          <t>furniture_decor</t>
        </is>
      </c>
      <c r="F2764" t="n">
        <v>1</v>
      </c>
      <c r="G2764" t="n">
        <v>49.9</v>
      </c>
      <c r="H2764" t="n">
        <v>16.11</v>
      </c>
      <c r="I2764" t="inlineStr">
        <is>
          <t>credit_card</t>
        </is>
      </c>
      <c r="J2764" t="n">
        <v>7</v>
      </c>
      <c r="K2764" t="inlineStr">
        <is>
          <t>On Time</t>
        </is>
      </c>
      <c r="L2764" t="n">
        <v>3</v>
      </c>
      <c r="M2764">
        <f>VLOOKUP(D2764,State_Lookup!$A$2:$B$28,2,FALSE)</f>
        <v/>
      </c>
    </row>
    <row r="2765">
      <c r="A2765" t="inlineStr">
        <is>
          <t>8f0dcae3e35bc2577f2ee00a4b016029</t>
        </is>
      </c>
      <c r="B2765" t="inlineStr">
        <is>
          <t>2018-02-07</t>
        </is>
      </c>
      <c r="C2765" t="inlineStr">
        <is>
          <t>2018-02</t>
        </is>
      </c>
      <c r="D2765" t="inlineStr">
        <is>
          <t>SP</t>
        </is>
      </c>
      <c r="E2765" t="inlineStr">
        <is>
          <t>bed_bath_table</t>
        </is>
      </c>
      <c r="F2765" t="n">
        <v>1</v>
      </c>
      <c r="G2765" t="n">
        <v>75.5</v>
      </c>
      <c r="H2765" t="n">
        <v>11.73</v>
      </c>
      <c r="I2765" t="inlineStr">
        <is>
          <t>boleto</t>
        </is>
      </c>
      <c r="J2765" t="n">
        <v>3</v>
      </c>
      <c r="K2765" t="inlineStr">
        <is>
          <t>On Time</t>
        </is>
      </c>
      <c r="L2765" t="n">
        <v>5</v>
      </c>
      <c r="M2765">
        <f>VLOOKUP(D2765,State_Lookup!$A$2:$B$28,2,FALSE)</f>
        <v/>
      </c>
    </row>
    <row r="2766">
      <c r="A2766" t="inlineStr">
        <is>
          <t>0ce50541293dbe475fde11c04962e953</t>
        </is>
      </c>
      <c r="B2766" t="inlineStr">
        <is>
          <t>2018-02-07</t>
        </is>
      </c>
      <c r="C2766" t="inlineStr">
        <is>
          <t>2018-02</t>
        </is>
      </c>
      <c r="D2766" t="inlineStr">
        <is>
          <t>RJ</t>
        </is>
      </c>
      <c r="E2766" t="inlineStr">
        <is>
          <t>electronics</t>
        </is>
      </c>
      <c r="F2766" t="n">
        <v>1</v>
      </c>
      <c r="G2766" t="n">
        <v>19.89</v>
      </c>
      <c r="H2766" t="n">
        <v>15.79</v>
      </c>
      <c r="I2766" t="inlineStr">
        <is>
          <t>credit_card</t>
        </is>
      </c>
      <c r="J2766" t="n">
        <v>8</v>
      </c>
      <c r="K2766" t="inlineStr">
        <is>
          <t>On Time</t>
        </is>
      </c>
      <c r="L2766" t="n">
        <v>5</v>
      </c>
      <c r="M2766">
        <f>VLOOKUP(D2766,State_Lookup!$A$2:$B$28,2,FALSE)</f>
        <v/>
      </c>
    </row>
    <row r="2767">
      <c r="A2767" t="inlineStr">
        <is>
          <t>8ef1c4b42bd6dd16b4793c1442342076</t>
        </is>
      </c>
      <c r="B2767" t="inlineStr">
        <is>
          <t>2018-02-07</t>
        </is>
      </c>
      <c r="C2767" t="inlineStr">
        <is>
          <t>2018-02</t>
        </is>
      </c>
      <c r="D2767" t="inlineStr">
        <is>
          <t>PR</t>
        </is>
      </c>
      <c r="E2767" t="inlineStr">
        <is>
          <t>garden_tools</t>
        </is>
      </c>
      <c r="F2767" t="n">
        <v>1</v>
      </c>
      <c r="G2767" t="n">
        <v>99.90000000000001</v>
      </c>
      <c r="H2767" t="n">
        <v>12.4</v>
      </c>
      <c r="I2767" t="inlineStr">
        <is>
          <t>boleto</t>
        </is>
      </c>
      <c r="J2767" t="n">
        <v>12</v>
      </c>
      <c r="K2767" t="inlineStr">
        <is>
          <t>On Time</t>
        </is>
      </c>
      <c r="L2767" t="n">
        <v>5</v>
      </c>
      <c r="M2767">
        <f>VLOOKUP(D2767,State_Lookup!$A$2:$B$28,2,FALSE)</f>
        <v/>
      </c>
    </row>
    <row r="2768">
      <c r="A2768" t="inlineStr">
        <is>
          <t>a79c3cd45ec537f2601568523049fde2</t>
        </is>
      </c>
      <c r="B2768" t="inlineStr">
        <is>
          <t>2018-02-08</t>
        </is>
      </c>
      <c r="C2768" t="inlineStr">
        <is>
          <t>2018-02</t>
        </is>
      </c>
      <c r="D2768" t="inlineStr">
        <is>
          <t>MG</t>
        </is>
      </c>
      <c r="E2768" t="inlineStr">
        <is>
          <t>computers_accessories</t>
        </is>
      </c>
      <c r="F2768" t="n">
        <v>1</v>
      </c>
      <c r="G2768" t="n">
        <v>77</v>
      </c>
      <c r="H2768" t="n">
        <v>16.98</v>
      </c>
      <c r="I2768" t="inlineStr">
        <is>
          <t>credit_card</t>
        </is>
      </c>
      <c r="J2768" t="n">
        <v>10</v>
      </c>
      <c r="K2768" t="inlineStr">
        <is>
          <t>On Time</t>
        </is>
      </c>
      <c r="L2768" t="n">
        <v>5</v>
      </c>
      <c r="M2768">
        <f>VLOOKUP(D2768,State_Lookup!$A$2:$B$28,2,FALSE)</f>
        <v/>
      </c>
    </row>
    <row r="2769">
      <c r="A2769" t="inlineStr">
        <is>
          <t>b269f9c95ab6ee9fbc0a887627851d9d</t>
        </is>
      </c>
      <c r="B2769" t="inlineStr">
        <is>
          <t>2018-02-08</t>
        </is>
      </c>
      <c r="C2769" t="inlineStr">
        <is>
          <t>2018-02</t>
        </is>
      </c>
      <c r="D2769" t="inlineStr">
        <is>
          <t>BA</t>
        </is>
      </c>
      <c r="E2769" t="inlineStr">
        <is>
          <t>computers_accessories</t>
        </is>
      </c>
      <c r="F2769" t="n">
        <v>1</v>
      </c>
      <c r="G2769" t="n">
        <v>39.58</v>
      </c>
      <c r="H2769" t="n">
        <v>16.79</v>
      </c>
      <c r="I2769" t="inlineStr">
        <is>
          <t>credit_card</t>
        </is>
      </c>
      <c r="J2769" t="n">
        <v>12</v>
      </c>
      <c r="K2769" t="inlineStr">
        <is>
          <t>On Time</t>
        </is>
      </c>
      <c r="L2769" t="n">
        <v>5</v>
      </c>
      <c r="M2769">
        <f>VLOOKUP(D2769,State_Lookup!$A$2:$B$28,2,FALSE)</f>
        <v/>
      </c>
    </row>
    <row r="2770">
      <c r="A2770" t="inlineStr">
        <is>
          <t>03eba6d9fef8f5b3e811d4b5a7cca9cd</t>
        </is>
      </c>
      <c r="B2770" t="inlineStr">
        <is>
          <t>2018-02-08</t>
        </is>
      </c>
      <c r="C2770" t="inlineStr">
        <is>
          <t>2018-02</t>
        </is>
      </c>
      <c r="D2770" t="inlineStr">
        <is>
          <t>MG</t>
        </is>
      </c>
      <c r="E2770" t="inlineStr">
        <is>
          <t>bed_bath_table</t>
        </is>
      </c>
      <c r="F2770" t="n">
        <v>1</v>
      </c>
      <c r="G2770" t="n">
        <v>84.98999999999999</v>
      </c>
      <c r="H2770" t="n">
        <v>17.84</v>
      </c>
      <c r="I2770" t="inlineStr">
        <is>
          <t>credit_card</t>
        </is>
      </c>
      <c r="J2770" t="n">
        <v>13</v>
      </c>
      <c r="K2770" t="inlineStr">
        <is>
          <t>On Time</t>
        </is>
      </c>
      <c r="L2770" t="n">
        <v>4.5</v>
      </c>
      <c r="M2770">
        <f>VLOOKUP(D2770,State_Lookup!$A$2:$B$28,2,FALSE)</f>
        <v/>
      </c>
    </row>
    <row r="2771">
      <c r="A2771" t="inlineStr">
        <is>
          <t>444a494f39275142d9c75bd7307cdde1</t>
        </is>
      </c>
      <c r="B2771" t="inlineStr">
        <is>
          <t>2018-02-08</t>
        </is>
      </c>
      <c r="C2771" t="inlineStr">
        <is>
          <t>2018-02</t>
        </is>
      </c>
      <c r="D2771" t="inlineStr">
        <is>
          <t>DF</t>
        </is>
      </c>
      <c r="E2771" t="inlineStr">
        <is>
          <t>garden_tools</t>
        </is>
      </c>
      <c r="F2771" t="n">
        <v>1</v>
      </c>
      <c r="G2771" t="n">
        <v>49.9</v>
      </c>
      <c r="H2771" t="n">
        <v>17.6</v>
      </c>
      <c r="I2771" t="inlineStr">
        <is>
          <t>credit_card</t>
        </is>
      </c>
      <c r="J2771" t="n">
        <v>26</v>
      </c>
      <c r="K2771" t="inlineStr">
        <is>
          <t>Late</t>
        </is>
      </c>
      <c r="L2771" t="n">
        <v>4</v>
      </c>
      <c r="M2771">
        <f>VLOOKUP(D2771,State_Lookup!$A$2:$B$28,2,FALSE)</f>
        <v/>
      </c>
    </row>
    <row r="2772">
      <c r="A2772" t="inlineStr">
        <is>
          <t>44d1b486970419d4e0ed66e154ece21f</t>
        </is>
      </c>
      <c r="B2772" t="inlineStr">
        <is>
          <t>2018-02-08</t>
        </is>
      </c>
      <c r="C2772" t="inlineStr">
        <is>
          <t>2018-02</t>
        </is>
      </c>
      <c r="D2772" t="inlineStr">
        <is>
          <t>PA</t>
        </is>
      </c>
      <c r="E2772" t="inlineStr">
        <is>
          <t>consoles_games</t>
        </is>
      </c>
      <c r="F2772" t="n">
        <v>1</v>
      </c>
      <c r="G2772" t="n">
        <v>689.89</v>
      </c>
      <c r="H2772" t="n">
        <v>48.68</v>
      </c>
      <c r="I2772" t="inlineStr">
        <is>
          <t>debit_card</t>
        </is>
      </c>
      <c r="J2772" t="n">
        <v>27</v>
      </c>
      <c r="K2772" t="inlineStr">
        <is>
          <t>On Time</t>
        </is>
      </c>
      <c r="L2772" t="n">
        <v>4</v>
      </c>
      <c r="M2772">
        <f>VLOOKUP(D2772,State_Lookup!$A$2:$B$28,2,FALSE)</f>
        <v/>
      </c>
    </row>
    <row r="2773">
      <c r="A2773" t="inlineStr">
        <is>
          <t>10c3c7fea20a1ed15c6e55e90b3fb084</t>
        </is>
      </c>
      <c r="B2773" t="inlineStr">
        <is>
          <t>2018-02-08</t>
        </is>
      </c>
      <c r="C2773" t="inlineStr">
        <is>
          <t>2018-02</t>
        </is>
      </c>
      <c r="D2773" t="inlineStr">
        <is>
          <t>SP</t>
        </is>
      </c>
      <c r="E2773" t="inlineStr">
        <is>
          <t>perfumery</t>
        </is>
      </c>
      <c r="F2773" t="n">
        <v>1</v>
      </c>
      <c r="G2773" t="n">
        <v>13.99</v>
      </c>
      <c r="H2773" t="n">
        <v>11.85</v>
      </c>
      <c r="I2773" t="inlineStr">
        <is>
          <t>credit_card</t>
        </is>
      </c>
      <c r="J2773" t="n">
        <v>38</v>
      </c>
      <c r="K2773" t="inlineStr">
        <is>
          <t>Late</t>
        </is>
      </c>
      <c r="L2773" t="n">
        <v>1</v>
      </c>
      <c r="M2773">
        <f>VLOOKUP(D2773,State_Lookup!$A$2:$B$28,2,FALSE)</f>
        <v/>
      </c>
    </row>
    <row r="2774">
      <c r="A2774" t="inlineStr">
        <is>
          <t>f0a3681de8bc46b204500087357b2a89</t>
        </is>
      </c>
      <c r="B2774" t="inlineStr">
        <is>
          <t>2018-02-08</t>
        </is>
      </c>
      <c r="C2774" t="inlineStr">
        <is>
          <t>2018-02</t>
        </is>
      </c>
      <c r="D2774" t="inlineStr">
        <is>
          <t>SP</t>
        </is>
      </c>
      <c r="E2774" t="inlineStr">
        <is>
          <t>stationery</t>
        </is>
      </c>
      <c r="F2774" t="n">
        <v>1</v>
      </c>
      <c r="G2774" t="n">
        <v>59</v>
      </c>
      <c r="H2774" t="n">
        <v>11.91</v>
      </c>
      <c r="I2774" t="inlineStr">
        <is>
          <t>voucher</t>
        </is>
      </c>
      <c r="J2774" t="n">
        <v>8</v>
      </c>
      <c r="K2774" t="inlineStr">
        <is>
          <t>On Time</t>
        </is>
      </c>
      <c r="L2774" t="n">
        <v>3</v>
      </c>
      <c r="M2774">
        <f>VLOOKUP(D2774,State_Lookup!$A$2:$B$28,2,FALSE)</f>
        <v/>
      </c>
    </row>
    <row r="2775">
      <c r="A2775" t="inlineStr">
        <is>
          <t>b438ae3323566a4e25ebef7b8b3e50e4</t>
        </is>
      </c>
      <c r="B2775" t="inlineStr">
        <is>
          <t>2018-02-08</t>
        </is>
      </c>
      <c r="C2775" t="inlineStr">
        <is>
          <t>2018-02</t>
        </is>
      </c>
      <c r="D2775" t="inlineStr">
        <is>
          <t>SP</t>
        </is>
      </c>
      <c r="E2775" t="inlineStr">
        <is>
          <t>furniture_decor</t>
        </is>
      </c>
      <c r="F2775" t="n">
        <v>2</v>
      </c>
      <c r="G2775" t="n">
        <v>119.98</v>
      </c>
      <c r="H2775" t="n">
        <v>23.84</v>
      </c>
      <c r="I2775" t="inlineStr">
        <is>
          <t>boleto</t>
        </is>
      </c>
      <c r="J2775" t="n">
        <v>8</v>
      </c>
      <c r="K2775" t="inlineStr">
        <is>
          <t>On Time</t>
        </is>
      </c>
      <c r="L2775" t="n">
        <v>5</v>
      </c>
      <c r="M2775">
        <f>VLOOKUP(D2775,State_Lookup!$A$2:$B$28,2,FALSE)</f>
        <v/>
      </c>
    </row>
    <row r="2776">
      <c r="A2776" t="inlineStr">
        <is>
          <t>fcaa22948cf53b9b3ff7de0c67b6391c</t>
        </is>
      </c>
      <c r="B2776" t="inlineStr">
        <is>
          <t>2018-02-08</t>
        </is>
      </c>
      <c r="C2776" t="inlineStr">
        <is>
          <t>2018-02</t>
        </is>
      </c>
      <c r="D2776" t="inlineStr">
        <is>
          <t>SP</t>
        </is>
      </c>
      <c r="E2776" t="inlineStr">
        <is>
          <t>small_appliances_home_oven_and_coffee</t>
        </is>
      </c>
      <c r="F2776" t="n">
        <v>1</v>
      </c>
      <c r="G2776" t="n">
        <v>24.9</v>
      </c>
      <c r="H2776" t="n">
        <v>11.85</v>
      </c>
      <c r="I2776" t="inlineStr">
        <is>
          <t>credit_card</t>
        </is>
      </c>
      <c r="J2776" t="n">
        <v>7</v>
      </c>
      <c r="K2776" t="inlineStr">
        <is>
          <t>On Time</t>
        </is>
      </c>
      <c r="L2776" t="n">
        <v>5</v>
      </c>
      <c r="M2776">
        <f>VLOOKUP(D2776,State_Lookup!$A$2:$B$28,2,FALSE)</f>
        <v/>
      </c>
    </row>
    <row r="2777">
      <c r="A2777" t="inlineStr">
        <is>
          <t>78d08dbbd210373254dc4730f3aa25a0</t>
        </is>
      </c>
      <c r="B2777" t="inlineStr">
        <is>
          <t>2018-02-08</t>
        </is>
      </c>
      <c r="C2777" t="inlineStr">
        <is>
          <t>2018-02</t>
        </is>
      </c>
      <c r="D2777" t="inlineStr">
        <is>
          <t>SP</t>
        </is>
      </c>
      <c r="E2777" t="inlineStr">
        <is>
          <t>toys</t>
        </is>
      </c>
      <c r="F2777" t="n">
        <v>1</v>
      </c>
      <c r="G2777" t="n">
        <v>69.90000000000001</v>
      </c>
      <c r="H2777" t="n">
        <v>9.34</v>
      </c>
      <c r="I2777" t="inlineStr">
        <is>
          <t>credit_card</t>
        </is>
      </c>
      <c r="J2777" t="n">
        <v>7</v>
      </c>
      <c r="K2777" t="inlineStr">
        <is>
          <t>On Time</t>
        </is>
      </c>
      <c r="L2777" t="n">
        <v>5</v>
      </c>
      <c r="M2777">
        <f>VLOOKUP(D2777,State_Lookup!$A$2:$B$28,2,FALSE)</f>
        <v/>
      </c>
    </row>
    <row r="2778">
      <c r="A2778" t="inlineStr">
        <is>
          <t>d2f5633625bc4755a073b638481e8dcf</t>
        </is>
      </c>
      <c r="B2778" t="inlineStr">
        <is>
          <t>2018-02-08</t>
        </is>
      </c>
      <c r="C2778" t="inlineStr">
        <is>
          <t>2018-02</t>
        </is>
      </c>
      <c r="D2778" t="inlineStr">
        <is>
          <t>RJ</t>
        </is>
      </c>
      <c r="E2778" t="inlineStr">
        <is>
          <t>electronics</t>
        </is>
      </c>
      <c r="F2778" t="n">
        <v>1</v>
      </c>
      <c r="G2778" t="n">
        <v>15</v>
      </c>
      <c r="H2778" t="n">
        <v>14.1</v>
      </c>
      <c r="I2778" t="inlineStr">
        <is>
          <t>credit_card</t>
        </is>
      </c>
      <c r="J2778" t="n">
        <v>18</v>
      </c>
      <c r="K2778" t="inlineStr">
        <is>
          <t>On Time</t>
        </is>
      </c>
      <c r="L2778" t="n">
        <v>5</v>
      </c>
      <c r="M2778">
        <f>VLOOKUP(D2778,State_Lookup!$A$2:$B$28,2,FALSE)</f>
        <v/>
      </c>
    </row>
    <row r="2779">
      <c r="A2779" t="inlineStr">
        <is>
          <t>fe52554f43fb82f60254abfca92f8c55</t>
        </is>
      </c>
      <c r="B2779" t="inlineStr">
        <is>
          <t>2018-02-08</t>
        </is>
      </c>
      <c r="C2779" t="inlineStr">
        <is>
          <t>2018-02</t>
        </is>
      </c>
      <c r="D2779" t="inlineStr">
        <is>
          <t>MS</t>
        </is>
      </c>
      <c r="E2779" t="inlineStr">
        <is>
          <t>fashion_bags_accessories</t>
        </is>
      </c>
      <c r="F2779" t="n">
        <v>1</v>
      </c>
      <c r="G2779" t="n">
        <v>37.9</v>
      </c>
      <c r="H2779" t="n">
        <v>15.11</v>
      </c>
      <c r="I2779" t="inlineStr">
        <is>
          <t>credit_card</t>
        </is>
      </c>
      <c r="J2779" t="n">
        <v>26</v>
      </c>
      <c r="K2779" t="inlineStr">
        <is>
          <t>On Time</t>
        </is>
      </c>
      <c r="L2779" t="n">
        <v>5</v>
      </c>
      <c r="M2779">
        <f>VLOOKUP(D2779,State_Lookup!$A$2:$B$28,2,FALSE)</f>
        <v/>
      </c>
    </row>
    <row r="2780">
      <c r="A2780" t="inlineStr">
        <is>
          <t>dc65d81323bb8febba04644a959a6fc6</t>
        </is>
      </c>
      <c r="B2780" t="inlineStr">
        <is>
          <t>2018-02-08</t>
        </is>
      </c>
      <c r="C2780" t="inlineStr">
        <is>
          <t>2018-02</t>
        </is>
      </c>
      <c r="D2780" t="inlineStr">
        <is>
          <t>BA</t>
        </is>
      </c>
      <c r="E2780" t="inlineStr">
        <is>
          <t>garden_tools</t>
        </is>
      </c>
      <c r="F2780" t="n">
        <v>1</v>
      </c>
      <c r="G2780" t="n">
        <v>120</v>
      </c>
      <c r="H2780" t="n">
        <v>50.71</v>
      </c>
      <c r="I2780" t="inlineStr">
        <is>
          <t>credit_card</t>
        </is>
      </c>
      <c r="J2780" t="n">
        <v>22</v>
      </c>
      <c r="K2780" t="inlineStr">
        <is>
          <t>On Time</t>
        </is>
      </c>
      <c r="L2780" t="n">
        <v>5</v>
      </c>
      <c r="M2780">
        <f>VLOOKUP(D2780,State_Lookup!$A$2:$B$28,2,FALSE)</f>
        <v/>
      </c>
    </row>
    <row r="2781">
      <c r="A2781" t="inlineStr">
        <is>
          <t>6d6c3ad8291ffb9fd855faa127500137</t>
        </is>
      </c>
      <c r="B2781" t="inlineStr">
        <is>
          <t>2018-02-08</t>
        </is>
      </c>
      <c r="C2781" t="inlineStr">
        <is>
          <t>2018-02</t>
        </is>
      </c>
      <c r="D2781" t="inlineStr">
        <is>
          <t>MT</t>
        </is>
      </c>
      <c r="E2781" t="inlineStr">
        <is>
          <t>auto</t>
        </is>
      </c>
      <c r="F2781" t="n">
        <v>1</v>
      </c>
      <c r="G2781" t="n">
        <v>199.9</v>
      </c>
      <c r="H2781" t="n">
        <v>24.27</v>
      </c>
      <c r="I2781" t="inlineStr">
        <is>
          <t>credit_card</t>
        </is>
      </c>
      <c r="J2781" t="n">
        <v>35</v>
      </c>
      <c r="K2781" t="inlineStr">
        <is>
          <t>On Time</t>
        </is>
      </c>
      <c r="L2781" t="n">
        <v>1</v>
      </c>
      <c r="M2781">
        <f>VLOOKUP(D2781,State_Lookup!$A$2:$B$28,2,FALSE)</f>
        <v/>
      </c>
    </row>
    <row r="2782">
      <c r="A2782" t="inlineStr">
        <is>
          <t>86ed94eb351cf5bd2ec4389a2ca92680</t>
        </is>
      </c>
      <c r="B2782" t="inlineStr">
        <is>
          <t>2018-02-08</t>
        </is>
      </c>
      <c r="C2782" t="inlineStr">
        <is>
          <t>2018-02</t>
        </is>
      </c>
      <c r="D2782" t="inlineStr">
        <is>
          <t>SP</t>
        </is>
      </c>
      <c r="E2782" t="inlineStr">
        <is>
          <t>bed_bath_table</t>
        </is>
      </c>
      <c r="F2782" t="n">
        <v>1</v>
      </c>
      <c r="G2782" t="n">
        <v>54.9</v>
      </c>
      <c r="H2782" t="n">
        <v>13.08</v>
      </c>
      <c r="I2782" t="inlineStr">
        <is>
          <t>voucher</t>
        </is>
      </c>
      <c r="J2782" t="n">
        <v>3</v>
      </c>
      <c r="K2782" t="inlineStr">
        <is>
          <t>On Time</t>
        </is>
      </c>
      <c r="L2782" t="n">
        <v>3</v>
      </c>
      <c r="M2782">
        <f>VLOOKUP(D2782,State_Lookup!$A$2:$B$28,2,FALSE)</f>
        <v/>
      </c>
    </row>
    <row r="2783">
      <c r="A2783" t="inlineStr">
        <is>
          <t>50109a6c720b998320449ebdf2c0798b</t>
        </is>
      </c>
      <c r="B2783" t="inlineStr">
        <is>
          <t>2018-02-08</t>
        </is>
      </c>
      <c r="C2783" t="inlineStr">
        <is>
          <t>2018-02</t>
        </is>
      </c>
      <c r="D2783" t="inlineStr">
        <is>
          <t>MG</t>
        </is>
      </c>
      <c r="E2783" t="inlineStr">
        <is>
          <t>stationery</t>
        </is>
      </c>
      <c r="F2783" t="n">
        <v>1</v>
      </c>
      <c r="G2783" t="n">
        <v>89</v>
      </c>
      <c r="H2783" t="n">
        <v>17.87</v>
      </c>
      <c r="I2783" t="inlineStr">
        <is>
          <t>credit_card</t>
        </is>
      </c>
      <c r="J2783" t="n">
        <v>14</v>
      </c>
      <c r="K2783" t="inlineStr">
        <is>
          <t>On Time</t>
        </is>
      </c>
      <c r="L2783" t="n">
        <v>5</v>
      </c>
      <c r="M2783">
        <f>VLOOKUP(D2783,State_Lookup!$A$2:$B$28,2,FALSE)</f>
        <v/>
      </c>
    </row>
    <row r="2784">
      <c r="A2784" t="inlineStr">
        <is>
          <t>13755e9cd8234edd7750fb497caf403e</t>
        </is>
      </c>
      <c r="B2784" t="inlineStr">
        <is>
          <t>2018-02-09</t>
        </is>
      </c>
      <c r="C2784" t="inlineStr">
        <is>
          <t>2018-02</t>
        </is>
      </c>
      <c r="D2784" t="inlineStr">
        <is>
          <t>SP</t>
        </is>
      </c>
      <c r="E2784" t="inlineStr">
        <is>
          <t>musical_instruments</t>
        </is>
      </c>
      <c r="F2784" t="n">
        <v>1</v>
      </c>
      <c r="G2784" t="n">
        <v>189.9</v>
      </c>
      <c r="H2784" t="n">
        <v>16.08</v>
      </c>
      <c r="I2784" t="inlineStr">
        <is>
          <t>credit_card</t>
        </is>
      </c>
      <c r="J2784" t="n">
        <v>12</v>
      </c>
      <c r="K2784" t="inlineStr">
        <is>
          <t>On Time</t>
        </is>
      </c>
      <c r="L2784" t="n">
        <v>5</v>
      </c>
      <c r="M2784">
        <f>VLOOKUP(D2784,State_Lookup!$A$2:$B$28,2,FALSE)</f>
        <v/>
      </c>
    </row>
    <row r="2785">
      <c r="A2785" t="inlineStr">
        <is>
          <t>c75dfb74f7e634744d13799759233b78</t>
        </is>
      </c>
      <c r="B2785" t="inlineStr">
        <is>
          <t>2018-02-09</t>
        </is>
      </c>
      <c r="C2785" t="inlineStr">
        <is>
          <t>2018-02</t>
        </is>
      </c>
      <c r="D2785" t="inlineStr">
        <is>
          <t>SP</t>
        </is>
      </c>
      <c r="E2785" t="inlineStr">
        <is>
          <t>auto</t>
        </is>
      </c>
      <c r="F2785" t="n">
        <v>1</v>
      </c>
      <c r="G2785" t="n">
        <v>1780</v>
      </c>
      <c r="H2785" t="n">
        <v>41.87</v>
      </c>
      <c r="I2785" t="inlineStr">
        <is>
          <t>credit_card</t>
        </is>
      </c>
      <c r="J2785" t="n">
        <v>24</v>
      </c>
      <c r="K2785" t="inlineStr">
        <is>
          <t>On Time</t>
        </is>
      </c>
      <c r="L2785" t="n">
        <v>1</v>
      </c>
      <c r="M2785">
        <f>VLOOKUP(D2785,State_Lookup!$A$2:$B$28,2,FALSE)</f>
        <v/>
      </c>
    </row>
    <row r="2786">
      <c r="A2786" t="inlineStr">
        <is>
          <t>2a3e60ce1465b6fd5a3702e28871fd70</t>
        </is>
      </c>
      <c r="B2786" t="inlineStr">
        <is>
          <t>2018-02-09</t>
        </is>
      </c>
      <c r="C2786" t="inlineStr">
        <is>
          <t>2018-02</t>
        </is>
      </c>
      <c r="D2786" t="inlineStr">
        <is>
          <t>PR</t>
        </is>
      </c>
      <c r="E2786" t="inlineStr">
        <is>
          <t>computers_accessories</t>
        </is>
      </c>
      <c r="F2786" t="n">
        <v>1</v>
      </c>
      <c r="G2786" t="n">
        <v>145.69</v>
      </c>
      <c r="H2786" t="n">
        <v>15.77</v>
      </c>
      <c r="I2786" t="inlineStr">
        <is>
          <t>boleto</t>
        </is>
      </c>
      <c r="J2786" t="n">
        <v>11</v>
      </c>
      <c r="K2786" t="inlineStr">
        <is>
          <t>On Time</t>
        </is>
      </c>
      <c r="L2786" t="n">
        <v>5</v>
      </c>
      <c r="M2786">
        <f>VLOOKUP(D2786,State_Lookup!$A$2:$B$28,2,FALSE)</f>
        <v/>
      </c>
    </row>
    <row r="2787">
      <c r="A2787" t="inlineStr">
        <is>
          <t>7578d16f248e3eb69ec30d3fb27a7a38</t>
        </is>
      </c>
      <c r="B2787" t="inlineStr">
        <is>
          <t>2018-02-09</t>
        </is>
      </c>
      <c r="C2787" t="inlineStr">
        <is>
          <t>2018-02</t>
        </is>
      </c>
      <c r="D2787" t="inlineStr">
        <is>
          <t>MG</t>
        </is>
      </c>
      <c r="E2787" t="inlineStr">
        <is>
          <t>bed_bath_table</t>
        </is>
      </c>
      <c r="F2787" t="n">
        <v>1</v>
      </c>
      <c r="G2787" t="n">
        <v>49.99</v>
      </c>
      <c r="H2787" t="n">
        <v>16.11</v>
      </c>
      <c r="I2787" t="inlineStr">
        <is>
          <t>credit_card</t>
        </is>
      </c>
      <c r="J2787" t="n">
        <v>18</v>
      </c>
      <c r="K2787" t="inlineStr">
        <is>
          <t>On Time</t>
        </is>
      </c>
      <c r="L2787" t="n">
        <v>5</v>
      </c>
      <c r="M2787">
        <f>VLOOKUP(D2787,State_Lookup!$A$2:$B$28,2,FALSE)</f>
        <v/>
      </c>
    </row>
    <row r="2788">
      <c r="A2788" t="inlineStr">
        <is>
          <t>83962168dce2d06a69a7e27082962069</t>
        </is>
      </c>
      <c r="B2788" t="inlineStr">
        <is>
          <t>2018-02-09</t>
        </is>
      </c>
      <c r="C2788" t="inlineStr">
        <is>
          <t>2018-02</t>
        </is>
      </c>
      <c r="D2788" t="inlineStr">
        <is>
          <t>RJ</t>
        </is>
      </c>
      <c r="E2788" t="inlineStr">
        <is>
          <t>electronics</t>
        </is>
      </c>
      <c r="F2788" t="n">
        <v>1</v>
      </c>
      <c r="G2788" t="n">
        <v>25.9</v>
      </c>
      <c r="H2788" t="n">
        <v>16.79</v>
      </c>
      <c r="I2788" t="inlineStr">
        <is>
          <t>credit_card</t>
        </is>
      </c>
      <c r="J2788" t="n">
        <v>28</v>
      </c>
      <c r="K2788" t="inlineStr">
        <is>
          <t>On Time</t>
        </is>
      </c>
      <c r="L2788" t="n">
        <v>5</v>
      </c>
      <c r="M2788">
        <f>VLOOKUP(D2788,State_Lookup!$A$2:$B$28,2,FALSE)</f>
        <v/>
      </c>
    </row>
    <row r="2789">
      <c r="A2789" t="inlineStr">
        <is>
          <t>11d1d2c41d418db52862561ad533739a</t>
        </is>
      </c>
      <c r="B2789" t="inlineStr">
        <is>
          <t>2018-02-09</t>
        </is>
      </c>
      <c r="C2789" t="inlineStr">
        <is>
          <t>2018-02</t>
        </is>
      </c>
      <c r="D2789" t="inlineStr">
        <is>
          <t>PR</t>
        </is>
      </c>
      <c r="E2789" t="inlineStr">
        <is>
          <t>telephony</t>
        </is>
      </c>
      <c r="F2789" t="n">
        <v>1</v>
      </c>
      <c r="G2789" t="n">
        <v>18.49</v>
      </c>
      <c r="H2789" t="n">
        <v>14.1</v>
      </c>
      <c r="I2789" t="inlineStr">
        <is>
          <t>credit_card</t>
        </is>
      </c>
      <c r="J2789" t="n">
        <v>12</v>
      </c>
      <c r="K2789" t="inlineStr">
        <is>
          <t>On Time</t>
        </is>
      </c>
      <c r="L2789" t="n">
        <v>4</v>
      </c>
      <c r="M2789">
        <f>VLOOKUP(D2789,State_Lookup!$A$2:$B$28,2,FALSE)</f>
        <v/>
      </c>
    </row>
    <row r="2790">
      <c r="A2790" t="inlineStr">
        <is>
          <t>9c90fbe071e26ccef32878449010af00</t>
        </is>
      </c>
      <c r="B2790" t="inlineStr">
        <is>
          <t>2018-02-09</t>
        </is>
      </c>
      <c r="C2790" t="inlineStr">
        <is>
          <t>2018-02</t>
        </is>
      </c>
      <c r="D2790" t="inlineStr">
        <is>
          <t>PR</t>
        </is>
      </c>
      <c r="E2790" t="inlineStr">
        <is>
          <t>computers_accessories</t>
        </is>
      </c>
      <c r="F2790" t="n">
        <v>1</v>
      </c>
      <c r="G2790" t="n">
        <v>149.9</v>
      </c>
      <c r="H2790" t="n">
        <v>27.9</v>
      </c>
      <c r="I2790" t="inlineStr">
        <is>
          <t>credit_card</t>
        </is>
      </c>
      <c r="J2790" t="n">
        <v>19</v>
      </c>
      <c r="K2790" t="inlineStr">
        <is>
          <t>On Time</t>
        </is>
      </c>
      <c r="L2790" t="n">
        <v>4</v>
      </c>
      <c r="M2790">
        <f>VLOOKUP(D2790,State_Lookup!$A$2:$B$28,2,FALSE)</f>
        <v/>
      </c>
    </row>
    <row r="2791">
      <c r="A2791" t="inlineStr">
        <is>
          <t>d99bb25e168c15db3113f5d5db1ee1b4</t>
        </is>
      </c>
      <c r="B2791" t="inlineStr">
        <is>
          <t>2018-02-09</t>
        </is>
      </c>
      <c r="C2791" t="inlineStr">
        <is>
          <t>2018-02</t>
        </is>
      </c>
      <c r="D2791" t="inlineStr">
        <is>
          <t>SP</t>
        </is>
      </c>
      <c r="E2791" t="inlineStr">
        <is>
          <t>computers_accessories</t>
        </is>
      </c>
      <c r="F2791" t="n">
        <v>1</v>
      </c>
      <c r="G2791" t="n">
        <v>74.90000000000001</v>
      </c>
      <c r="H2791" t="n">
        <v>12.65</v>
      </c>
      <c r="I2791" t="inlineStr">
        <is>
          <t>boleto</t>
        </is>
      </c>
      <c r="J2791" t="n">
        <v>17</v>
      </c>
      <c r="K2791" t="inlineStr">
        <is>
          <t>On Time</t>
        </is>
      </c>
      <c r="L2791" t="n">
        <v>3</v>
      </c>
      <c r="M2791">
        <f>VLOOKUP(D2791,State_Lookup!$A$2:$B$28,2,FALSE)</f>
        <v/>
      </c>
    </row>
    <row r="2792">
      <c r="A2792" t="inlineStr">
        <is>
          <t>2c283d6fe3628e20caec652ad3703c7e</t>
        </is>
      </c>
      <c r="B2792" t="inlineStr">
        <is>
          <t>2018-02-09</t>
        </is>
      </c>
      <c r="C2792" t="inlineStr">
        <is>
          <t>2018-02</t>
        </is>
      </c>
      <c r="D2792" t="inlineStr">
        <is>
          <t>AL</t>
        </is>
      </c>
      <c r="E2792" t="inlineStr">
        <is>
          <t>computers_accessories</t>
        </is>
      </c>
      <c r="F2792" t="n">
        <v>1</v>
      </c>
      <c r="G2792" t="n">
        <v>48.9</v>
      </c>
      <c r="H2792" t="n">
        <v>42.38</v>
      </c>
      <c r="I2792" t="inlineStr">
        <is>
          <t>credit_card</t>
        </is>
      </c>
      <c r="J2792" t="n">
        <v>28</v>
      </c>
      <c r="K2792" t="inlineStr">
        <is>
          <t>On Time</t>
        </is>
      </c>
      <c r="L2792" t="n">
        <v>5</v>
      </c>
      <c r="M2792">
        <f>VLOOKUP(D2792,State_Lookup!$A$2:$B$28,2,FALSE)</f>
        <v/>
      </c>
    </row>
    <row r="2793">
      <c r="A2793" t="inlineStr">
        <is>
          <t>8efa32589faa9ab3d9fb06ab4f2bceb7</t>
        </is>
      </c>
      <c r="B2793" t="inlineStr">
        <is>
          <t>2018-02-09</t>
        </is>
      </c>
      <c r="C2793" t="inlineStr">
        <is>
          <t>2018-02</t>
        </is>
      </c>
      <c r="D2793" t="inlineStr">
        <is>
          <t>PR</t>
        </is>
      </c>
      <c r="E2793" t="inlineStr">
        <is>
          <t>watches_gifts</t>
        </is>
      </c>
      <c r="F2793" t="n">
        <v>1</v>
      </c>
      <c r="G2793" t="n">
        <v>75</v>
      </c>
      <c r="H2793" t="n">
        <v>14.28</v>
      </c>
      <c r="I2793" t="inlineStr">
        <is>
          <t>boleto</t>
        </is>
      </c>
      <c r="J2793" t="n">
        <v>13</v>
      </c>
      <c r="K2793" t="inlineStr">
        <is>
          <t>On Time</t>
        </is>
      </c>
      <c r="L2793" t="n">
        <v>4</v>
      </c>
      <c r="M2793">
        <f>VLOOKUP(D2793,State_Lookup!$A$2:$B$28,2,FALSE)</f>
        <v/>
      </c>
    </row>
    <row r="2794">
      <c r="A2794" t="inlineStr">
        <is>
          <t>4f6d5b0656f4701bba88a3351199cb14</t>
        </is>
      </c>
      <c r="B2794" t="inlineStr">
        <is>
          <t>2018-02-09</t>
        </is>
      </c>
      <c r="C2794" t="inlineStr">
        <is>
          <t>2018-02</t>
        </is>
      </c>
      <c r="D2794" t="inlineStr">
        <is>
          <t>BA</t>
        </is>
      </c>
      <c r="E2794" t="inlineStr">
        <is>
          <t>housewares</t>
        </is>
      </c>
      <c r="F2794" t="n">
        <v>1</v>
      </c>
      <c r="G2794" t="n">
        <v>139.9</v>
      </c>
      <c r="H2794" t="n">
        <v>23.85</v>
      </c>
      <c r="I2794" t="inlineStr">
        <is>
          <t>credit_card</t>
        </is>
      </c>
      <c r="J2794" t="n">
        <v>17</v>
      </c>
      <c r="K2794" t="inlineStr">
        <is>
          <t>On Time</t>
        </is>
      </c>
      <c r="L2794" t="n">
        <v>4</v>
      </c>
      <c r="M2794">
        <f>VLOOKUP(D2794,State_Lookup!$A$2:$B$28,2,FALSE)</f>
        <v/>
      </c>
    </row>
    <row r="2795">
      <c r="A2795" t="inlineStr">
        <is>
          <t>87d3fcab78e748d404ae59a9e90e7834</t>
        </is>
      </c>
      <c r="B2795" t="inlineStr">
        <is>
          <t>2018-02-09</t>
        </is>
      </c>
      <c r="C2795" t="inlineStr">
        <is>
          <t>2018-02</t>
        </is>
      </c>
      <c r="D2795" t="inlineStr">
        <is>
          <t>SP</t>
        </is>
      </c>
      <c r="E2795" t="inlineStr">
        <is>
          <t>pet_shop</t>
        </is>
      </c>
      <c r="F2795" t="n">
        <v>3</v>
      </c>
      <c r="G2795" t="n">
        <v>315</v>
      </c>
      <c r="H2795" t="n">
        <v>46.47</v>
      </c>
      <c r="I2795" t="inlineStr">
        <is>
          <t>boleto</t>
        </is>
      </c>
      <c r="J2795" t="n">
        <v>17</v>
      </c>
      <c r="K2795" t="inlineStr">
        <is>
          <t>On Time</t>
        </is>
      </c>
      <c r="L2795" t="n">
        <v>5</v>
      </c>
      <c r="M2795">
        <f>VLOOKUP(D2795,State_Lookup!$A$2:$B$28,2,FALSE)</f>
        <v/>
      </c>
    </row>
    <row r="2796">
      <c r="A2796" t="inlineStr">
        <is>
          <t>1d3a68238096f9cec486437166e57716</t>
        </is>
      </c>
      <c r="B2796" t="inlineStr">
        <is>
          <t>2018-02-09</t>
        </is>
      </c>
      <c r="C2796" t="inlineStr">
        <is>
          <t>2018-02</t>
        </is>
      </c>
      <c r="D2796" t="inlineStr">
        <is>
          <t>RJ</t>
        </is>
      </c>
      <c r="E2796" t="inlineStr">
        <is>
          <t>health_beauty</t>
        </is>
      </c>
      <c r="F2796" t="n">
        <v>1</v>
      </c>
      <c r="G2796" t="n">
        <v>129.9</v>
      </c>
      <c r="H2796" t="n">
        <v>16.35</v>
      </c>
      <c r="I2796" t="inlineStr">
        <is>
          <t>credit_card</t>
        </is>
      </c>
      <c r="J2796" t="n">
        <v>28</v>
      </c>
      <c r="K2796" t="inlineStr">
        <is>
          <t>Late</t>
        </is>
      </c>
      <c r="L2796" t="n">
        <v>3</v>
      </c>
      <c r="M2796">
        <f>VLOOKUP(D2796,State_Lookup!$A$2:$B$28,2,FALSE)</f>
        <v/>
      </c>
    </row>
    <row r="2797">
      <c r="A2797" t="inlineStr">
        <is>
          <t>cb269e12d603437a1a1a1bf4c27c3716</t>
        </is>
      </c>
      <c r="B2797" t="inlineStr">
        <is>
          <t>2018-02-09</t>
        </is>
      </c>
      <c r="C2797" t="inlineStr">
        <is>
          <t>2018-02</t>
        </is>
      </c>
      <c r="D2797" t="inlineStr">
        <is>
          <t>MT</t>
        </is>
      </c>
      <c r="E2797" t="inlineStr">
        <is>
          <t>health_beauty</t>
        </is>
      </c>
      <c r="F2797" t="n">
        <v>1</v>
      </c>
      <c r="G2797" t="n">
        <v>199</v>
      </c>
      <c r="H2797" t="n">
        <v>17.83</v>
      </c>
      <c r="I2797" t="inlineStr">
        <is>
          <t>boleto</t>
        </is>
      </c>
      <c r="J2797" t="n">
        <v>18</v>
      </c>
      <c r="K2797" t="inlineStr">
        <is>
          <t>On Time</t>
        </is>
      </c>
      <c r="L2797" t="n">
        <v>5</v>
      </c>
      <c r="M2797">
        <f>VLOOKUP(D2797,State_Lookup!$A$2:$B$28,2,FALSE)</f>
        <v/>
      </c>
    </row>
    <row r="2798">
      <c r="A2798" t="inlineStr">
        <is>
          <t>30995c2450c43a071181b6f0c3602296</t>
        </is>
      </c>
      <c r="B2798" t="inlineStr">
        <is>
          <t>2018-02-10</t>
        </is>
      </c>
      <c r="C2798" t="inlineStr">
        <is>
          <t>2018-02</t>
        </is>
      </c>
      <c r="D2798" t="inlineStr">
        <is>
          <t>RJ</t>
        </is>
      </c>
      <c r="E2798" t="inlineStr">
        <is>
          <t>bed_bath_table</t>
        </is>
      </c>
      <c r="F2798" t="n">
        <v>1</v>
      </c>
      <c r="G2798" t="n">
        <v>58</v>
      </c>
      <c r="H2798" t="n">
        <v>16.17</v>
      </c>
      <c r="I2798" t="inlineStr">
        <is>
          <t>credit_card</t>
        </is>
      </c>
      <c r="J2798" t="n">
        <v>18</v>
      </c>
      <c r="K2798" t="inlineStr">
        <is>
          <t>On Time</t>
        </is>
      </c>
      <c r="L2798" t="n">
        <v>1</v>
      </c>
      <c r="M2798">
        <f>VLOOKUP(D2798,State_Lookup!$A$2:$B$28,2,FALSE)</f>
        <v/>
      </c>
    </row>
    <row r="2799">
      <c r="A2799" t="inlineStr">
        <is>
          <t>87353bde98ae9505ac21bf4bc21b5d74</t>
        </is>
      </c>
      <c r="B2799" t="inlineStr">
        <is>
          <t>2018-02-10</t>
        </is>
      </c>
      <c r="C2799" t="inlineStr">
        <is>
          <t>2018-02</t>
        </is>
      </c>
      <c r="D2799" t="inlineStr">
        <is>
          <t>PR</t>
        </is>
      </c>
      <c r="E2799" t="inlineStr">
        <is>
          <t>pet_shop</t>
        </is>
      </c>
      <c r="F2799" t="n">
        <v>1</v>
      </c>
      <c r="G2799" t="n">
        <v>56</v>
      </c>
      <c r="H2799" t="n">
        <v>17.96</v>
      </c>
      <c r="I2799" t="inlineStr">
        <is>
          <t>credit_card</t>
        </is>
      </c>
      <c r="J2799" t="n">
        <v>13</v>
      </c>
      <c r="K2799" t="inlineStr">
        <is>
          <t>On Time</t>
        </is>
      </c>
      <c r="L2799" t="n">
        <v>4</v>
      </c>
      <c r="M2799">
        <f>VLOOKUP(D2799,State_Lookup!$A$2:$B$28,2,FALSE)</f>
        <v/>
      </c>
    </row>
    <row r="2800">
      <c r="A2800" t="inlineStr">
        <is>
          <t>ffae83c600bcc82f84437a9248825b80</t>
        </is>
      </c>
      <c r="B2800" t="inlineStr">
        <is>
          <t>2018-02-10</t>
        </is>
      </c>
      <c r="C2800" t="inlineStr">
        <is>
          <t>2018-02</t>
        </is>
      </c>
      <c r="D2800" t="inlineStr">
        <is>
          <t>BA</t>
        </is>
      </c>
      <c r="E2800" t="inlineStr">
        <is>
          <t>costruction_tools_garden</t>
        </is>
      </c>
      <c r="F2800" t="n">
        <v>1</v>
      </c>
      <c r="G2800" t="n">
        <v>139.9</v>
      </c>
      <c r="H2800" t="n">
        <v>23.85</v>
      </c>
      <c r="I2800" t="inlineStr">
        <is>
          <t>credit_card</t>
        </is>
      </c>
      <c r="J2800" t="n">
        <v>30</v>
      </c>
      <c r="K2800" t="inlineStr">
        <is>
          <t>Late</t>
        </is>
      </c>
      <c r="L2800" t="n">
        <v>4</v>
      </c>
      <c r="M2800">
        <f>VLOOKUP(D2800,State_Lookup!$A$2:$B$28,2,FALSE)</f>
        <v/>
      </c>
    </row>
    <row r="2801">
      <c r="A2801" t="inlineStr">
        <is>
          <t>a731b7db34fa6e6897216789ec1543bd</t>
        </is>
      </c>
      <c r="B2801" t="inlineStr">
        <is>
          <t>2018-02-10</t>
        </is>
      </c>
      <c r="C2801" t="inlineStr">
        <is>
          <t>2018-02</t>
        </is>
      </c>
      <c r="D2801" t="inlineStr">
        <is>
          <t>RJ</t>
        </is>
      </c>
      <c r="E2801" t="inlineStr">
        <is>
          <t>watches_gifts</t>
        </is>
      </c>
      <c r="F2801" t="n">
        <v>1</v>
      </c>
      <c r="G2801" t="n">
        <v>189</v>
      </c>
      <c r="H2801" t="n">
        <v>15.07</v>
      </c>
      <c r="I2801" t="inlineStr">
        <is>
          <t>credit_card</t>
        </is>
      </c>
      <c r="J2801" t="n">
        <v>11</v>
      </c>
      <c r="K2801" t="inlineStr">
        <is>
          <t>On Time</t>
        </is>
      </c>
      <c r="L2801" t="n">
        <v>5</v>
      </c>
      <c r="M2801">
        <f>VLOOKUP(D2801,State_Lookup!$A$2:$B$28,2,FALSE)</f>
        <v/>
      </c>
    </row>
    <row r="2802">
      <c r="A2802" t="inlineStr">
        <is>
          <t>8e6bfb81e283fa7e4f11123a3fb894f1</t>
        </is>
      </c>
      <c r="B2802" t="inlineStr">
        <is>
          <t>2018-02-10</t>
        </is>
      </c>
      <c r="C2802" t="inlineStr">
        <is>
          <t>2018-02</t>
        </is>
      </c>
      <c r="D2802" t="inlineStr">
        <is>
          <t>SC</t>
        </is>
      </c>
      <c r="E2802" t="inlineStr">
        <is>
          <t>sports_leisure</t>
        </is>
      </c>
      <c r="F2802" t="n">
        <v>1</v>
      </c>
      <c r="G2802" t="n">
        <v>1199</v>
      </c>
      <c r="H2802" t="n">
        <v>134.25</v>
      </c>
      <c r="I2802" t="inlineStr">
        <is>
          <t>credit_card</t>
        </is>
      </c>
      <c r="J2802" t="n">
        <v>18</v>
      </c>
      <c r="K2802" t="inlineStr">
        <is>
          <t>On Time</t>
        </is>
      </c>
      <c r="L2802" t="n">
        <v>5</v>
      </c>
      <c r="M2802">
        <f>VLOOKUP(D2802,State_Lookup!$A$2:$B$28,2,FALSE)</f>
        <v/>
      </c>
    </row>
    <row r="2803">
      <c r="A2803" t="inlineStr">
        <is>
          <t>fd814f791bd23e12edad7656f27a8310</t>
        </is>
      </c>
      <c r="B2803" t="inlineStr">
        <is>
          <t>2018-02-10</t>
        </is>
      </c>
      <c r="C2803" t="inlineStr">
        <is>
          <t>2018-02</t>
        </is>
      </c>
      <c r="D2803" t="inlineStr">
        <is>
          <t>SP</t>
        </is>
      </c>
      <c r="E2803" t="inlineStr">
        <is>
          <t>cool_stuff</t>
        </is>
      </c>
      <c r="F2803" t="n">
        <v>1</v>
      </c>
      <c r="G2803" t="n">
        <v>389</v>
      </c>
      <c r="H2803" t="n">
        <v>16.33</v>
      </c>
      <c r="I2803" t="inlineStr">
        <is>
          <t>credit_card</t>
        </is>
      </c>
      <c r="J2803" t="n">
        <v>17</v>
      </c>
      <c r="K2803" t="inlineStr">
        <is>
          <t>On Time</t>
        </is>
      </c>
      <c r="L2803" t="n">
        <v>5</v>
      </c>
      <c r="M2803">
        <f>VLOOKUP(D2803,State_Lookup!$A$2:$B$28,2,FALSE)</f>
        <v/>
      </c>
    </row>
    <row r="2804">
      <c r="A2804" t="inlineStr">
        <is>
          <t>0fafef9491abc81f2975be1c75036a86</t>
        </is>
      </c>
      <c r="B2804" t="inlineStr">
        <is>
          <t>2018-02-10</t>
        </is>
      </c>
      <c r="C2804" t="inlineStr">
        <is>
          <t>2018-02</t>
        </is>
      </c>
      <c r="D2804" t="inlineStr">
        <is>
          <t>SP</t>
        </is>
      </c>
      <c r="E2804" t="inlineStr">
        <is>
          <t>garden_tools</t>
        </is>
      </c>
      <c r="F2804" t="n">
        <v>1</v>
      </c>
      <c r="G2804" t="n">
        <v>49.9</v>
      </c>
      <c r="H2804" t="n">
        <v>13.37</v>
      </c>
      <c r="I2804" t="inlineStr">
        <is>
          <t>credit_card</t>
        </is>
      </c>
      <c r="J2804" t="n">
        <v>28</v>
      </c>
      <c r="K2804" t="inlineStr">
        <is>
          <t>Late</t>
        </is>
      </c>
      <c r="L2804" t="n">
        <v>1</v>
      </c>
      <c r="M2804">
        <f>VLOOKUP(D2804,State_Lookup!$A$2:$B$28,2,FALSE)</f>
        <v/>
      </c>
    </row>
    <row r="2805">
      <c r="A2805" t="inlineStr">
        <is>
          <t>7be469d9b115e2a08cf56be2d9250b8c</t>
        </is>
      </c>
      <c r="B2805" t="inlineStr">
        <is>
          <t>2018-02-10</t>
        </is>
      </c>
      <c r="C2805" t="inlineStr">
        <is>
          <t>2018-02</t>
        </is>
      </c>
      <c r="D2805" t="inlineStr">
        <is>
          <t>RJ</t>
        </is>
      </c>
      <c r="E2805" t="inlineStr">
        <is>
          <t>furniture_decor</t>
        </is>
      </c>
      <c r="F2805" t="n">
        <v>4</v>
      </c>
      <c r="G2805" t="n">
        <v>242.7</v>
      </c>
      <c r="H2805" t="n">
        <v>72.93000000000001</v>
      </c>
      <c r="I2805" t="inlineStr">
        <is>
          <t>credit_card</t>
        </is>
      </c>
      <c r="J2805" t="n">
        <v>17</v>
      </c>
      <c r="K2805" t="inlineStr">
        <is>
          <t>On Time</t>
        </is>
      </c>
      <c r="L2805" t="n">
        <v>1</v>
      </c>
      <c r="M2805">
        <f>VLOOKUP(D2805,State_Lookup!$A$2:$B$28,2,FALSE)</f>
        <v/>
      </c>
    </row>
    <row r="2806">
      <c r="A2806" t="inlineStr">
        <is>
          <t>721f02a8125f571ecbe34cb7073ff732</t>
        </is>
      </c>
      <c r="B2806" t="inlineStr">
        <is>
          <t>2018-02-10</t>
        </is>
      </c>
      <c r="C2806" t="inlineStr">
        <is>
          <t>2018-02</t>
        </is>
      </c>
      <c r="D2806" t="inlineStr">
        <is>
          <t>MG</t>
        </is>
      </c>
      <c r="E2806" t="inlineStr">
        <is>
          <t>furniture_decor</t>
        </is>
      </c>
      <c r="F2806" t="n">
        <v>1</v>
      </c>
      <c r="G2806" t="n">
        <v>219.9</v>
      </c>
      <c r="H2806" t="n">
        <v>36.6</v>
      </c>
      <c r="I2806" t="inlineStr">
        <is>
          <t>credit_card</t>
        </is>
      </c>
      <c r="J2806" t="n">
        <v>12</v>
      </c>
      <c r="K2806" t="inlineStr">
        <is>
          <t>On Time</t>
        </is>
      </c>
      <c r="L2806" t="n">
        <v>5</v>
      </c>
      <c r="M2806">
        <f>VLOOKUP(D2806,State_Lookup!$A$2:$B$28,2,FALSE)</f>
        <v/>
      </c>
    </row>
    <row r="2807">
      <c r="A2807" t="inlineStr">
        <is>
          <t>ec816a2c8c072f4907171e81a58bed46</t>
        </is>
      </c>
      <c r="B2807" t="inlineStr">
        <is>
          <t>2018-02-10</t>
        </is>
      </c>
      <c r="C2807" t="inlineStr">
        <is>
          <t>2018-02</t>
        </is>
      </c>
      <c r="D2807" t="inlineStr">
        <is>
          <t>MG</t>
        </is>
      </c>
      <c r="E2807" t="inlineStr">
        <is>
          <t>perfumery</t>
        </is>
      </c>
      <c r="F2807" t="n">
        <v>1</v>
      </c>
      <c r="G2807" t="n">
        <v>119.9</v>
      </c>
      <c r="H2807" t="n">
        <v>16.6</v>
      </c>
      <c r="I2807" t="inlineStr">
        <is>
          <t>credit_card</t>
        </is>
      </c>
      <c r="J2807" t="n">
        <v>16</v>
      </c>
      <c r="K2807" t="inlineStr">
        <is>
          <t>On Time</t>
        </is>
      </c>
      <c r="L2807" t="n">
        <v>5</v>
      </c>
      <c r="M2807">
        <f>VLOOKUP(D2807,State_Lookup!$A$2:$B$28,2,FALSE)</f>
        <v/>
      </c>
    </row>
    <row r="2808">
      <c r="A2808" t="inlineStr">
        <is>
          <t>6c041b8ad01f470b60c65c7d424fa0ae</t>
        </is>
      </c>
      <c r="B2808" t="inlineStr">
        <is>
          <t>2018-02-10</t>
        </is>
      </c>
      <c r="C2808" t="inlineStr">
        <is>
          <t>2018-02</t>
        </is>
      </c>
      <c r="D2808" t="inlineStr">
        <is>
          <t>MG</t>
        </is>
      </c>
      <c r="E2808" t="inlineStr">
        <is>
          <t>health_beauty</t>
        </is>
      </c>
      <c r="F2808" t="n">
        <v>1</v>
      </c>
      <c r="G2808" t="n">
        <v>62</v>
      </c>
      <c r="H2808" t="n">
        <v>21.23</v>
      </c>
      <c r="I2808" t="inlineStr">
        <is>
          <t>credit_card</t>
        </is>
      </c>
      <c r="J2808" t="n">
        <v>10</v>
      </c>
      <c r="K2808" t="inlineStr">
        <is>
          <t>On Time</t>
        </is>
      </c>
      <c r="L2808" t="n">
        <v>5</v>
      </c>
      <c r="M2808">
        <f>VLOOKUP(D2808,State_Lookup!$A$2:$B$28,2,FALSE)</f>
        <v/>
      </c>
    </row>
    <row r="2809">
      <c r="A2809" t="inlineStr">
        <is>
          <t>1d84d00f6d2334d63f35ba528cd0d99d</t>
        </is>
      </c>
      <c r="B2809" t="inlineStr">
        <is>
          <t>2018-02-10</t>
        </is>
      </c>
      <c r="C2809" t="inlineStr">
        <is>
          <t>2018-02</t>
        </is>
      </c>
      <c r="D2809" t="inlineStr">
        <is>
          <t>SP</t>
        </is>
      </c>
      <c r="E2809" t="inlineStr">
        <is>
          <t>home_construction</t>
        </is>
      </c>
      <c r="F2809" t="n">
        <v>1</v>
      </c>
      <c r="G2809" t="n">
        <v>54.4</v>
      </c>
      <c r="H2809" t="n">
        <v>9.34</v>
      </c>
      <c r="I2809" t="inlineStr">
        <is>
          <t>boleto</t>
        </is>
      </c>
      <c r="J2809" t="n">
        <v>10</v>
      </c>
      <c r="K2809" t="inlineStr">
        <is>
          <t>On Time</t>
        </is>
      </c>
      <c r="L2809" t="n">
        <v>5</v>
      </c>
      <c r="M2809">
        <f>VLOOKUP(D2809,State_Lookup!$A$2:$B$28,2,FALSE)</f>
        <v/>
      </c>
    </row>
    <row r="2810">
      <c r="A2810" t="inlineStr">
        <is>
          <t>eb6fb95e3c0248ad7f1e3b668ac3f8b8</t>
        </is>
      </c>
      <c r="B2810" t="inlineStr">
        <is>
          <t>2018-02-11</t>
        </is>
      </c>
      <c r="C2810" t="inlineStr">
        <is>
          <t>2018-02</t>
        </is>
      </c>
      <c r="D2810" t="inlineStr">
        <is>
          <t>CE</t>
        </is>
      </c>
      <c r="E2810" t="inlineStr">
        <is>
          <t>health_beauty</t>
        </is>
      </c>
      <c r="F2810" t="n">
        <v>1</v>
      </c>
      <c r="G2810" t="n">
        <v>325</v>
      </c>
      <c r="H2810" t="n">
        <v>19.55</v>
      </c>
      <c r="I2810" t="inlineStr">
        <is>
          <t>credit_card</t>
        </is>
      </c>
      <c r="J2810" t="n">
        <v>18</v>
      </c>
      <c r="K2810" t="inlineStr">
        <is>
          <t>On Time</t>
        </is>
      </c>
      <c r="L2810" t="n">
        <v>5</v>
      </c>
      <c r="M2810">
        <f>VLOOKUP(D2810,State_Lookup!$A$2:$B$28,2,FALSE)</f>
        <v/>
      </c>
    </row>
    <row r="2811">
      <c r="A2811" t="inlineStr">
        <is>
          <t>4a4c236dd0a477add66133368e7fcde8</t>
        </is>
      </c>
      <c r="B2811" t="inlineStr">
        <is>
          <t>2018-02-11</t>
        </is>
      </c>
      <c r="C2811" t="inlineStr">
        <is>
          <t>2018-02</t>
        </is>
      </c>
      <c r="D2811" t="inlineStr">
        <is>
          <t>SP</t>
        </is>
      </c>
      <c r="E2811" t="inlineStr">
        <is>
          <t>housewares</t>
        </is>
      </c>
      <c r="F2811" t="n">
        <v>1</v>
      </c>
      <c r="G2811" t="n">
        <v>265</v>
      </c>
      <c r="H2811" t="n">
        <v>39.69</v>
      </c>
      <c r="I2811" t="inlineStr">
        <is>
          <t>credit_card</t>
        </is>
      </c>
      <c r="J2811" t="n">
        <v>24</v>
      </c>
      <c r="K2811" t="inlineStr">
        <is>
          <t>On Time</t>
        </is>
      </c>
      <c r="L2811" t="n">
        <v>5</v>
      </c>
      <c r="M2811">
        <f>VLOOKUP(D2811,State_Lookup!$A$2:$B$28,2,FALSE)</f>
        <v/>
      </c>
    </row>
    <row r="2812">
      <c r="A2812" t="inlineStr">
        <is>
          <t>8531a53599c482d78f5eab067187c7fd</t>
        </is>
      </c>
      <c r="B2812" t="inlineStr">
        <is>
          <t>2018-02-11</t>
        </is>
      </c>
      <c r="C2812" t="inlineStr">
        <is>
          <t>2018-02</t>
        </is>
      </c>
      <c r="D2812" t="inlineStr">
        <is>
          <t>ES</t>
        </is>
      </c>
      <c r="E2812" t="inlineStr">
        <is>
          <t>computers_accessories</t>
        </is>
      </c>
      <c r="F2812" t="n">
        <v>1</v>
      </c>
      <c r="G2812" t="n">
        <v>180</v>
      </c>
      <c r="H2812" t="n">
        <v>16.01</v>
      </c>
      <c r="I2812" t="inlineStr">
        <is>
          <t>credit_card</t>
        </is>
      </c>
      <c r="J2812" t="n">
        <v>18</v>
      </c>
      <c r="K2812" t="inlineStr">
        <is>
          <t>On Time</t>
        </is>
      </c>
      <c r="L2812" t="n">
        <v>3</v>
      </c>
      <c r="M2812">
        <f>VLOOKUP(D2812,State_Lookup!$A$2:$B$28,2,FALSE)</f>
        <v/>
      </c>
    </row>
    <row r="2813">
      <c r="A2813" t="inlineStr">
        <is>
          <t>09c29dc1d814f755a8183dc859945531</t>
        </is>
      </c>
      <c r="B2813" t="inlineStr">
        <is>
          <t>2018-02-11</t>
        </is>
      </c>
      <c r="C2813" t="inlineStr">
        <is>
          <t>2018-02</t>
        </is>
      </c>
      <c r="D2813" t="inlineStr">
        <is>
          <t>MT</t>
        </is>
      </c>
      <c r="E2813" t="inlineStr">
        <is>
          <t>bed_bath_table</t>
        </is>
      </c>
      <c r="F2813" t="n">
        <v>1</v>
      </c>
      <c r="G2813" t="n">
        <v>122.9</v>
      </c>
      <c r="H2813" t="n">
        <v>18.43</v>
      </c>
      <c r="I2813" t="inlineStr">
        <is>
          <t>credit_card</t>
        </is>
      </c>
      <c r="J2813" t="n">
        <v>19</v>
      </c>
      <c r="K2813" t="inlineStr">
        <is>
          <t>On Time</t>
        </is>
      </c>
      <c r="L2813" t="n">
        <v>3</v>
      </c>
      <c r="M2813">
        <f>VLOOKUP(D2813,State_Lookup!$A$2:$B$28,2,FALSE)</f>
        <v/>
      </c>
    </row>
    <row r="2814">
      <c r="A2814" t="inlineStr">
        <is>
          <t>9e14ba3a25712a0716d84a955940f200</t>
        </is>
      </c>
      <c r="B2814" t="inlineStr">
        <is>
          <t>2018-02-11</t>
        </is>
      </c>
      <c r="C2814" t="inlineStr">
        <is>
          <t>2018-02</t>
        </is>
      </c>
      <c r="D2814" t="inlineStr">
        <is>
          <t>MG</t>
        </is>
      </c>
      <c r="E2814" t="inlineStr">
        <is>
          <t>home_confort</t>
        </is>
      </c>
      <c r="F2814" t="n">
        <v>1</v>
      </c>
      <c r="G2814" t="n">
        <v>89.90000000000001</v>
      </c>
      <c r="H2814" t="n">
        <v>15.38</v>
      </c>
      <c r="I2814" t="inlineStr">
        <is>
          <t>credit_card</t>
        </is>
      </c>
      <c r="J2814" t="n">
        <v>18</v>
      </c>
      <c r="K2814" t="inlineStr">
        <is>
          <t>On Time</t>
        </is>
      </c>
      <c r="L2814" t="n">
        <v>4</v>
      </c>
      <c r="M2814">
        <f>VLOOKUP(D2814,State_Lookup!$A$2:$B$28,2,FALSE)</f>
        <v/>
      </c>
    </row>
    <row r="2815">
      <c r="A2815" t="inlineStr">
        <is>
          <t>00eef7fe9e315a85d1a61a50cccb2494</t>
        </is>
      </c>
      <c r="B2815" t="inlineStr">
        <is>
          <t>2018-02-11</t>
        </is>
      </c>
      <c r="C2815" t="inlineStr">
        <is>
          <t>2018-02</t>
        </is>
      </c>
      <c r="D2815" t="inlineStr">
        <is>
          <t>SP</t>
        </is>
      </c>
      <c r="E2815" t="inlineStr">
        <is>
          <t>garden_tools</t>
        </is>
      </c>
      <c r="F2815" t="n">
        <v>1</v>
      </c>
      <c r="G2815" t="n">
        <v>49.9</v>
      </c>
      <c r="H2815" t="n">
        <v>13.37</v>
      </c>
      <c r="I2815" t="inlineStr">
        <is>
          <t>credit_card</t>
        </is>
      </c>
      <c r="J2815" t="n">
        <v>13</v>
      </c>
      <c r="K2815" t="inlineStr">
        <is>
          <t>On Time</t>
        </is>
      </c>
      <c r="L2815" t="n">
        <v>5</v>
      </c>
      <c r="M2815">
        <f>VLOOKUP(D2815,State_Lookup!$A$2:$B$28,2,FALSE)</f>
        <v/>
      </c>
    </row>
    <row r="2816">
      <c r="A2816" t="inlineStr">
        <is>
          <t>997cd0cc21c4cc23cf4b07c4f53834db</t>
        </is>
      </c>
      <c r="B2816" t="inlineStr">
        <is>
          <t>2018-02-11</t>
        </is>
      </c>
      <c r="C2816" t="inlineStr">
        <is>
          <t>2018-02</t>
        </is>
      </c>
      <c r="D2816" t="inlineStr">
        <is>
          <t>MG</t>
        </is>
      </c>
      <c r="E2816" t="inlineStr">
        <is>
          <t>construction_tools_construction</t>
        </is>
      </c>
      <c r="F2816" t="n">
        <v>1</v>
      </c>
      <c r="G2816" t="n">
        <v>128.8</v>
      </c>
      <c r="H2816" t="n">
        <v>34.26</v>
      </c>
      <c r="I2816" t="inlineStr">
        <is>
          <t>boleto</t>
        </is>
      </c>
      <c r="J2816" t="n">
        <v>12</v>
      </c>
      <c r="K2816" t="inlineStr">
        <is>
          <t>On Time</t>
        </is>
      </c>
      <c r="L2816" t="n">
        <v>4</v>
      </c>
      <c r="M2816">
        <f>VLOOKUP(D2816,State_Lookup!$A$2:$B$28,2,FALSE)</f>
        <v/>
      </c>
    </row>
    <row r="2817">
      <c r="A2817" t="inlineStr">
        <is>
          <t>189b3afbf782ff8ab44477e006153155</t>
        </is>
      </c>
      <c r="B2817" t="inlineStr">
        <is>
          <t>2018-02-11</t>
        </is>
      </c>
      <c r="C2817" t="inlineStr">
        <is>
          <t>2018-02</t>
        </is>
      </c>
      <c r="D2817" t="inlineStr">
        <is>
          <t>MG</t>
        </is>
      </c>
      <c r="E2817" t="inlineStr">
        <is>
          <t>bed_bath_table</t>
        </is>
      </c>
      <c r="F2817" t="n">
        <v>1</v>
      </c>
      <c r="G2817" t="n">
        <v>39</v>
      </c>
      <c r="H2817" t="n">
        <v>16.11</v>
      </c>
      <c r="I2817" t="inlineStr">
        <is>
          <t>voucher</t>
        </is>
      </c>
      <c r="J2817" t="n">
        <v>21</v>
      </c>
      <c r="K2817" t="inlineStr">
        <is>
          <t>On Time</t>
        </is>
      </c>
      <c r="L2817" t="n">
        <v>4</v>
      </c>
      <c r="M2817">
        <f>VLOOKUP(D2817,State_Lookup!$A$2:$B$28,2,FALSE)</f>
        <v/>
      </c>
    </row>
    <row r="2818">
      <c r="A2818" t="inlineStr">
        <is>
          <t>9ac0defdd7d48e7dd9ed02a4e3e8a15f</t>
        </is>
      </c>
      <c r="B2818" t="inlineStr">
        <is>
          <t>2018-02-11</t>
        </is>
      </c>
      <c r="C2818" t="inlineStr">
        <is>
          <t>2018-02</t>
        </is>
      </c>
      <c r="D2818" t="inlineStr">
        <is>
          <t>SP</t>
        </is>
      </c>
      <c r="E2818" t="inlineStr">
        <is>
          <t>construction_tools_construction</t>
        </is>
      </c>
      <c r="F2818" t="n">
        <v>1</v>
      </c>
      <c r="G2818" t="n">
        <v>94.45</v>
      </c>
      <c r="H2818" t="n">
        <v>16.42</v>
      </c>
      <c r="I2818" t="inlineStr">
        <is>
          <t>credit_card</t>
        </is>
      </c>
      <c r="J2818" t="n">
        <v>12</v>
      </c>
      <c r="K2818" t="inlineStr">
        <is>
          <t>On Time</t>
        </is>
      </c>
      <c r="L2818" t="n">
        <v>5</v>
      </c>
      <c r="M2818">
        <f>VLOOKUP(D2818,State_Lookup!$A$2:$B$28,2,FALSE)</f>
        <v/>
      </c>
    </row>
    <row r="2819">
      <c r="A2819" t="inlineStr">
        <is>
          <t>cf89399a034c96945092cc819f31801d</t>
        </is>
      </c>
      <c r="B2819" t="inlineStr">
        <is>
          <t>2018-02-11</t>
        </is>
      </c>
      <c r="C2819" t="inlineStr">
        <is>
          <t>2018-02</t>
        </is>
      </c>
      <c r="D2819" t="inlineStr">
        <is>
          <t>SP</t>
        </is>
      </c>
      <c r="E2819" t="inlineStr">
        <is>
          <t>cool_stuff</t>
        </is>
      </c>
      <c r="F2819" t="n">
        <v>1</v>
      </c>
      <c r="G2819" t="n">
        <v>144.99</v>
      </c>
      <c r="H2819" t="n">
        <v>14.03</v>
      </c>
      <c r="I2819" t="inlineStr">
        <is>
          <t>credit_card</t>
        </is>
      </c>
      <c r="J2819" t="n">
        <v>17</v>
      </c>
      <c r="K2819" t="inlineStr">
        <is>
          <t>On Time</t>
        </is>
      </c>
      <c r="L2819" t="n">
        <v>5</v>
      </c>
      <c r="M2819">
        <f>VLOOKUP(D2819,State_Lookup!$A$2:$B$28,2,FALSE)</f>
        <v/>
      </c>
    </row>
    <row r="2820">
      <c r="A2820" t="inlineStr">
        <is>
          <t>eedfdd1e4ef97bae3bc2a49f06e3016b</t>
        </is>
      </c>
      <c r="B2820" t="inlineStr">
        <is>
          <t>2018-02-12</t>
        </is>
      </c>
      <c r="C2820" t="inlineStr">
        <is>
          <t>2018-02</t>
        </is>
      </c>
      <c r="D2820" t="inlineStr">
        <is>
          <t>RS</t>
        </is>
      </c>
      <c r="E2820" t="inlineStr">
        <is>
          <t>health_beauty</t>
        </is>
      </c>
      <c r="F2820" t="n">
        <v>1</v>
      </c>
      <c r="G2820" t="n">
        <v>36</v>
      </c>
      <c r="H2820" t="n">
        <v>14.1</v>
      </c>
      <c r="I2820" t="inlineStr">
        <is>
          <t>credit_card</t>
        </is>
      </c>
      <c r="J2820" t="n">
        <v>17</v>
      </c>
      <c r="K2820" t="inlineStr">
        <is>
          <t>On Time</t>
        </is>
      </c>
      <c r="L2820" t="n">
        <v>5</v>
      </c>
      <c r="M2820">
        <f>VLOOKUP(D2820,State_Lookup!$A$2:$B$28,2,FALSE)</f>
        <v/>
      </c>
    </row>
    <row r="2821">
      <c r="A2821" t="inlineStr">
        <is>
          <t>092e3282c11e71ea0c568efc2a92f91a</t>
        </is>
      </c>
      <c r="B2821" t="inlineStr">
        <is>
          <t>2018-02-12</t>
        </is>
      </c>
      <c r="C2821" t="inlineStr">
        <is>
          <t>2018-02</t>
        </is>
      </c>
      <c r="D2821" t="inlineStr">
        <is>
          <t>MG</t>
        </is>
      </c>
      <c r="E2821" t="inlineStr">
        <is>
          <t>health_beauty</t>
        </is>
      </c>
      <c r="F2821" t="n">
        <v>1</v>
      </c>
      <c r="G2821" t="n">
        <v>150</v>
      </c>
      <c r="H2821" t="n">
        <v>15.8</v>
      </c>
      <c r="I2821" t="inlineStr">
        <is>
          <t>credit_card</t>
        </is>
      </c>
      <c r="J2821" t="n">
        <v>16</v>
      </c>
      <c r="K2821" t="inlineStr">
        <is>
          <t>On Time</t>
        </is>
      </c>
      <c r="L2821" t="n">
        <v>3</v>
      </c>
      <c r="M2821">
        <f>VLOOKUP(D2821,State_Lookup!$A$2:$B$28,2,FALSE)</f>
        <v/>
      </c>
    </row>
    <row r="2822">
      <c r="A2822" t="inlineStr">
        <is>
          <t>47e488415ce9fda6fee06ab849f35ec0</t>
        </is>
      </c>
      <c r="B2822" t="inlineStr">
        <is>
          <t>2018-02-12</t>
        </is>
      </c>
      <c r="C2822" t="inlineStr">
        <is>
          <t>2018-02</t>
        </is>
      </c>
      <c r="D2822" t="inlineStr">
        <is>
          <t>RJ</t>
        </is>
      </c>
      <c r="E2822" t="inlineStr">
        <is>
          <t>computers_accessories</t>
        </is>
      </c>
      <c r="F2822" t="n">
        <v>1</v>
      </c>
      <c r="G2822" t="n">
        <v>15.9</v>
      </c>
      <c r="H2822" t="n">
        <v>15.1</v>
      </c>
      <c r="I2822" t="inlineStr">
        <is>
          <t>credit_card</t>
        </is>
      </c>
      <c r="J2822" t="n">
        <v>8</v>
      </c>
      <c r="K2822" t="inlineStr">
        <is>
          <t>On Time</t>
        </is>
      </c>
      <c r="L2822" t="n">
        <v>2</v>
      </c>
      <c r="M2822">
        <f>VLOOKUP(D2822,State_Lookup!$A$2:$B$28,2,FALSE)</f>
        <v/>
      </c>
    </row>
    <row r="2823">
      <c r="A2823" t="inlineStr">
        <is>
          <t>bccf051dcbdb40d7aa00e84a00b169e6</t>
        </is>
      </c>
      <c r="B2823" t="inlineStr">
        <is>
          <t>2018-02-12</t>
        </is>
      </c>
      <c r="C2823" t="inlineStr">
        <is>
          <t>2018-02</t>
        </is>
      </c>
      <c r="D2823" t="inlineStr">
        <is>
          <t>SP</t>
        </is>
      </c>
      <c r="E2823" t="inlineStr">
        <is>
          <t>baby</t>
        </is>
      </c>
      <c r="F2823" t="n">
        <v>1</v>
      </c>
      <c r="G2823" t="n">
        <v>109.9</v>
      </c>
      <c r="H2823" t="n">
        <v>11.97</v>
      </c>
      <c r="I2823" t="inlineStr">
        <is>
          <t>credit_card</t>
        </is>
      </c>
      <c r="J2823" t="n">
        <v>2</v>
      </c>
      <c r="K2823" t="inlineStr">
        <is>
          <t>On Time</t>
        </is>
      </c>
      <c r="L2823" t="n">
        <v>4</v>
      </c>
      <c r="M2823">
        <f>VLOOKUP(D2823,State_Lookup!$A$2:$B$28,2,FALSE)</f>
        <v/>
      </c>
    </row>
    <row r="2824">
      <c r="A2824" t="inlineStr">
        <is>
          <t>ee97923b6c1439e110fab51fb70c78b9</t>
        </is>
      </c>
      <c r="B2824" t="inlineStr">
        <is>
          <t>2018-02-12</t>
        </is>
      </c>
      <c r="C2824" t="inlineStr">
        <is>
          <t>2018-02</t>
        </is>
      </c>
      <c r="D2824" t="inlineStr">
        <is>
          <t>SP</t>
        </is>
      </c>
      <c r="E2824" t="inlineStr">
        <is>
          <t>electronics</t>
        </is>
      </c>
      <c r="F2824" t="n">
        <v>1</v>
      </c>
      <c r="G2824" t="n">
        <v>21.9</v>
      </c>
      <c r="H2824" t="n">
        <v>11.85</v>
      </c>
      <c r="I2824" t="inlineStr">
        <is>
          <t>credit_card</t>
        </is>
      </c>
      <c r="J2824" t="n">
        <v>17</v>
      </c>
      <c r="K2824" t="inlineStr">
        <is>
          <t>On Time</t>
        </is>
      </c>
      <c r="L2824" t="n">
        <v>4</v>
      </c>
      <c r="M2824">
        <f>VLOOKUP(D2824,State_Lookup!$A$2:$B$28,2,FALSE)</f>
        <v/>
      </c>
    </row>
    <row r="2825">
      <c r="A2825" t="inlineStr">
        <is>
          <t>9cdbb1c345ba349adba6b394300770d1</t>
        </is>
      </c>
      <c r="B2825" t="inlineStr">
        <is>
          <t>2018-02-12</t>
        </is>
      </c>
      <c r="C2825" t="inlineStr">
        <is>
          <t>2018-02</t>
        </is>
      </c>
      <c r="D2825" t="inlineStr">
        <is>
          <t>SP</t>
        </is>
      </c>
      <c r="E2825" t="inlineStr">
        <is>
          <t>sports_leisure</t>
        </is>
      </c>
      <c r="F2825" t="n">
        <v>1</v>
      </c>
      <c r="G2825" t="n">
        <v>210</v>
      </c>
      <c r="H2825" t="n">
        <v>24.05</v>
      </c>
      <c r="I2825" t="inlineStr">
        <is>
          <t>credit_card</t>
        </is>
      </c>
      <c r="J2825" t="n">
        <v>6</v>
      </c>
      <c r="K2825" t="inlineStr">
        <is>
          <t>On Time</t>
        </is>
      </c>
      <c r="L2825" t="n">
        <v>5</v>
      </c>
      <c r="M2825">
        <f>VLOOKUP(D2825,State_Lookup!$A$2:$B$28,2,FALSE)</f>
        <v/>
      </c>
    </row>
    <row r="2826">
      <c r="A2826" t="inlineStr">
        <is>
          <t>839cdf42ef00fb4f5d66e449058b4d61</t>
        </is>
      </c>
      <c r="B2826" t="inlineStr">
        <is>
          <t>2018-02-12</t>
        </is>
      </c>
      <c r="C2826" t="inlineStr">
        <is>
          <t>2018-02</t>
        </is>
      </c>
      <c r="D2826" t="inlineStr">
        <is>
          <t>SP</t>
        </is>
      </c>
      <c r="E2826" t="inlineStr">
        <is>
          <t>health_beauty</t>
        </is>
      </c>
      <c r="F2826" t="n">
        <v>1</v>
      </c>
      <c r="G2826" t="n">
        <v>99</v>
      </c>
      <c r="H2826" t="n">
        <v>12.82</v>
      </c>
      <c r="I2826" t="inlineStr">
        <is>
          <t>credit_card</t>
        </is>
      </c>
      <c r="J2826" t="n">
        <v>14</v>
      </c>
      <c r="K2826" t="inlineStr">
        <is>
          <t>On Time</t>
        </is>
      </c>
      <c r="L2826" t="n">
        <v>5</v>
      </c>
      <c r="M2826">
        <f>VLOOKUP(D2826,State_Lookup!$A$2:$B$28,2,FALSE)</f>
        <v/>
      </c>
    </row>
    <row r="2827">
      <c r="A2827" t="inlineStr">
        <is>
          <t>e0ef0c2437f6730f46ebb869c34c0656</t>
        </is>
      </c>
      <c r="B2827" t="inlineStr">
        <is>
          <t>2018-02-12</t>
        </is>
      </c>
      <c r="C2827" t="inlineStr">
        <is>
          <t>2018-02</t>
        </is>
      </c>
      <c r="D2827" t="inlineStr">
        <is>
          <t>SP</t>
        </is>
      </c>
      <c r="E2827" t="inlineStr">
        <is>
          <t>perfumery</t>
        </is>
      </c>
      <c r="F2827" t="n">
        <v>1</v>
      </c>
      <c r="G2827" t="n">
        <v>34.9</v>
      </c>
      <c r="H2827" t="n">
        <v>7.78</v>
      </c>
      <c r="I2827" t="inlineStr">
        <is>
          <t>credit_card</t>
        </is>
      </c>
      <c r="J2827" t="n">
        <v>4</v>
      </c>
      <c r="K2827" t="inlineStr">
        <is>
          <t>On Time</t>
        </is>
      </c>
      <c r="L2827" t="n">
        <v>5</v>
      </c>
      <c r="M2827">
        <f>VLOOKUP(D2827,State_Lookup!$A$2:$B$28,2,FALSE)</f>
        <v/>
      </c>
    </row>
    <row r="2828">
      <c r="A2828" t="inlineStr">
        <is>
          <t>77e4da3755c479aac3d6f7f2a5e94516</t>
        </is>
      </c>
      <c r="B2828" t="inlineStr">
        <is>
          <t>2018-02-13</t>
        </is>
      </c>
      <c r="C2828" t="inlineStr">
        <is>
          <t>2018-02</t>
        </is>
      </c>
      <c r="D2828" t="inlineStr">
        <is>
          <t>SP</t>
        </is>
      </c>
      <c r="E2828" t="inlineStr">
        <is>
          <t>computers_accessories</t>
        </is>
      </c>
      <c r="F2828" t="n">
        <v>1</v>
      </c>
      <c r="G2828" t="n">
        <v>99.98999999999999</v>
      </c>
      <c r="H2828" t="n">
        <v>14.43</v>
      </c>
      <c r="I2828" t="inlineStr">
        <is>
          <t>credit_card</t>
        </is>
      </c>
      <c r="J2828" t="n">
        <v>24</v>
      </c>
      <c r="K2828" t="inlineStr">
        <is>
          <t>On Time</t>
        </is>
      </c>
      <c r="L2828" t="n">
        <v>4</v>
      </c>
      <c r="M2828">
        <f>VLOOKUP(D2828,State_Lookup!$A$2:$B$28,2,FALSE)</f>
        <v/>
      </c>
    </row>
    <row r="2829">
      <c r="A2829" t="inlineStr">
        <is>
          <t>41c4425628d692f2d1b59c3c6702429e</t>
        </is>
      </c>
      <c r="B2829" t="inlineStr">
        <is>
          <t>2018-02-13</t>
        </is>
      </c>
      <c r="C2829" t="inlineStr">
        <is>
          <t>2018-02</t>
        </is>
      </c>
      <c r="D2829" t="inlineStr">
        <is>
          <t>PA</t>
        </is>
      </c>
      <c r="E2829" t="inlineStr">
        <is>
          <t>cool_stuff</t>
        </is>
      </c>
      <c r="F2829" t="n">
        <v>1</v>
      </c>
      <c r="G2829" t="n">
        <v>229.99</v>
      </c>
      <c r="H2829" t="n">
        <v>34.06</v>
      </c>
      <c r="I2829" t="inlineStr">
        <is>
          <t>boleto</t>
        </is>
      </c>
      <c r="J2829" t="n">
        <v>29</v>
      </c>
      <c r="K2829" t="inlineStr">
        <is>
          <t>On Time</t>
        </is>
      </c>
      <c r="L2829" t="n">
        <v>4</v>
      </c>
      <c r="M2829">
        <f>VLOOKUP(D2829,State_Lookup!$A$2:$B$28,2,FALSE)</f>
        <v/>
      </c>
    </row>
    <row r="2830">
      <c r="A2830" t="inlineStr">
        <is>
          <t>f9987d1807253fd86a6152d06bcc46a3</t>
        </is>
      </c>
      <c r="B2830" t="inlineStr">
        <is>
          <t>2018-02-13</t>
        </is>
      </c>
      <c r="C2830" t="inlineStr">
        <is>
          <t>2018-02</t>
        </is>
      </c>
      <c r="D2830" t="inlineStr">
        <is>
          <t>SP</t>
        </is>
      </c>
      <c r="E2830" t="inlineStr">
        <is>
          <t>sports_leisure</t>
        </is>
      </c>
      <c r="F2830" t="n">
        <v>1</v>
      </c>
      <c r="G2830" t="n">
        <v>159.99</v>
      </c>
      <c r="H2830" t="n">
        <v>16.88</v>
      </c>
      <c r="I2830" t="inlineStr">
        <is>
          <t>credit_card</t>
        </is>
      </c>
      <c r="J2830" t="n">
        <v>13</v>
      </c>
      <c r="K2830" t="inlineStr">
        <is>
          <t>On Time</t>
        </is>
      </c>
      <c r="L2830" t="n">
        <v>5</v>
      </c>
      <c r="M2830">
        <f>VLOOKUP(D2830,State_Lookup!$A$2:$B$28,2,FALSE)</f>
        <v/>
      </c>
    </row>
    <row r="2831">
      <c r="A2831" t="inlineStr">
        <is>
          <t>b41f51ebf23530b00f69e5602f81a653</t>
        </is>
      </c>
      <c r="B2831" t="inlineStr">
        <is>
          <t>2018-02-13</t>
        </is>
      </c>
      <c r="C2831" t="inlineStr">
        <is>
          <t>2018-02</t>
        </is>
      </c>
      <c r="D2831" t="inlineStr">
        <is>
          <t>SP</t>
        </is>
      </c>
      <c r="E2831" t="inlineStr">
        <is>
          <t>health_beauty</t>
        </is>
      </c>
      <c r="F2831" t="n">
        <v>1</v>
      </c>
      <c r="G2831" t="n">
        <v>180</v>
      </c>
      <c r="H2831" t="n">
        <v>15.01</v>
      </c>
      <c r="I2831" t="inlineStr">
        <is>
          <t>credit_card</t>
        </is>
      </c>
      <c r="J2831" t="n">
        <v>12</v>
      </c>
      <c r="K2831" t="inlineStr">
        <is>
          <t>On Time</t>
        </is>
      </c>
      <c r="L2831" t="n">
        <v>5</v>
      </c>
      <c r="M2831">
        <f>VLOOKUP(D2831,State_Lookup!$A$2:$B$28,2,FALSE)</f>
        <v/>
      </c>
    </row>
    <row r="2832">
      <c r="A2832" t="inlineStr">
        <is>
          <t>40ef39d72e573867de1282d22b03b6be</t>
        </is>
      </c>
      <c r="B2832" t="inlineStr">
        <is>
          <t>2018-02-13</t>
        </is>
      </c>
      <c r="C2832" t="inlineStr">
        <is>
          <t>2018-02</t>
        </is>
      </c>
      <c r="D2832" t="inlineStr">
        <is>
          <t>SP</t>
        </is>
      </c>
      <c r="E2832" t="inlineStr">
        <is>
          <t>bed_bath_table</t>
        </is>
      </c>
      <c r="F2832" t="n">
        <v>1</v>
      </c>
      <c r="G2832" t="n">
        <v>124.9</v>
      </c>
      <c r="H2832" t="n">
        <v>13.89</v>
      </c>
      <c r="I2832" t="inlineStr">
        <is>
          <t>credit_card</t>
        </is>
      </c>
      <c r="J2832" t="n">
        <v>13</v>
      </c>
      <c r="K2832" t="inlineStr">
        <is>
          <t>On Time</t>
        </is>
      </c>
      <c r="L2832" t="n">
        <v>5</v>
      </c>
      <c r="M2832">
        <f>VLOOKUP(D2832,State_Lookup!$A$2:$B$28,2,FALSE)</f>
        <v/>
      </c>
    </row>
    <row r="2833">
      <c r="A2833" t="inlineStr">
        <is>
          <t>dee78f5da82e27d7d397d61769012fe9</t>
        </is>
      </c>
      <c r="B2833" t="inlineStr">
        <is>
          <t>2018-02-13</t>
        </is>
      </c>
      <c r="C2833" t="inlineStr">
        <is>
          <t>2018-02</t>
        </is>
      </c>
      <c r="D2833" t="inlineStr">
        <is>
          <t>SP</t>
        </is>
      </c>
      <c r="E2833" t="inlineStr">
        <is>
          <t>bed_bath_table</t>
        </is>
      </c>
      <c r="F2833" t="n">
        <v>1</v>
      </c>
      <c r="G2833" t="n">
        <v>153</v>
      </c>
      <c r="H2833" t="n">
        <v>16.7</v>
      </c>
      <c r="I2833" t="inlineStr">
        <is>
          <t>credit_card</t>
        </is>
      </c>
      <c r="J2833" t="n">
        <v>8</v>
      </c>
      <c r="K2833" t="inlineStr">
        <is>
          <t>On Time</t>
        </is>
      </c>
      <c r="L2833" t="n">
        <v>5</v>
      </c>
      <c r="M2833">
        <f>VLOOKUP(D2833,State_Lookup!$A$2:$B$28,2,FALSE)</f>
        <v/>
      </c>
    </row>
    <row r="2834">
      <c r="A2834" t="inlineStr">
        <is>
          <t>74482752946085825e5c3270eec7d3a4</t>
        </is>
      </c>
      <c r="B2834" t="inlineStr">
        <is>
          <t>2018-02-13</t>
        </is>
      </c>
      <c r="C2834" t="inlineStr">
        <is>
          <t>2018-02</t>
        </is>
      </c>
      <c r="D2834" t="inlineStr">
        <is>
          <t>MG</t>
        </is>
      </c>
      <c r="E2834" t="inlineStr">
        <is>
          <t>garden_tools</t>
        </is>
      </c>
      <c r="F2834" t="n">
        <v>2</v>
      </c>
      <c r="G2834" t="n">
        <v>99.8</v>
      </c>
      <c r="H2834" t="n">
        <v>35.2</v>
      </c>
      <c r="I2834" t="inlineStr">
        <is>
          <t>credit_card</t>
        </is>
      </c>
      <c r="J2834" t="n">
        <v>13</v>
      </c>
      <c r="K2834" t="inlineStr">
        <is>
          <t>On Time</t>
        </is>
      </c>
      <c r="L2834" t="n">
        <v>4</v>
      </c>
      <c r="M2834">
        <f>VLOOKUP(D2834,State_Lookup!$A$2:$B$28,2,FALSE)</f>
        <v/>
      </c>
    </row>
    <row r="2835">
      <c r="A2835" t="inlineStr">
        <is>
          <t>b743373d6701f25279252a6f98a14977</t>
        </is>
      </c>
      <c r="B2835" t="inlineStr">
        <is>
          <t>2018-02-13</t>
        </is>
      </c>
      <c r="C2835" t="inlineStr">
        <is>
          <t>2018-02</t>
        </is>
      </c>
      <c r="D2835" t="inlineStr">
        <is>
          <t>PR</t>
        </is>
      </c>
      <c r="E2835" t="inlineStr">
        <is>
          <t>baby</t>
        </is>
      </c>
      <c r="F2835" t="n">
        <v>1</v>
      </c>
      <c r="G2835" t="n">
        <v>109.9</v>
      </c>
      <c r="H2835" t="n">
        <v>17.02</v>
      </c>
      <c r="I2835" t="inlineStr">
        <is>
          <t>credit_card</t>
        </is>
      </c>
      <c r="J2835" t="n">
        <v>9</v>
      </c>
      <c r="K2835" t="inlineStr">
        <is>
          <t>On Time</t>
        </is>
      </c>
      <c r="L2835" t="n">
        <v>5</v>
      </c>
      <c r="M2835">
        <f>VLOOKUP(D2835,State_Lookup!$A$2:$B$28,2,FALSE)</f>
        <v/>
      </c>
    </row>
    <row r="2836">
      <c r="A2836" t="inlineStr">
        <is>
          <t>119db78602ec4f8cdb8aa475c1fbf655</t>
        </is>
      </c>
      <c r="B2836" t="inlineStr">
        <is>
          <t>2018-02-13</t>
        </is>
      </c>
      <c r="C2836" t="inlineStr">
        <is>
          <t>2018-02</t>
        </is>
      </c>
      <c r="D2836" t="inlineStr">
        <is>
          <t>GO</t>
        </is>
      </c>
      <c r="E2836" t="inlineStr">
        <is>
          <t>health_beauty</t>
        </is>
      </c>
      <c r="F2836" t="n">
        <v>1</v>
      </c>
      <c r="G2836" t="n">
        <v>199</v>
      </c>
      <c r="H2836" t="n">
        <v>16.14</v>
      </c>
      <c r="I2836" t="inlineStr">
        <is>
          <t>credit_card</t>
        </is>
      </c>
      <c r="J2836" t="n">
        <v>34</v>
      </c>
      <c r="K2836" t="inlineStr">
        <is>
          <t>Late</t>
        </is>
      </c>
      <c r="L2836" t="n">
        <v>1</v>
      </c>
      <c r="M2836">
        <f>VLOOKUP(D2836,State_Lookup!$A$2:$B$28,2,FALSE)</f>
        <v/>
      </c>
    </row>
    <row r="2837">
      <c r="A2837" t="inlineStr">
        <is>
          <t>b143da68f7399622e44dc8229e039413</t>
        </is>
      </c>
      <c r="B2837" t="inlineStr">
        <is>
          <t>2018-02-13</t>
        </is>
      </c>
      <c r="C2837" t="inlineStr">
        <is>
          <t>2018-02</t>
        </is>
      </c>
      <c r="D2837" t="inlineStr">
        <is>
          <t>SP</t>
        </is>
      </c>
      <c r="E2837" t="inlineStr">
        <is>
          <t>toys</t>
        </is>
      </c>
      <c r="F2837" t="n">
        <v>1</v>
      </c>
      <c r="G2837" t="n">
        <v>109</v>
      </c>
      <c r="H2837" t="n">
        <v>16.2</v>
      </c>
      <c r="I2837" t="inlineStr">
        <is>
          <t>credit_card</t>
        </is>
      </c>
      <c r="J2837" t="n">
        <v>8</v>
      </c>
      <c r="K2837" t="inlineStr">
        <is>
          <t>On Time</t>
        </is>
      </c>
      <c r="L2837" t="n">
        <v>3</v>
      </c>
      <c r="M2837">
        <f>VLOOKUP(D2837,State_Lookup!$A$2:$B$28,2,FALSE)</f>
        <v/>
      </c>
    </row>
    <row r="2838">
      <c r="A2838" t="inlineStr">
        <is>
          <t>c0364ee18a0b18e6da5e7754cf4f4e8a</t>
        </is>
      </c>
      <c r="B2838" t="inlineStr">
        <is>
          <t>2018-02-13</t>
        </is>
      </c>
      <c r="C2838" t="inlineStr">
        <is>
          <t>2018-02</t>
        </is>
      </c>
      <c r="D2838" t="inlineStr">
        <is>
          <t>SP</t>
        </is>
      </c>
      <c r="E2838" t="inlineStr">
        <is>
          <t>computers_accessories</t>
        </is>
      </c>
      <c r="F2838" t="n">
        <v>1</v>
      </c>
      <c r="G2838" t="n">
        <v>74.90000000000001</v>
      </c>
      <c r="H2838" t="n">
        <v>12.65</v>
      </c>
      <c r="I2838" t="inlineStr">
        <is>
          <t>credit_card</t>
        </is>
      </c>
      <c r="J2838" t="n">
        <v>13</v>
      </c>
      <c r="K2838" t="inlineStr">
        <is>
          <t>On Time</t>
        </is>
      </c>
      <c r="L2838" t="n">
        <v>5</v>
      </c>
      <c r="M2838">
        <f>VLOOKUP(D2838,State_Lookup!$A$2:$B$28,2,FALSE)</f>
        <v/>
      </c>
    </row>
    <row r="2839">
      <c r="A2839" t="inlineStr">
        <is>
          <t>00276d5c3491fbf55305e26891040df9</t>
        </is>
      </c>
      <c r="B2839" t="inlineStr">
        <is>
          <t>2018-02-13</t>
        </is>
      </c>
      <c r="C2839" t="inlineStr">
        <is>
          <t>2018-02</t>
        </is>
      </c>
      <c r="D2839" t="inlineStr">
        <is>
          <t>PR</t>
        </is>
      </c>
      <c r="E2839" t="inlineStr">
        <is>
          <t>furniture_decor</t>
        </is>
      </c>
      <c r="F2839" t="n">
        <v>1</v>
      </c>
      <c r="G2839" t="n">
        <v>44.9</v>
      </c>
      <c r="H2839" t="n">
        <v>23.22</v>
      </c>
      <c r="I2839" t="inlineStr">
        <is>
          <t>credit_card</t>
        </is>
      </c>
      <c r="J2839" t="n">
        <v>31</v>
      </c>
      <c r="K2839" t="inlineStr">
        <is>
          <t>On Time</t>
        </is>
      </c>
      <c r="L2839" t="n">
        <v>4</v>
      </c>
      <c r="M2839">
        <f>VLOOKUP(D2839,State_Lookup!$A$2:$B$28,2,FALSE)</f>
        <v/>
      </c>
    </row>
    <row r="2840">
      <c r="A2840" t="inlineStr">
        <is>
          <t>f9b9c3c69ef08b6eda32ed086133abb6</t>
        </is>
      </c>
      <c r="B2840" t="inlineStr">
        <is>
          <t>2018-02-14</t>
        </is>
      </c>
      <c r="C2840" t="inlineStr">
        <is>
          <t>2018-02</t>
        </is>
      </c>
      <c r="D2840" t="inlineStr">
        <is>
          <t>SP</t>
        </is>
      </c>
      <c r="E2840" t="inlineStr">
        <is>
          <t>baby</t>
        </is>
      </c>
      <c r="F2840" t="n">
        <v>1</v>
      </c>
      <c r="G2840" t="n">
        <v>48.9</v>
      </c>
      <c r="H2840" t="n">
        <v>9.74</v>
      </c>
      <c r="I2840" t="inlineStr">
        <is>
          <t>credit_card</t>
        </is>
      </c>
      <c r="J2840" t="n">
        <v>5</v>
      </c>
      <c r="K2840" t="inlineStr">
        <is>
          <t>On Time</t>
        </is>
      </c>
      <c r="L2840" t="n">
        <v>5</v>
      </c>
      <c r="M2840">
        <f>VLOOKUP(D2840,State_Lookup!$A$2:$B$28,2,FALSE)</f>
        <v/>
      </c>
    </row>
    <row r="2841">
      <c r="A2841" t="inlineStr">
        <is>
          <t>e358b1e356a4242ef1e60c1a8e8068a8</t>
        </is>
      </c>
      <c r="B2841" t="inlineStr">
        <is>
          <t>2018-02-14</t>
        </is>
      </c>
      <c r="C2841" t="inlineStr">
        <is>
          <t>2018-02</t>
        </is>
      </c>
      <c r="D2841" t="inlineStr">
        <is>
          <t>PR</t>
        </is>
      </c>
      <c r="E2841" t="inlineStr">
        <is>
          <t>housewares</t>
        </is>
      </c>
      <c r="F2841" t="n">
        <v>1</v>
      </c>
      <c r="G2841" t="n">
        <v>73.34</v>
      </c>
      <c r="H2841" t="n">
        <v>77.53</v>
      </c>
      <c r="I2841" t="inlineStr">
        <is>
          <t>debit_card</t>
        </is>
      </c>
      <c r="J2841" t="n">
        <v>16</v>
      </c>
      <c r="K2841" t="inlineStr">
        <is>
          <t>On Time</t>
        </is>
      </c>
      <c r="L2841" t="n">
        <v>5</v>
      </c>
      <c r="M2841">
        <f>VLOOKUP(D2841,State_Lookup!$A$2:$B$28,2,FALSE)</f>
        <v/>
      </c>
    </row>
    <row r="2842">
      <c r="A2842" t="inlineStr">
        <is>
          <t>79b7eb93349ff756b079e5cb0195cd1f</t>
        </is>
      </c>
      <c r="B2842" t="inlineStr">
        <is>
          <t>2018-02-14</t>
        </is>
      </c>
      <c r="C2842" t="inlineStr">
        <is>
          <t>2018-02</t>
        </is>
      </c>
      <c r="D2842" t="inlineStr">
        <is>
          <t>PR</t>
        </is>
      </c>
      <c r="E2842" t="inlineStr">
        <is>
          <t>computers_accessories</t>
        </is>
      </c>
      <c r="F2842" t="n">
        <v>5</v>
      </c>
      <c r="G2842" t="n">
        <v>374.5</v>
      </c>
      <c r="H2842" t="n">
        <v>63.25</v>
      </c>
      <c r="I2842" t="inlineStr">
        <is>
          <t>credit_card</t>
        </is>
      </c>
      <c r="J2842" t="n">
        <v>14</v>
      </c>
      <c r="K2842" t="inlineStr">
        <is>
          <t>On Time</t>
        </is>
      </c>
      <c r="L2842" t="n">
        <v>4</v>
      </c>
      <c r="M2842">
        <f>VLOOKUP(D2842,State_Lookup!$A$2:$B$28,2,FALSE)</f>
        <v/>
      </c>
    </row>
    <row r="2843">
      <c r="A2843" t="inlineStr">
        <is>
          <t>87500eb4c129524a989447f3fb4d5c8d</t>
        </is>
      </c>
      <c r="B2843" t="inlineStr">
        <is>
          <t>2018-02-14</t>
        </is>
      </c>
      <c r="C2843" t="inlineStr">
        <is>
          <t>2018-02</t>
        </is>
      </c>
      <c r="D2843" t="inlineStr">
        <is>
          <t>SP</t>
        </is>
      </c>
      <c r="E2843" t="inlineStr">
        <is>
          <t>bed_bath_table</t>
        </is>
      </c>
      <c r="F2843" t="n">
        <v>1</v>
      </c>
      <c r="G2843" t="n">
        <v>72.90000000000001</v>
      </c>
      <c r="H2843" t="n">
        <v>12.01</v>
      </c>
      <c r="I2843" t="inlineStr">
        <is>
          <t>credit_card</t>
        </is>
      </c>
      <c r="J2843" t="n">
        <v>28</v>
      </c>
      <c r="K2843" t="inlineStr">
        <is>
          <t>Late</t>
        </is>
      </c>
      <c r="L2843" t="n">
        <v>1</v>
      </c>
      <c r="M2843">
        <f>VLOOKUP(D2843,State_Lookup!$A$2:$B$28,2,FALSE)</f>
        <v/>
      </c>
    </row>
    <row r="2844">
      <c r="A2844" t="inlineStr">
        <is>
          <t>bf9550703d5af230399ad5d1080d6683</t>
        </is>
      </c>
      <c r="B2844" t="inlineStr">
        <is>
          <t>2018-02-14</t>
        </is>
      </c>
      <c r="C2844" t="inlineStr">
        <is>
          <t>2018-02</t>
        </is>
      </c>
      <c r="D2844" t="inlineStr">
        <is>
          <t>SP</t>
        </is>
      </c>
      <c r="E2844" t="inlineStr">
        <is>
          <t>furniture_decor</t>
        </is>
      </c>
      <c r="F2844" t="n">
        <v>1</v>
      </c>
      <c r="G2844" t="n">
        <v>107.9</v>
      </c>
      <c r="H2844" t="n">
        <v>13.78</v>
      </c>
      <c r="I2844" t="inlineStr">
        <is>
          <t>credit_card</t>
        </is>
      </c>
      <c r="J2844" t="n">
        <v>9</v>
      </c>
      <c r="K2844" t="inlineStr">
        <is>
          <t>On Time</t>
        </is>
      </c>
      <c r="L2844" t="n">
        <v>5</v>
      </c>
      <c r="M2844">
        <f>VLOOKUP(D2844,State_Lookup!$A$2:$B$28,2,FALSE)</f>
        <v/>
      </c>
    </row>
    <row r="2845">
      <c r="A2845" t="inlineStr">
        <is>
          <t>79164f97a0f684659f0881551ed73a2e</t>
        </is>
      </c>
      <c r="B2845" t="inlineStr">
        <is>
          <t>2018-02-14</t>
        </is>
      </c>
      <c r="C2845" t="inlineStr">
        <is>
          <t>2018-02</t>
        </is>
      </c>
      <c r="D2845" t="inlineStr">
        <is>
          <t>SC</t>
        </is>
      </c>
      <c r="E2845" t="inlineStr">
        <is>
          <t>computers_accessories</t>
        </is>
      </c>
      <c r="F2845" t="n">
        <v>1</v>
      </c>
      <c r="G2845" t="n">
        <v>149.9</v>
      </c>
      <c r="H2845" t="n">
        <v>27.9</v>
      </c>
      <c r="I2845" t="inlineStr">
        <is>
          <t>boleto</t>
        </is>
      </c>
      <c r="J2845" t="n">
        <v>27</v>
      </c>
      <c r="K2845" t="inlineStr">
        <is>
          <t>Late</t>
        </is>
      </c>
      <c r="L2845" t="n">
        <v>3</v>
      </c>
      <c r="M2845">
        <f>VLOOKUP(D2845,State_Lookup!$A$2:$B$28,2,FALSE)</f>
        <v/>
      </c>
    </row>
    <row r="2846">
      <c r="A2846" t="inlineStr">
        <is>
          <t>46b6b021ac3c927cdf04d4d7533e8759</t>
        </is>
      </c>
      <c r="B2846" t="inlineStr">
        <is>
          <t>2018-02-14</t>
        </is>
      </c>
      <c r="C2846" t="inlineStr">
        <is>
          <t>2018-02</t>
        </is>
      </c>
      <c r="D2846" t="inlineStr">
        <is>
          <t>SP</t>
        </is>
      </c>
      <c r="E2846" t="inlineStr">
        <is>
          <t>fashion_bags_accessories</t>
        </is>
      </c>
      <c r="F2846" t="n">
        <v>1</v>
      </c>
      <c r="G2846" t="n">
        <v>35</v>
      </c>
      <c r="H2846" t="n">
        <v>7.78</v>
      </c>
      <c r="I2846" t="inlineStr">
        <is>
          <t>credit_card</t>
        </is>
      </c>
      <c r="J2846" t="n">
        <v>7</v>
      </c>
      <c r="K2846" t="inlineStr">
        <is>
          <t>On Time</t>
        </is>
      </c>
      <c r="L2846" t="n">
        <v>5</v>
      </c>
      <c r="M2846">
        <f>VLOOKUP(D2846,State_Lookup!$A$2:$B$28,2,FALSE)</f>
        <v/>
      </c>
    </row>
    <row r="2847">
      <c r="A2847" t="inlineStr">
        <is>
          <t>2792c2657bcaae781c8261d93fda4937</t>
        </is>
      </c>
      <c r="B2847" t="inlineStr">
        <is>
          <t>2018-02-14</t>
        </is>
      </c>
      <c r="C2847" t="inlineStr">
        <is>
          <t>2018-02</t>
        </is>
      </c>
      <c r="D2847" t="inlineStr">
        <is>
          <t>GO</t>
        </is>
      </c>
      <c r="E2847" t="inlineStr">
        <is>
          <t>health_beauty</t>
        </is>
      </c>
      <c r="F2847" t="n">
        <v>1</v>
      </c>
      <c r="G2847" t="n">
        <v>59.9</v>
      </c>
      <c r="H2847" t="n">
        <v>19.66</v>
      </c>
      <c r="I2847" t="inlineStr">
        <is>
          <t>boleto</t>
        </is>
      </c>
      <c r="J2847" t="n">
        <v>19</v>
      </c>
      <c r="K2847" t="inlineStr">
        <is>
          <t>On Time</t>
        </is>
      </c>
      <c r="L2847" t="n">
        <v>4</v>
      </c>
      <c r="M2847">
        <f>VLOOKUP(D2847,State_Lookup!$A$2:$B$28,2,FALSE)</f>
        <v/>
      </c>
    </row>
    <row r="2848">
      <c r="A2848" t="inlineStr">
        <is>
          <t>746327966e37217c499ecfb3caedf658</t>
        </is>
      </c>
      <c r="B2848" t="inlineStr">
        <is>
          <t>2018-02-14</t>
        </is>
      </c>
      <c r="C2848" t="inlineStr">
        <is>
          <t>2018-02</t>
        </is>
      </c>
      <c r="D2848" t="inlineStr">
        <is>
          <t>PB</t>
        </is>
      </c>
      <c r="E2848" t="inlineStr">
        <is>
          <t>fixed_telephony</t>
        </is>
      </c>
      <c r="F2848" t="n">
        <v>1</v>
      </c>
      <c r="G2848" t="n">
        <v>16.99</v>
      </c>
      <c r="H2848" t="n">
        <v>21.15</v>
      </c>
      <c r="I2848" t="inlineStr">
        <is>
          <t>credit_card</t>
        </is>
      </c>
      <c r="J2848" t="n">
        <v>16</v>
      </c>
      <c r="K2848" t="inlineStr">
        <is>
          <t>On Time</t>
        </is>
      </c>
      <c r="L2848" t="n">
        <v>1</v>
      </c>
      <c r="M2848">
        <f>VLOOKUP(D2848,State_Lookup!$A$2:$B$28,2,FALSE)</f>
        <v/>
      </c>
    </row>
    <row r="2849">
      <c r="A2849" t="inlineStr">
        <is>
          <t>abe5ab54fe457eecba0ede09db8fa0ef</t>
        </is>
      </c>
      <c r="B2849" t="inlineStr">
        <is>
          <t>2018-02-14</t>
        </is>
      </c>
      <c r="C2849" t="inlineStr">
        <is>
          <t>2018-02</t>
        </is>
      </c>
      <c r="D2849" t="inlineStr">
        <is>
          <t>SP</t>
        </is>
      </c>
      <c r="E2849" t="inlineStr">
        <is>
          <t>computers_accessories</t>
        </is>
      </c>
      <c r="F2849" t="n">
        <v>1</v>
      </c>
      <c r="G2849" t="n">
        <v>69.90000000000001</v>
      </c>
      <c r="H2849" t="n">
        <v>12.62</v>
      </c>
      <c r="I2849" t="inlineStr">
        <is>
          <t>credit_card</t>
        </is>
      </c>
      <c r="J2849" t="n">
        <v>18</v>
      </c>
      <c r="K2849" t="inlineStr">
        <is>
          <t>On Time</t>
        </is>
      </c>
      <c r="L2849" t="n">
        <v>4</v>
      </c>
      <c r="M2849">
        <f>VLOOKUP(D2849,State_Lookup!$A$2:$B$28,2,FALSE)</f>
        <v/>
      </c>
    </row>
    <row r="2850">
      <c r="A2850" t="inlineStr">
        <is>
          <t>49fa096844c2241fc5db183cc11bd550</t>
        </is>
      </c>
      <c r="B2850" t="inlineStr">
        <is>
          <t>2018-02-15</t>
        </is>
      </c>
      <c r="C2850" t="inlineStr">
        <is>
          <t>2018-02</t>
        </is>
      </c>
      <c r="D2850" t="inlineStr">
        <is>
          <t>SP</t>
        </is>
      </c>
      <c r="E2850" t="inlineStr">
        <is>
          <t>health_beauty</t>
        </is>
      </c>
      <c r="F2850" t="n">
        <v>1</v>
      </c>
      <c r="G2850" t="n">
        <v>23.99</v>
      </c>
      <c r="H2850" t="n">
        <v>7.78</v>
      </c>
      <c r="I2850" t="inlineStr">
        <is>
          <t>credit_card</t>
        </is>
      </c>
      <c r="J2850" t="n">
        <v>6</v>
      </c>
      <c r="K2850" t="inlineStr">
        <is>
          <t>On Time</t>
        </is>
      </c>
      <c r="L2850" t="n">
        <v>4</v>
      </c>
      <c r="M2850">
        <f>VLOOKUP(D2850,State_Lookup!$A$2:$B$28,2,FALSE)</f>
        <v/>
      </c>
    </row>
    <row r="2851">
      <c r="A2851" t="inlineStr">
        <is>
          <t>21fc1ff2a7ed8b2ec6ff62ac18d7a1b7</t>
        </is>
      </c>
      <c r="B2851" t="inlineStr">
        <is>
          <t>2018-02-15</t>
        </is>
      </c>
      <c r="C2851" t="inlineStr">
        <is>
          <t>2018-02</t>
        </is>
      </c>
      <c r="D2851" t="inlineStr">
        <is>
          <t>PR</t>
        </is>
      </c>
      <c r="E2851" t="inlineStr">
        <is>
          <t>industry_commerce_and_business</t>
        </is>
      </c>
      <c r="F2851" t="n">
        <v>1</v>
      </c>
      <c r="G2851" t="n">
        <v>55</v>
      </c>
      <c r="H2851" t="n">
        <v>16.64</v>
      </c>
      <c r="I2851" t="inlineStr">
        <is>
          <t>credit_card</t>
        </is>
      </c>
      <c r="J2851" t="n">
        <v>18</v>
      </c>
      <c r="K2851" t="inlineStr">
        <is>
          <t>On Time</t>
        </is>
      </c>
      <c r="L2851" t="n">
        <v>5</v>
      </c>
      <c r="M2851">
        <f>VLOOKUP(D2851,State_Lookup!$A$2:$B$28,2,FALSE)</f>
        <v/>
      </c>
    </row>
    <row r="2852">
      <c r="A2852" t="inlineStr">
        <is>
          <t>076ae5516316ecf9f17dc3cc78437eac</t>
        </is>
      </c>
      <c r="B2852" t="inlineStr">
        <is>
          <t>2018-02-15</t>
        </is>
      </c>
      <c r="C2852" t="inlineStr">
        <is>
          <t>2018-02</t>
        </is>
      </c>
      <c r="D2852" t="inlineStr">
        <is>
          <t>BA</t>
        </is>
      </c>
      <c r="E2852" t="inlineStr">
        <is>
          <t>auto</t>
        </is>
      </c>
      <c r="F2852" t="n">
        <v>1</v>
      </c>
      <c r="G2852" t="n">
        <v>27.9</v>
      </c>
      <c r="H2852" t="n">
        <v>16.79</v>
      </c>
      <c r="I2852" t="inlineStr">
        <is>
          <t>credit_card</t>
        </is>
      </c>
      <c r="J2852" t="n">
        <v>15</v>
      </c>
      <c r="K2852" t="inlineStr">
        <is>
          <t>On Time</t>
        </is>
      </c>
      <c r="L2852" t="n">
        <v>4</v>
      </c>
      <c r="M2852">
        <f>VLOOKUP(D2852,State_Lookup!$A$2:$B$28,2,FALSE)</f>
        <v/>
      </c>
    </row>
    <row r="2853">
      <c r="A2853" t="inlineStr">
        <is>
          <t>46bdbe48b6f5daa3dcc38e41599d0403</t>
        </is>
      </c>
      <c r="B2853" t="inlineStr">
        <is>
          <t>2018-02-15</t>
        </is>
      </c>
      <c r="C2853" t="inlineStr">
        <is>
          <t>2018-02</t>
        </is>
      </c>
      <c r="D2853" t="inlineStr">
        <is>
          <t>PR</t>
        </is>
      </c>
      <c r="E2853" t="inlineStr">
        <is>
          <t>furniture_decor</t>
        </is>
      </c>
      <c r="F2853" t="n">
        <v>1</v>
      </c>
      <c r="G2853" t="n">
        <v>48.9</v>
      </c>
      <c r="H2853" t="n">
        <v>15.1</v>
      </c>
      <c r="I2853" t="inlineStr">
        <is>
          <t>credit_card</t>
        </is>
      </c>
      <c r="J2853" t="n">
        <v>7</v>
      </c>
      <c r="K2853" t="inlineStr">
        <is>
          <t>On Time</t>
        </is>
      </c>
      <c r="L2853" t="n">
        <v>4</v>
      </c>
      <c r="M2853">
        <f>VLOOKUP(D2853,State_Lookup!$A$2:$B$28,2,FALSE)</f>
        <v/>
      </c>
    </row>
    <row r="2854">
      <c r="A2854" t="inlineStr">
        <is>
          <t>b6dd6ea76331ce0249dae4167d1ca9d9</t>
        </is>
      </c>
      <c r="B2854" t="inlineStr">
        <is>
          <t>2018-02-15</t>
        </is>
      </c>
      <c r="C2854" t="inlineStr">
        <is>
          <t>2018-02</t>
        </is>
      </c>
      <c r="D2854" t="inlineStr">
        <is>
          <t>SP</t>
        </is>
      </c>
      <c r="E2854" t="inlineStr">
        <is>
          <t>sports_leisure</t>
        </is>
      </c>
      <c r="F2854" t="n">
        <v>1</v>
      </c>
      <c r="G2854" t="n">
        <v>28.7</v>
      </c>
      <c r="H2854" t="n">
        <v>14.1</v>
      </c>
      <c r="I2854" t="inlineStr">
        <is>
          <t>boleto</t>
        </is>
      </c>
      <c r="J2854" t="n">
        <v>11</v>
      </c>
      <c r="K2854" t="inlineStr">
        <is>
          <t>On Time</t>
        </is>
      </c>
      <c r="L2854" t="n">
        <v>4</v>
      </c>
      <c r="M2854">
        <f>VLOOKUP(D2854,State_Lookup!$A$2:$B$28,2,FALSE)</f>
        <v/>
      </c>
    </row>
    <row r="2855">
      <c r="A2855" t="inlineStr">
        <is>
          <t>424082e645209b3418f1b60266c28976</t>
        </is>
      </c>
      <c r="B2855" t="inlineStr">
        <is>
          <t>2018-02-15</t>
        </is>
      </c>
      <c r="C2855" t="inlineStr">
        <is>
          <t>2018-02</t>
        </is>
      </c>
      <c r="D2855" t="inlineStr">
        <is>
          <t>RS</t>
        </is>
      </c>
      <c r="E2855" t="inlineStr">
        <is>
          <t>unknown</t>
        </is>
      </c>
      <c r="F2855" t="n">
        <v>1</v>
      </c>
      <c r="G2855" t="n">
        <v>227.88</v>
      </c>
      <c r="H2855" t="n">
        <v>59.22</v>
      </c>
      <c r="I2855" t="inlineStr">
        <is>
          <t>credit_card</t>
        </is>
      </c>
      <c r="J2855" t="n">
        <v>26</v>
      </c>
      <c r="K2855" t="inlineStr">
        <is>
          <t>On Time</t>
        </is>
      </c>
      <c r="L2855" t="n">
        <v>5</v>
      </c>
      <c r="M2855">
        <f>VLOOKUP(D2855,State_Lookup!$A$2:$B$28,2,FALSE)</f>
        <v/>
      </c>
    </row>
    <row r="2856">
      <c r="A2856" t="inlineStr">
        <is>
          <t>784a19dd0d5ab3f6d2c970c3d5210215</t>
        </is>
      </c>
      <c r="B2856" t="inlineStr">
        <is>
          <t>2018-02-15</t>
        </is>
      </c>
      <c r="C2856" t="inlineStr">
        <is>
          <t>2018-02</t>
        </is>
      </c>
      <c r="D2856" t="inlineStr">
        <is>
          <t>MG</t>
        </is>
      </c>
      <c r="E2856" t="inlineStr">
        <is>
          <t>unknown</t>
        </is>
      </c>
      <c r="F2856" t="n">
        <v>1</v>
      </c>
      <c r="G2856" t="n">
        <v>145.9</v>
      </c>
      <c r="H2856" t="n">
        <v>28.4</v>
      </c>
      <c r="I2856" t="inlineStr">
        <is>
          <t>credit_card</t>
        </is>
      </c>
      <c r="J2856" t="n">
        <v>5</v>
      </c>
      <c r="K2856" t="inlineStr">
        <is>
          <t>On Time</t>
        </is>
      </c>
      <c r="L2856" t="n">
        <v>5</v>
      </c>
      <c r="M2856">
        <f>VLOOKUP(D2856,State_Lookup!$A$2:$B$28,2,FALSE)</f>
        <v/>
      </c>
    </row>
    <row r="2857">
      <c r="A2857" t="inlineStr">
        <is>
          <t>845a41eded3c6992c0d8ac505c7475fb</t>
        </is>
      </c>
      <c r="B2857" t="inlineStr">
        <is>
          <t>2018-02-15</t>
        </is>
      </c>
      <c r="C2857" t="inlineStr">
        <is>
          <t>2018-02</t>
        </is>
      </c>
      <c r="D2857" t="inlineStr">
        <is>
          <t>SP</t>
        </is>
      </c>
      <c r="E2857" t="inlineStr">
        <is>
          <t>toys</t>
        </is>
      </c>
      <c r="F2857" t="n">
        <v>2</v>
      </c>
      <c r="G2857" t="n">
        <v>119.98</v>
      </c>
      <c r="H2857" t="n">
        <v>17.44</v>
      </c>
      <c r="I2857" t="inlineStr">
        <is>
          <t>credit_card</t>
        </is>
      </c>
      <c r="J2857" t="n">
        <v>4</v>
      </c>
      <c r="K2857" t="inlineStr">
        <is>
          <t>On Time</t>
        </is>
      </c>
      <c r="L2857" t="n">
        <v>1</v>
      </c>
      <c r="M2857">
        <f>VLOOKUP(D2857,State_Lookup!$A$2:$B$28,2,FALSE)</f>
        <v/>
      </c>
    </row>
    <row r="2858">
      <c r="A2858" t="inlineStr">
        <is>
          <t>02c8875e5351540e76019fb7429e163f</t>
        </is>
      </c>
      <c r="B2858" t="inlineStr">
        <is>
          <t>2018-02-15</t>
        </is>
      </c>
      <c r="C2858" t="inlineStr">
        <is>
          <t>2018-02</t>
        </is>
      </c>
      <c r="D2858" t="inlineStr">
        <is>
          <t>SP</t>
        </is>
      </c>
      <c r="E2858" t="inlineStr">
        <is>
          <t>electronics</t>
        </is>
      </c>
      <c r="F2858" t="n">
        <v>1</v>
      </c>
      <c r="G2858" t="n">
        <v>9</v>
      </c>
      <c r="H2858" t="n">
        <v>7.78</v>
      </c>
      <c r="I2858" t="inlineStr">
        <is>
          <t>credit_card</t>
        </is>
      </c>
      <c r="J2858" t="n">
        <v>7</v>
      </c>
      <c r="K2858" t="inlineStr">
        <is>
          <t>On Time</t>
        </is>
      </c>
      <c r="L2858" t="n">
        <v>4</v>
      </c>
      <c r="M2858">
        <f>VLOOKUP(D2858,State_Lookup!$A$2:$B$28,2,FALSE)</f>
        <v/>
      </c>
    </row>
    <row r="2859">
      <c r="A2859" t="inlineStr">
        <is>
          <t>63099b1ba1729612750a8903f7be76d5</t>
        </is>
      </c>
      <c r="B2859" t="inlineStr">
        <is>
          <t>2018-02-16</t>
        </is>
      </c>
      <c r="C2859" t="inlineStr">
        <is>
          <t>2018-02</t>
        </is>
      </c>
      <c r="D2859" t="inlineStr">
        <is>
          <t>DF</t>
        </is>
      </c>
      <c r="E2859" t="inlineStr">
        <is>
          <t>sports_leisure</t>
        </is>
      </c>
      <c r="F2859" t="n">
        <v>1</v>
      </c>
      <c r="G2859" t="n">
        <v>120</v>
      </c>
      <c r="H2859" t="n">
        <v>14.59</v>
      </c>
      <c r="I2859" t="inlineStr">
        <is>
          <t>credit_card</t>
        </is>
      </c>
      <c r="J2859" t="n">
        <v>17</v>
      </c>
      <c r="K2859" t="inlineStr">
        <is>
          <t>On Time</t>
        </is>
      </c>
      <c r="L2859" t="n">
        <v>4</v>
      </c>
      <c r="M2859">
        <f>VLOOKUP(D2859,State_Lookup!$A$2:$B$28,2,FALSE)</f>
        <v/>
      </c>
    </row>
    <row r="2860">
      <c r="A2860" t="inlineStr">
        <is>
          <t>cdeec5de39a62045ad7edd0f00cc8858</t>
        </is>
      </c>
      <c r="B2860" t="inlineStr">
        <is>
          <t>2018-02-16</t>
        </is>
      </c>
      <c r="C2860" t="inlineStr">
        <is>
          <t>2018-02</t>
        </is>
      </c>
      <c r="D2860" t="inlineStr">
        <is>
          <t>RJ</t>
        </is>
      </c>
      <c r="E2860" t="inlineStr">
        <is>
          <t>computers_accessories</t>
        </is>
      </c>
      <c r="F2860" t="n">
        <v>1</v>
      </c>
      <c r="G2860" t="n">
        <v>45.22</v>
      </c>
      <c r="H2860" t="n">
        <v>18.89</v>
      </c>
      <c r="I2860" t="inlineStr">
        <is>
          <t>credit_card</t>
        </is>
      </c>
      <c r="J2860" t="n">
        <v>59</v>
      </c>
      <c r="K2860" t="inlineStr">
        <is>
          <t>Late</t>
        </is>
      </c>
      <c r="L2860" t="n">
        <v>1</v>
      </c>
      <c r="M2860">
        <f>VLOOKUP(D2860,State_Lookup!$A$2:$B$28,2,FALSE)</f>
        <v/>
      </c>
    </row>
    <row r="2861">
      <c r="A2861" t="inlineStr">
        <is>
          <t>db7a9e1d2cbac54cc7ead44f1ae8535c</t>
        </is>
      </c>
      <c r="B2861" t="inlineStr">
        <is>
          <t>2018-02-16</t>
        </is>
      </c>
      <c r="C2861" t="inlineStr">
        <is>
          <t>2018-02</t>
        </is>
      </c>
      <c r="D2861" t="inlineStr">
        <is>
          <t>SP</t>
        </is>
      </c>
      <c r="E2861" t="inlineStr">
        <is>
          <t>cool_stuff</t>
        </is>
      </c>
      <c r="F2861" t="n">
        <v>1</v>
      </c>
      <c r="G2861" t="n">
        <v>176.99</v>
      </c>
      <c r="H2861" t="n">
        <v>15.99</v>
      </c>
      <c r="I2861" t="inlineStr">
        <is>
          <t>credit_card</t>
        </is>
      </c>
      <c r="J2861" t="n">
        <v>4</v>
      </c>
      <c r="K2861" t="inlineStr">
        <is>
          <t>On Time</t>
        </is>
      </c>
      <c r="L2861" t="n">
        <v>3</v>
      </c>
      <c r="M2861">
        <f>VLOOKUP(D2861,State_Lookup!$A$2:$B$28,2,FALSE)</f>
        <v/>
      </c>
    </row>
    <row r="2862">
      <c r="A2862" t="inlineStr">
        <is>
          <t>ceb9cfd5bb1caf536006196e9469e396</t>
        </is>
      </c>
      <c r="B2862" t="inlineStr">
        <is>
          <t>2018-02-16</t>
        </is>
      </c>
      <c r="C2862" t="inlineStr">
        <is>
          <t>2018-02</t>
        </is>
      </c>
      <c r="D2862" t="inlineStr">
        <is>
          <t>MG</t>
        </is>
      </c>
      <c r="E2862" t="inlineStr">
        <is>
          <t>furniture_decor</t>
        </is>
      </c>
      <c r="F2862" t="n">
        <v>1</v>
      </c>
      <c r="G2862" t="n">
        <v>249.9</v>
      </c>
      <c r="H2862" t="n">
        <v>41.53</v>
      </c>
      <c r="I2862" t="inlineStr">
        <is>
          <t>credit_card</t>
        </is>
      </c>
      <c r="J2862" t="n">
        <v>11</v>
      </c>
      <c r="K2862" t="inlineStr">
        <is>
          <t>On Time</t>
        </is>
      </c>
      <c r="L2862" t="n">
        <v>5</v>
      </c>
      <c r="M2862">
        <f>VLOOKUP(D2862,State_Lookup!$A$2:$B$28,2,FALSE)</f>
        <v/>
      </c>
    </row>
    <row r="2863">
      <c r="A2863" t="inlineStr">
        <is>
          <t>0275c0ac1928093069b95bb67cba52d8</t>
        </is>
      </c>
      <c r="B2863" t="inlineStr">
        <is>
          <t>2018-02-16</t>
        </is>
      </c>
      <c r="C2863" t="inlineStr">
        <is>
          <t>2018-02</t>
        </is>
      </c>
      <c r="D2863" t="inlineStr">
        <is>
          <t>BA</t>
        </is>
      </c>
      <c r="E2863" t="inlineStr">
        <is>
          <t>bed_bath_table</t>
        </is>
      </c>
      <c r="F2863" t="n">
        <v>1</v>
      </c>
      <c r="G2863" t="n">
        <v>49.8</v>
      </c>
      <c r="H2863" t="n">
        <v>16.79</v>
      </c>
      <c r="I2863" t="inlineStr">
        <is>
          <t>credit_card</t>
        </is>
      </c>
      <c r="J2863" t="n">
        <v>25</v>
      </c>
      <c r="K2863" t="inlineStr">
        <is>
          <t>On Time</t>
        </is>
      </c>
      <c r="L2863" t="n">
        <v>5</v>
      </c>
      <c r="M2863">
        <f>VLOOKUP(D2863,State_Lookup!$A$2:$B$28,2,FALSE)</f>
        <v/>
      </c>
    </row>
    <row r="2864">
      <c r="A2864" t="inlineStr">
        <is>
          <t>202e894238874491c6d7ab51da37d94c</t>
        </is>
      </c>
      <c r="B2864" t="inlineStr">
        <is>
          <t>2018-02-16</t>
        </is>
      </c>
      <c r="C2864" t="inlineStr">
        <is>
          <t>2018-02</t>
        </is>
      </c>
      <c r="D2864" t="inlineStr">
        <is>
          <t>SP</t>
        </is>
      </c>
      <c r="E2864" t="inlineStr">
        <is>
          <t>baby</t>
        </is>
      </c>
      <c r="F2864" t="n">
        <v>1</v>
      </c>
      <c r="G2864" t="n">
        <v>979</v>
      </c>
      <c r="H2864" t="n">
        <v>78.2</v>
      </c>
      <c r="I2864" t="inlineStr">
        <is>
          <t>credit_card</t>
        </is>
      </c>
      <c r="J2864" t="n">
        <v>38</v>
      </c>
      <c r="K2864" t="inlineStr">
        <is>
          <t>Late</t>
        </is>
      </c>
      <c r="L2864" t="n">
        <v>1</v>
      </c>
      <c r="M2864">
        <f>VLOOKUP(D2864,State_Lookup!$A$2:$B$28,2,FALSE)</f>
        <v/>
      </c>
    </row>
    <row r="2865">
      <c r="A2865" t="inlineStr">
        <is>
          <t>a2f1b733d3d3cb7185e9661387534161</t>
        </is>
      </c>
      <c r="B2865" t="inlineStr">
        <is>
          <t>2018-02-16</t>
        </is>
      </c>
      <c r="C2865" t="inlineStr">
        <is>
          <t>2018-02</t>
        </is>
      </c>
      <c r="D2865" t="inlineStr">
        <is>
          <t>SP</t>
        </is>
      </c>
      <c r="E2865" t="inlineStr">
        <is>
          <t>computers_accessories</t>
        </is>
      </c>
      <c r="F2865" t="n">
        <v>2</v>
      </c>
      <c r="G2865" t="n">
        <v>170.9</v>
      </c>
      <c r="H2865" t="n">
        <v>25.46</v>
      </c>
      <c r="I2865" t="inlineStr">
        <is>
          <t>credit_card</t>
        </is>
      </c>
      <c r="J2865" t="n">
        <v>11</v>
      </c>
      <c r="K2865" t="inlineStr">
        <is>
          <t>On Time</t>
        </is>
      </c>
      <c r="L2865" t="n">
        <v>1</v>
      </c>
      <c r="M2865">
        <f>VLOOKUP(D2865,State_Lookup!$A$2:$B$28,2,FALSE)</f>
        <v/>
      </c>
    </row>
    <row r="2866">
      <c r="A2866" t="inlineStr">
        <is>
          <t>bd8de0e9e67e7b99e86ed5f18b600577</t>
        </is>
      </c>
      <c r="B2866" t="inlineStr">
        <is>
          <t>2018-02-16</t>
        </is>
      </c>
      <c r="C2866" t="inlineStr">
        <is>
          <t>2018-02</t>
        </is>
      </c>
      <c r="D2866" t="inlineStr">
        <is>
          <t>PE</t>
        </is>
      </c>
      <c r="E2866" t="inlineStr">
        <is>
          <t>telephony</t>
        </is>
      </c>
      <c r="F2866" t="n">
        <v>1</v>
      </c>
      <c r="G2866" t="n">
        <v>219</v>
      </c>
      <c r="H2866" t="n">
        <v>43.56</v>
      </c>
      <c r="I2866" t="inlineStr">
        <is>
          <t>credit_card</t>
        </is>
      </c>
      <c r="J2866" t="n">
        <v>23</v>
      </c>
      <c r="K2866" t="inlineStr">
        <is>
          <t>On Time</t>
        </is>
      </c>
      <c r="L2866" t="n">
        <v>5</v>
      </c>
      <c r="M2866">
        <f>VLOOKUP(D2866,State_Lookup!$A$2:$B$28,2,FALSE)</f>
        <v/>
      </c>
    </row>
    <row r="2867">
      <c r="A2867" t="inlineStr">
        <is>
          <t>d73caf75e86f5410db52767cb6784b5a</t>
        </is>
      </c>
      <c r="B2867" t="inlineStr">
        <is>
          <t>2018-02-16</t>
        </is>
      </c>
      <c r="C2867" t="inlineStr">
        <is>
          <t>2018-02</t>
        </is>
      </c>
      <c r="D2867" t="inlineStr">
        <is>
          <t>RJ</t>
        </is>
      </c>
      <c r="E2867" t="inlineStr">
        <is>
          <t>electronics</t>
        </is>
      </c>
      <c r="F2867" t="n">
        <v>1</v>
      </c>
      <c r="G2867" t="n">
        <v>21.9</v>
      </c>
      <c r="H2867" t="n">
        <v>14.1</v>
      </c>
      <c r="I2867" t="inlineStr">
        <is>
          <t>credit_card</t>
        </is>
      </c>
      <c r="J2867" t="n">
        <v>10</v>
      </c>
      <c r="K2867" t="inlineStr">
        <is>
          <t>On Time</t>
        </is>
      </c>
      <c r="L2867" t="n">
        <v>5</v>
      </c>
      <c r="M2867">
        <f>VLOOKUP(D2867,State_Lookup!$A$2:$B$28,2,FALSE)</f>
        <v/>
      </c>
    </row>
    <row r="2868">
      <c r="A2868" t="inlineStr">
        <is>
          <t>462f9cc53b515876d85050cb79dabf3c</t>
        </is>
      </c>
      <c r="B2868" t="inlineStr">
        <is>
          <t>2018-02-16</t>
        </is>
      </c>
      <c r="C2868" t="inlineStr">
        <is>
          <t>2018-02</t>
        </is>
      </c>
      <c r="D2868" t="inlineStr">
        <is>
          <t>SC</t>
        </is>
      </c>
      <c r="E2868" t="inlineStr">
        <is>
          <t>garden_tools</t>
        </is>
      </c>
      <c r="F2868" t="n">
        <v>1</v>
      </c>
      <c r="G2868" t="n">
        <v>229</v>
      </c>
      <c r="H2868" t="n">
        <v>15.47</v>
      </c>
      <c r="I2868" t="inlineStr">
        <is>
          <t>credit_card</t>
        </is>
      </c>
      <c r="J2868" t="n">
        <v>4</v>
      </c>
      <c r="K2868" t="inlineStr">
        <is>
          <t>On Time</t>
        </is>
      </c>
      <c r="L2868" t="n">
        <v>4</v>
      </c>
      <c r="M2868">
        <f>VLOOKUP(D2868,State_Lookup!$A$2:$B$28,2,FALSE)</f>
        <v/>
      </c>
    </row>
    <row r="2869">
      <c r="A2869" t="inlineStr">
        <is>
          <t>60f57fe756bf90250589634133afea3a</t>
        </is>
      </c>
      <c r="B2869" t="inlineStr">
        <is>
          <t>2018-02-16</t>
        </is>
      </c>
      <c r="C2869" t="inlineStr">
        <is>
          <t>2018-02</t>
        </is>
      </c>
      <c r="D2869" t="inlineStr">
        <is>
          <t>SP</t>
        </is>
      </c>
      <c r="E2869" t="inlineStr">
        <is>
          <t>telephony</t>
        </is>
      </c>
      <c r="F2869" t="n">
        <v>1</v>
      </c>
      <c r="G2869" t="n">
        <v>24.99</v>
      </c>
      <c r="H2869" t="n">
        <v>7.78</v>
      </c>
      <c r="I2869" t="inlineStr">
        <is>
          <t>credit_card</t>
        </is>
      </c>
      <c r="J2869" t="n">
        <v>27</v>
      </c>
      <c r="K2869" t="inlineStr">
        <is>
          <t>Late</t>
        </is>
      </c>
      <c r="L2869" t="n">
        <v>3</v>
      </c>
      <c r="M2869">
        <f>VLOOKUP(D2869,State_Lookup!$A$2:$B$28,2,FALSE)</f>
        <v/>
      </c>
    </row>
    <row r="2870">
      <c r="A2870" t="inlineStr">
        <is>
          <t>9293a0b9f66eb89c45d984173b2f3999</t>
        </is>
      </c>
      <c r="B2870" t="inlineStr">
        <is>
          <t>2018-02-16</t>
        </is>
      </c>
      <c r="C2870" t="inlineStr">
        <is>
          <t>2018-02</t>
        </is>
      </c>
      <c r="D2870" t="inlineStr">
        <is>
          <t>MG</t>
        </is>
      </c>
      <c r="E2870" t="inlineStr">
        <is>
          <t>computers_accessories</t>
        </is>
      </c>
      <c r="F2870" t="n">
        <v>2</v>
      </c>
      <c r="G2870" t="n">
        <v>189.9</v>
      </c>
      <c r="H2870" t="n">
        <v>53.21</v>
      </c>
      <c r="I2870" t="inlineStr">
        <is>
          <t>boleto</t>
        </is>
      </c>
      <c r="J2870" t="n">
        <v>18</v>
      </c>
      <c r="K2870" t="inlineStr">
        <is>
          <t>On Time</t>
        </is>
      </c>
      <c r="L2870" t="n">
        <v>4</v>
      </c>
      <c r="M2870">
        <f>VLOOKUP(D2870,State_Lookup!$A$2:$B$28,2,FALSE)</f>
        <v/>
      </c>
    </row>
    <row r="2871">
      <c r="A2871" t="inlineStr">
        <is>
          <t>2fe3cac4410271c6297a141898af28f0</t>
        </is>
      </c>
      <c r="B2871" t="inlineStr">
        <is>
          <t>2018-02-17</t>
        </is>
      </c>
      <c r="C2871" t="inlineStr">
        <is>
          <t>2018-02</t>
        </is>
      </c>
      <c r="D2871" t="inlineStr">
        <is>
          <t>RJ</t>
        </is>
      </c>
      <c r="E2871" t="inlineStr">
        <is>
          <t>furniture_decor</t>
        </is>
      </c>
      <c r="F2871" t="n">
        <v>1</v>
      </c>
      <c r="G2871" t="n">
        <v>79.98999999999999</v>
      </c>
      <c r="H2871" t="n">
        <v>17.81</v>
      </c>
      <c r="I2871" t="inlineStr">
        <is>
          <t>credit_card</t>
        </is>
      </c>
      <c r="J2871" t="n">
        <v>65</v>
      </c>
      <c r="K2871" t="inlineStr">
        <is>
          <t>Late</t>
        </is>
      </c>
      <c r="L2871" t="n">
        <v>1</v>
      </c>
      <c r="M2871">
        <f>VLOOKUP(D2871,State_Lookup!$A$2:$B$28,2,FALSE)</f>
        <v/>
      </c>
    </row>
    <row r="2872">
      <c r="A2872" t="inlineStr">
        <is>
          <t>53cc826fc95813b674969ef042406273</t>
        </is>
      </c>
      <c r="B2872" t="inlineStr">
        <is>
          <t>2018-02-17</t>
        </is>
      </c>
      <c r="C2872" t="inlineStr">
        <is>
          <t>2018-02</t>
        </is>
      </c>
      <c r="D2872" t="inlineStr">
        <is>
          <t>SP</t>
        </is>
      </c>
      <c r="E2872" t="inlineStr">
        <is>
          <t>housewares</t>
        </is>
      </c>
      <c r="F2872" t="n">
        <v>1</v>
      </c>
      <c r="G2872" t="n">
        <v>58.9</v>
      </c>
      <c r="H2872" t="n">
        <v>14.13</v>
      </c>
      <c r="I2872" t="inlineStr">
        <is>
          <t>credit_card</t>
        </is>
      </c>
      <c r="J2872" t="n">
        <v>4</v>
      </c>
      <c r="K2872" t="inlineStr">
        <is>
          <t>On Time</t>
        </is>
      </c>
      <c r="L2872" t="n">
        <v>5</v>
      </c>
      <c r="M2872">
        <f>VLOOKUP(D2872,State_Lookup!$A$2:$B$28,2,FALSE)</f>
        <v/>
      </c>
    </row>
    <row r="2873">
      <c r="A2873" t="inlineStr">
        <is>
          <t>636cdd02667dc8d76d9296bf20a6890a</t>
        </is>
      </c>
      <c r="B2873" t="inlineStr">
        <is>
          <t>2018-02-17</t>
        </is>
      </c>
      <c r="C2873" t="inlineStr">
        <is>
          <t>2018-02</t>
        </is>
      </c>
      <c r="D2873" t="inlineStr">
        <is>
          <t>SP</t>
        </is>
      </c>
      <c r="E2873" t="inlineStr">
        <is>
          <t>garden_tools</t>
        </is>
      </c>
      <c r="F2873" t="n">
        <v>1</v>
      </c>
      <c r="G2873" t="n">
        <v>179</v>
      </c>
      <c r="H2873" t="n">
        <v>45.71</v>
      </c>
      <c r="I2873" t="inlineStr">
        <is>
          <t>boleto</t>
        </is>
      </c>
      <c r="J2873" t="inlineStr"/>
      <c r="K2873" t="inlineStr">
        <is>
          <t>Not Delivered</t>
        </is>
      </c>
      <c r="L2873" t="n">
        <v>1</v>
      </c>
      <c r="M2873">
        <f>VLOOKUP(D2873,State_Lookup!$A$2:$B$28,2,FALSE)</f>
        <v/>
      </c>
    </row>
    <row r="2874">
      <c r="A2874" t="inlineStr">
        <is>
          <t>2af0498329b50fd808f047d738bf0f39</t>
        </is>
      </c>
      <c r="B2874" t="inlineStr">
        <is>
          <t>2018-02-17</t>
        </is>
      </c>
      <c r="C2874" t="inlineStr">
        <is>
          <t>2018-02</t>
        </is>
      </c>
      <c r="D2874" t="inlineStr">
        <is>
          <t>BA</t>
        </is>
      </c>
      <c r="E2874" t="inlineStr">
        <is>
          <t>telephony</t>
        </is>
      </c>
      <c r="F2874" t="n">
        <v>1</v>
      </c>
      <c r="G2874" t="n">
        <v>29.99</v>
      </c>
      <c r="H2874" t="n">
        <v>16.79</v>
      </c>
      <c r="I2874" t="inlineStr">
        <is>
          <t>credit_card</t>
        </is>
      </c>
      <c r="J2874" t="n">
        <v>18</v>
      </c>
      <c r="K2874" t="inlineStr">
        <is>
          <t>On Time</t>
        </is>
      </c>
      <c r="L2874" t="n">
        <v>5</v>
      </c>
      <c r="M2874">
        <f>VLOOKUP(D2874,State_Lookup!$A$2:$B$28,2,FALSE)</f>
        <v/>
      </c>
    </row>
    <row r="2875">
      <c r="A2875" t="inlineStr">
        <is>
          <t>a7d6efcf25cbcbce23dbef446eb827d6</t>
        </is>
      </c>
      <c r="B2875" t="inlineStr">
        <is>
          <t>2018-02-17</t>
        </is>
      </c>
      <c r="C2875" t="inlineStr">
        <is>
          <t>2018-02</t>
        </is>
      </c>
      <c r="D2875" t="inlineStr">
        <is>
          <t>PR</t>
        </is>
      </c>
      <c r="E2875" t="inlineStr">
        <is>
          <t>housewares</t>
        </is>
      </c>
      <c r="F2875" t="n">
        <v>1</v>
      </c>
      <c r="G2875" t="n">
        <v>97</v>
      </c>
      <c r="H2875" t="n">
        <v>16.44</v>
      </c>
      <c r="I2875" t="inlineStr">
        <is>
          <t>boleto</t>
        </is>
      </c>
      <c r="J2875" t="n">
        <v>38</v>
      </c>
      <c r="K2875" t="inlineStr">
        <is>
          <t>Late</t>
        </is>
      </c>
      <c r="L2875" t="n">
        <v>1</v>
      </c>
      <c r="M2875">
        <f>VLOOKUP(D2875,State_Lookup!$A$2:$B$28,2,FALSE)</f>
        <v/>
      </c>
    </row>
    <row r="2876">
      <c r="A2876" t="inlineStr">
        <is>
          <t>4f0a2c058df62bfe77f0e0e1e1ca66eb</t>
        </is>
      </c>
      <c r="B2876" t="inlineStr">
        <is>
          <t>2018-02-17</t>
        </is>
      </c>
      <c r="C2876" t="inlineStr">
        <is>
          <t>2018-02</t>
        </is>
      </c>
      <c r="D2876" t="inlineStr">
        <is>
          <t>SP</t>
        </is>
      </c>
      <c r="E2876" t="inlineStr">
        <is>
          <t>housewares</t>
        </is>
      </c>
      <c r="F2876" t="n">
        <v>1</v>
      </c>
      <c r="G2876" t="n">
        <v>120</v>
      </c>
      <c r="H2876" t="n">
        <v>17.55</v>
      </c>
      <c r="I2876" t="inlineStr">
        <is>
          <t>credit_card</t>
        </is>
      </c>
      <c r="J2876" t="n">
        <v>16</v>
      </c>
      <c r="K2876" t="inlineStr">
        <is>
          <t>On Time</t>
        </is>
      </c>
      <c r="L2876" t="n">
        <v>3</v>
      </c>
      <c r="M2876">
        <f>VLOOKUP(D2876,State_Lookup!$A$2:$B$28,2,FALSE)</f>
        <v/>
      </c>
    </row>
    <row r="2877">
      <c r="A2877" t="inlineStr">
        <is>
          <t>3ff79cc8f927df012dd6b1b823632745</t>
        </is>
      </c>
      <c r="B2877" t="inlineStr">
        <is>
          <t>2018-02-17</t>
        </is>
      </c>
      <c r="C2877" t="inlineStr">
        <is>
          <t>2018-02</t>
        </is>
      </c>
      <c r="D2877" t="inlineStr">
        <is>
          <t>SP</t>
        </is>
      </c>
      <c r="E2877" t="inlineStr">
        <is>
          <t>bed_bath_table</t>
        </is>
      </c>
      <c r="F2877" t="n">
        <v>1</v>
      </c>
      <c r="G2877" t="n">
        <v>86.7</v>
      </c>
      <c r="H2877" t="n">
        <v>17.86</v>
      </c>
      <c r="I2877" t="inlineStr">
        <is>
          <t>credit_card</t>
        </is>
      </c>
      <c r="J2877" t="n">
        <v>16</v>
      </c>
      <c r="K2877" t="inlineStr">
        <is>
          <t>On Time</t>
        </is>
      </c>
      <c r="L2877" t="n">
        <v>5</v>
      </c>
      <c r="M2877">
        <f>VLOOKUP(D2877,State_Lookup!$A$2:$B$28,2,FALSE)</f>
        <v/>
      </c>
    </row>
    <row r="2878">
      <c r="A2878" t="inlineStr">
        <is>
          <t>fbab2f1499ada7711dc92e28e8e2cee9</t>
        </is>
      </c>
      <c r="B2878" t="inlineStr">
        <is>
          <t>2018-02-17</t>
        </is>
      </c>
      <c r="C2878" t="inlineStr">
        <is>
          <t>2018-02</t>
        </is>
      </c>
      <c r="D2878" t="inlineStr">
        <is>
          <t>SP</t>
        </is>
      </c>
      <c r="E2878" t="inlineStr">
        <is>
          <t>pet_shop</t>
        </is>
      </c>
      <c r="F2878" t="n">
        <v>1</v>
      </c>
      <c r="G2878" t="n">
        <v>105</v>
      </c>
      <c r="H2878" t="n">
        <v>30.57</v>
      </c>
      <c r="I2878" t="inlineStr">
        <is>
          <t>boleto</t>
        </is>
      </c>
      <c r="J2878" t="n">
        <v>6</v>
      </c>
      <c r="K2878" t="inlineStr">
        <is>
          <t>On Time</t>
        </is>
      </c>
      <c r="L2878" t="n">
        <v>5</v>
      </c>
      <c r="M2878">
        <f>VLOOKUP(D2878,State_Lookup!$A$2:$B$28,2,FALSE)</f>
        <v/>
      </c>
    </row>
    <row r="2879">
      <c r="A2879" t="inlineStr">
        <is>
          <t>9b0ea51a8dddc4af77a94448e58d332f</t>
        </is>
      </c>
      <c r="B2879" t="inlineStr">
        <is>
          <t>2018-02-17</t>
        </is>
      </c>
      <c r="C2879" t="inlineStr">
        <is>
          <t>2018-02</t>
        </is>
      </c>
      <c r="D2879" t="inlineStr">
        <is>
          <t>SP</t>
        </is>
      </c>
      <c r="E2879" t="inlineStr">
        <is>
          <t>perfumery</t>
        </is>
      </c>
      <c r="F2879" t="n">
        <v>1</v>
      </c>
      <c r="G2879" t="n">
        <v>79.98999999999999</v>
      </c>
      <c r="H2879" t="n">
        <v>9.369999999999999</v>
      </c>
      <c r="I2879" t="inlineStr">
        <is>
          <t>credit_card</t>
        </is>
      </c>
      <c r="J2879" t="n">
        <v>9</v>
      </c>
      <c r="K2879" t="inlineStr">
        <is>
          <t>On Time</t>
        </is>
      </c>
      <c r="L2879" t="n">
        <v>5</v>
      </c>
      <c r="M2879">
        <f>VLOOKUP(D2879,State_Lookup!$A$2:$B$28,2,FALSE)</f>
        <v/>
      </c>
    </row>
    <row r="2880">
      <c r="A2880" t="inlineStr">
        <is>
          <t>bf5a9e57fbe689b1b85de15b792b1d21</t>
        </is>
      </c>
      <c r="B2880" t="inlineStr">
        <is>
          <t>2018-02-18</t>
        </is>
      </c>
      <c r="C2880" t="inlineStr">
        <is>
          <t>2018-02</t>
        </is>
      </c>
      <c r="D2880" t="inlineStr">
        <is>
          <t>SP</t>
        </is>
      </c>
      <c r="E2880" t="inlineStr">
        <is>
          <t>tablets_printing_image</t>
        </is>
      </c>
      <c r="F2880" t="n">
        <v>1</v>
      </c>
      <c r="G2880" t="n">
        <v>53.49</v>
      </c>
      <c r="H2880" t="n">
        <v>8.720000000000001</v>
      </c>
      <c r="I2880" t="inlineStr">
        <is>
          <t>credit_card</t>
        </is>
      </c>
      <c r="J2880" t="n">
        <v>9</v>
      </c>
      <c r="K2880" t="inlineStr">
        <is>
          <t>On Time</t>
        </is>
      </c>
      <c r="L2880" t="n">
        <v>4</v>
      </c>
      <c r="M2880">
        <f>VLOOKUP(D2880,State_Lookup!$A$2:$B$28,2,FALSE)</f>
        <v/>
      </c>
    </row>
    <row r="2881">
      <c r="A2881" t="inlineStr">
        <is>
          <t>de667b5fad55b8d18285f1d32a4f5e49</t>
        </is>
      </c>
      <c r="B2881" t="inlineStr">
        <is>
          <t>2018-02-18</t>
        </is>
      </c>
      <c r="C2881" t="inlineStr">
        <is>
          <t>2018-02</t>
        </is>
      </c>
      <c r="D2881" t="inlineStr">
        <is>
          <t>RJ</t>
        </is>
      </c>
      <c r="E2881" t="inlineStr">
        <is>
          <t>electronics</t>
        </is>
      </c>
      <c r="F2881" t="n">
        <v>1</v>
      </c>
      <c r="G2881" t="n">
        <v>19.9</v>
      </c>
      <c r="H2881" t="n">
        <v>16.79</v>
      </c>
      <c r="I2881" t="inlineStr">
        <is>
          <t>credit_card</t>
        </is>
      </c>
      <c r="J2881" t="n">
        <v>23</v>
      </c>
      <c r="K2881" t="inlineStr">
        <is>
          <t>On Time</t>
        </is>
      </c>
      <c r="L2881" t="n">
        <v>5</v>
      </c>
      <c r="M2881">
        <f>VLOOKUP(D2881,State_Lookup!$A$2:$B$28,2,FALSE)</f>
        <v/>
      </c>
    </row>
    <row r="2882">
      <c r="A2882" t="inlineStr">
        <is>
          <t>9b402354813f3cab904867d9ca2dfc92</t>
        </is>
      </c>
      <c r="B2882" t="inlineStr">
        <is>
          <t>2018-02-18</t>
        </is>
      </c>
      <c r="C2882" t="inlineStr">
        <is>
          <t>2018-02</t>
        </is>
      </c>
      <c r="D2882" t="inlineStr">
        <is>
          <t>RJ</t>
        </is>
      </c>
      <c r="E2882" t="inlineStr">
        <is>
          <t>electronics</t>
        </is>
      </c>
      <c r="F2882" t="n">
        <v>1</v>
      </c>
      <c r="G2882" t="n">
        <v>356</v>
      </c>
      <c r="H2882" t="n">
        <v>18.25</v>
      </c>
      <c r="I2882" t="inlineStr">
        <is>
          <t>credit_card</t>
        </is>
      </c>
      <c r="J2882" t="n">
        <v>12</v>
      </c>
      <c r="K2882" t="inlineStr">
        <is>
          <t>On Time</t>
        </is>
      </c>
      <c r="L2882" t="n">
        <v>5</v>
      </c>
      <c r="M2882">
        <f>VLOOKUP(D2882,State_Lookup!$A$2:$B$28,2,FALSE)</f>
        <v/>
      </c>
    </row>
    <row r="2883">
      <c r="A2883" t="inlineStr">
        <is>
          <t>8d29abe41d9157240194d0210b529771</t>
        </is>
      </c>
      <c r="B2883" t="inlineStr">
        <is>
          <t>2018-02-18</t>
        </is>
      </c>
      <c r="C2883" t="inlineStr">
        <is>
          <t>2018-02</t>
        </is>
      </c>
      <c r="D2883" t="inlineStr">
        <is>
          <t>SP</t>
        </is>
      </c>
      <c r="E2883" t="inlineStr">
        <is>
          <t>sports_leisure</t>
        </is>
      </c>
      <c r="F2883" t="n">
        <v>1</v>
      </c>
      <c r="G2883" t="n">
        <v>59.9</v>
      </c>
      <c r="H2883" t="n">
        <v>16.18</v>
      </c>
      <c r="I2883" t="inlineStr">
        <is>
          <t>credit_card</t>
        </is>
      </c>
      <c r="J2883" t="n">
        <v>9</v>
      </c>
      <c r="K2883" t="inlineStr">
        <is>
          <t>On Time</t>
        </is>
      </c>
      <c r="L2883" t="n">
        <v>4</v>
      </c>
      <c r="M2883">
        <f>VLOOKUP(D2883,State_Lookup!$A$2:$B$28,2,FALSE)</f>
        <v/>
      </c>
    </row>
    <row r="2884">
      <c r="A2884" t="inlineStr">
        <is>
          <t>52fbc14060ffe1b2c4ab8657fa248084</t>
        </is>
      </c>
      <c r="B2884" t="inlineStr">
        <is>
          <t>2018-02-18</t>
        </is>
      </c>
      <c r="C2884" t="inlineStr">
        <is>
          <t>2018-02</t>
        </is>
      </c>
      <c r="D2884" t="inlineStr">
        <is>
          <t>SP</t>
        </is>
      </c>
      <c r="E2884" t="inlineStr">
        <is>
          <t>electronics</t>
        </is>
      </c>
      <c r="F2884" t="n">
        <v>1</v>
      </c>
      <c r="G2884" t="n">
        <v>18.9</v>
      </c>
      <c r="H2884" t="n">
        <v>12.48</v>
      </c>
      <c r="I2884" t="inlineStr">
        <is>
          <t>credit_card</t>
        </is>
      </c>
      <c r="J2884" t="n">
        <v>15</v>
      </c>
      <c r="K2884" t="inlineStr">
        <is>
          <t>On Time</t>
        </is>
      </c>
      <c r="L2884" t="n">
        <v>4</v>
      </c>
      <c r="M2884">
        <f>VLOOKUP(D2884,State_Lookup!$A$2:$B$28,2,FALSE)</f>
        <v/>
      </c>
    </row>
    <row r="2885">
      <c r="A2885" t="inlineStr">
        <is>
          <t>178e15ed751c7d56dfba347c28d50b06</t>
        </is>
      </c>
      <c r="B2885" t="inlineStr">
        <is>
          <t>2018-02-18</t>
        </is>
      </c>
      <c r="C2885" t="inlineStr">
        <is>
          <t>2018-02</t>
        </is>
      </c>
      <c r="D2885" t="inlineStr">
        <is>
          <t>SP</t>
        </is>
      </c>
      <c r="E2885" t="inlineStr">
        <is>
          <t>unknown</t>
        </is>
      </c>
      <c r="F2885" t="n">
        <v>1</v>
      </c>
      <c r="G2885" t="n">
        <v>157.77</v>
      </c>
      <c r="H2885" t="n">
        <v>9.300000000000001</v>
      </c>
      <c r="I2885" t="inlineStr">
        <is>
          <t>credit_card</t>
        </is>
      </c>
      <c r="J2885" t="n">
        <v>2</v>
      </c>
      <c r="K2885" t="inlineStr">
        <is>
          <t>On Time</t>
        </is>
      </c>
      <c r="L2885" t="n">
        <v>5</v>
      </c>
      <c r="M2885">
        <f>VLOOKUP(D2885,State_Lookup!$A$2:$B$28,2,FALSE)</f>
        <v/>
      </c>
    </row>
    <row r="2886">
      <c r="A2886" t="inlineStr">
        <is>
          <t>cc03c9ec9bb354486404b1df587bfc8f</t>
        </is>
      </c>
      <c r="B2886" t="inlineStr">
        <is>
          <t>2018-02-18</t>
        </is>
      </c>
      <c r="C2886" t="inlineStr">
        <is>
          <t>2018-02</t>
        </is>
      </c>
      <c r="D2886" t="inlineStr">
        <is>
          <t>SP</t>
        </is>
      </c>
      <c r="E2886" t="inlineStr">
        <is>
          <t>bed_bath_table</t>
        </is>
      </c>
      <c r="F2886" t="n">
        <v>1</v>
      </c>
      <c r="G2886" t="n">
        <v>36.99</v>
      </c>
      <c r="H2886" t="n">
        <v>11.85</v>
      </c>
      <c r="I2886" t="inlineStr">
        <is>
          <t>credit_card</t>
        </is>
      </c>
      <c r="J2886" t="n">
        <v>7</v>
      </c>
      <c r="K2886" t="inlineStr">
        <is>
          <t>On Time</t>
        </is>
      </c>
      <c r="L2886" t="n">
        <v>4</v>
      </c>
      <c r="M2886">
        <f>VLOOKUP(D2886,State_Lookup!$A$2:$B$28,2,FALSE)</f>
        <v/>
      </c>
    </row>
    <row r="2887">
      <c r="A2887" t="inlineStr">
        <is>
          <t>a5f747164d57e9cdaf58787ec8158e9c</t>
        </is>
      </c>
      <c r="B2887" t="inlineStr">
        <is>
          <t>2018-02-18</t>
        </is>
      </c>
      <c r="C2887" t="inlineStr">
        <is>
          <t>2018-02</t>
        </is>
      </c>
      <c r="D2887" t="inlineStr">
        <is>
          <t>RJ</t>
        </is>
      </c>
      <c r="E2887" t="inlineStr">
        <is>
          <t>electronics</t>
        </is>
      </c>
      <c r="F2887" t="n">
        <v>1</v>
      </c>
      <c r="G2887" t="n">
        <v>199.9</v>
      </c>
      <c r="H2887" t="n">
        <v>41.79</v>
      </c>
      <c r="I2887" t="inlineStr">
        <is>
          <t>credit_card</t>
        </is>
      </c>
      <c r="J2887" t="n">
        <v>11</v>
      </c>
      <c r="K2887" t="inlineStr">
        <is>
          <t>On Time</t>
        </is>
      </c>
      <c r="L2887" t="n">
        <v>5</v>
      </c>
      <c r="M2887">
        <f>VLOOKUP(D2887,State_Lookup!$A$2:$B$28,2,FALSE)</f>
        <v/>
      </c>
    </row>
    <row r="2888">
      <c r="A2888" t="inlineStr">
        <is>
          <t>0e767a1aa94def2bf5f3520ddb1dbe96</t>
        </is>
      </c>
      <c r="B2888" t="inlineStr">
        <is>
          <t>2018-02-19</t>
        </is>
      </c>
      <c r="C2888" t="inlineStr">
        <is>
          <t>2018-02</t>
        </is>
      </c>
      <c r="D2888" t="inlineStr">
        <is>
          <t>SP</t>
        </is>
      </c>
      <c r="E2888" t="inlineStr">
        <is>
          <t>computers_accessories</t>
        </is>
      </c>
      <c r="F2888" t="n">
        <v>1</v>
      </c>
      <c r="G2888" t="n">
        <v>31.9</v>
      </c>
      <c r="H2888" t="n">
        <v>14.1</v>
      </c>
      <c r="I2888" t="inlineStr">
        <is>
          <t>credit_card</t>
        </is>
      </c>
      <c r="J2888" t="n">
        <v>13</v>
      </c>
      <c r="K2888" t="inlineStr">
        <is>
          <t>On Time</t>
        </is>
      </c>
      <c r="L2888" t="n">
        <v>5</v>
      </c>
      <c r="M2888">
        <f>VLOOKUP(D2888,State_Lookup!$A$2:$B$28,2,FALSE)</f>
        <v/>
      </c>
    </row>
    <row r="2889">
      <c r="A2889" t="inlineStr">
        <is>
          <t>a7eddde56d5836e33a95adc2e8586cf6</t>
        </is>
      </c>
      <c r="B2889" t="inlineStr">
        <is>
          <t>2018-02-19</t>
        </is>
      </c>
      <c r="C2889" t="inlineStr">
        <is>
          <t>2018-02</t>
        </is>
      </c>
      <c r="D2889" t="inlineStr">
        <is>
          <t>SP</t>
        </is>
      </c>
      <c r="E2889" t="inlineStr">
        <is>
          <t>housewares</t>
        </is>
      </c>
      <c r="F2889" t="n">
        <v>2</v>
      </c>
      <c r="G2889" t="n">
        <v>29</v>
      </c>
      <c r="H2889" t="n">
        <v>23.46</v>
      </c>
      <c r="I2889" t="inlineStr">
        <is>
          <t>credit_card</t>
        </is>
      </c>
      <c r="J2889" t="n">
        <v>9</v>
      </c>
      <c r="K2889" t="inlineStr">
        <is>
          <t>On Time</t>
        </is>
      </c>
      <c r="L2889" t="n">
        <v>5</v>
      </c>
      <c r="M2889">
        <f>VLOOKUP(D2889,State_Lookup!$A$2:$B$28,2,FALSE)</f>
        <v/>
      </c>
    </row>
    <row r="2890">
      <c r="A2890" t="inlineStr">
        <is>
          <t>bf5099786cc9dcd17a4961c9406fb3f3</t>
        </is>
      </c>
      <c r="B2890" t="inlineStr">
        <is>
          <t>2018-02-19</t>
        </is>
      </c>
      <c r="C2890" t="inlineStr">
        <is>
          <t>2018-02</t>
        </is>
      </c>
      <c r="D2890" t="inlineStr">
        <is>
          <t>RJ</t>
        </is>
      </c>
      <c r="E2890" t="inlineStr">
        <is>
          <t>computers_accessories</t>
        </is>
      </c>
      <c r="F2890" t="n">
        <v>1</v>
      </c>
      <c r="G2890" t="n">
        <v>68.90000000000001</v>
      </c>
      <c r="H2890" t="n">
        <v>16.92</v>
      </c>
      <c r="I2890" t="inlineStr">
        <is>
          <t>credit_card</t>
        </is>
      </c>
      <c r="J2890" t="n">
        <v>35</v>
      </c>
      <c r="K2890" t="inlineStr">
        <is>
          <t>Late</t>
        </is>
      </c>
      <c r="L2890" t="n">
        <v>1</v>
      </c>
      <c r="M2890">
        <f>VLOOKUP(D2890,State_Lookup!$A$2:$B$28,2,FALSE)</f>
        <v/>
      </c>
    </row>
    <row r="2891">
      <c r="A2891" t="inlineStr">
        <is>
          <t>9bfcc088220bc74e76f4341292d16d76</t>
        </is>
      </c>
      <c r="B2891" t="inlineStr">
        <is>
          <t>2018-02-19</t>
        </is>
      </c>
      <c r="C2891" t="inlineStr">
        <is>
          <t>2018-02</t>
        </is>
      </c>
      <c r="D2891" t="inlineStr">
        <is>
          <t>SP</t>
        </is>
      </c>
      <c r="E2891" t="inlineStr">
        <is>
          <t>sports_leisure</t>
        </is>
      </c>
      <c r="F2891" t="n">
        <v>1</v>
      </c>
      <c r="G2891" t="n">
        <v>29</v>
      </c>
      <c r="H2891" t="n">
        <v>9.27</v>
      </c>
      <c r="I2891" t="inlineStr">
        <is>
          <t>boleto</t>
        </is>
      </c>
      <c r="J2891" t="n">
        <v>15</v>
      </c>
      <c r="K2891" t="inlineStr">
        <is>
          <t>Late</t>
        </is>
      </c>
      <c r="L2891" t="n">
        <v>5</v>
      </c>
      <c r="M2891">
        <f>VLOOKUP(D2891,State_Lookup!$A$2:$B$28,2,FALSE)</f>
        <v/>
      </c>
    </row>
    <row r="2892">
      <c r="A2892" t="inlineStr">
        <is>
          <t>b12e6c26723c864922c152d097c3e87e</t>
        </is>
      </c>
      <c r="B2892" t="inlineStr">
        <is>
          <t>2018-02-19</t>
        </is>
      </c>
      <c r="C2892" t="inlineStr">
        <is>
          <t>2018-02</t>
        </is>
      </c>
      <c r="D2892" t="inlineStr">
        <is>
          <t>RJ</t>
        </is>
      </c>
      <c r="E2892" t="inlineStr">
        <is>
          <t>sports_leisure</t>
        </is>
      </c>
      <c r="F2892" t="n">
        <v>1</v>
      </c>
      <c r="G2892" t="n">
        <v>104.9</v>
      </c>
      <c r="H2892" t="n">
        <v>16.49</v>
      </c>
      <c r="I2892" t="inlineStr">
        <is>
          <t>credit_card</t>
        </is>
      </c>
      <c r="J2892" t="n">
        <v>10</v>
      </c>
      <c r="K2892" t="inlineStr">
        <is>
          <t>On Time</t>
        </is>
      </c>
      <c r="L2892" t="n">
        <v>1</v>
      </c>
      <c r="M2892">
        <f>VLOOKUP(D2892,State_Lookup!$A$2:$B$28,2,FALSE)</f>
        <v/>
      </c>
    </row>
    <row r="2893">
      <c r="A2893" t="inlineStr">
        <is>
          <t>9ec74bf72142ae60bcda0241adf1b4d8</t>
        </is>
      </c>
      <c r="B2893" t="inlineStr">
        <is>
          <t>2018-02-19</t>
        </is>
      </c>
      <c r="C2893" t="inlineStr">
        <is>
          <t>2018-02</t>
        </is>
      </c>
      <c r="D2893" t="inlineStr">
        <is>
          <t>MG</t>
        </is>
      </c>
      <c r="E2893" t="inlineStr">
        <is>
          <t>cool_stuff</t>
        </is>
      </c>
      <c r="F2893" t="n">
        <v>1</v>
      </c>
      <c r="G2893" t="n">
        <v>144.99</v>
      </c>
      <c r="H2893" t="n">
        <v>18.26</v>
      </c>
      <c r="I2893" t="inlineStr">
        <is>
          <t>credit_card</t>
        </is>
      </c>
      <c r="J2893" t="n">
        <v>14</v>
      </c>
      <c r="K2893" t="inlineStr">
        <is>
          <t>On Time</t>
        </is>
      </c>
      <c r="L2893" t="n">
        <v>5</v>
      </c>
      <c r="M2893">
        <f>VLOOKUP(D2893,State_Lookup!$A$2:$B$28,2,FALSE)</f>
        <v/>
      </c>
    </row>
    <row r="2894">
      <c r="A2894" t="inlineStr">
        <is>
          <t>0055b77cca3186676c147f532dd2547b</t>
        </is>
      </c>
      <c r="B2894" t="inlineStr">
        <is>
          <t>2018-02-19</t>
        </is>
      </c>
      <c r="C2894" t="inlineStr">
        <is>
          <t>2018-02</t>
        </is>
      </c>
      <c r="D2894" t="inlineStr">
        <is>
          <t>RJ</t>
        </is>
      </c>
      <c r="E2894" t="inlineStr">
        <is>
          <t>computers_accessories</t>
        </is>
      </c>
      <c r="F2894" t="n">
        <v>1</v>
      </c>
      <c r="G2894" t="n">
        <v>149</v>
      </c>
      <c r="H2894" t="n">
        <v>40.37</v>
      </c>
      <c r="I2894" t="inlineStr">
        <is>
          <t>credit_card</t>
        </is>
      </c>
      <c r="J2894" t="n">
        <v>15</v>
      </c>
      <c r="K2894" t="inlineStr">
        <is>
          <t>On Time</t>
        </is>
      </c>
      <c r="L2894" t="n">
        <v>5</v>
      </c>
      <c r="M2894">
        <f>VLOOKUP(D2894,State_Lookup!$A$2:$B$28,2,FALSE)</f>
        <v/>
      </c>
    </row>
    <row r="2895">
      <c r="A2895" t="inlineStr">
        <is>
          <t>3b7a0831b87f721284d340cd1b55fb91</t>
        </is>
      </c>
      <c r="B2895" t="inlineStr">
        <is>
          <t>2018-02-19</t>
        </is>
      </c>
      <c r="C2895" t="inlineStr">
        <is>
          <t>2018-02</t>
        </is>
      </c>
      <c r="D2895" t="inlineStr">
        <is>
          <t>SC</t>
        </is>
      </c>
      <c r="E2895" t="inlineStr">
        <is>
          <t>sports_leisure</t>
        </is>
      </c>
      <c r="F2895" t="n">
        <v>1</v>
      </c>
      <c r="G2895" t="n">
        <v>44.9</v>
      </c>
      <c r="H2895" t="n">
        <v>15.1</v>
      </c>
      <c r="I2895" t="inlineStr">
        <is>
          <t>boleto</t>
        </is>
      </c>
      <c r="J2895" t="n">
        <v>14</v>
      </c>
      <c r="K2895" t="inlineStr">
        <is>
          <t>On Time</t>
        </is>
      </c>
      <c r="L2895" t="n">
        <v>5</v>
      </c>
      <c r="M2895">
        <f>VLOOKUP(D2895,State_Lookup!$A$2:$B$28,2,FALSE)</f>
        <v/>
      </c>
    </row>
    <row r="2896">
      <c r="A2896" t="inlineStr">
        <is>
          <t>7ad98754c4b268d09d188885ab8145ef</t>
        </is>
      </c>
      <c r="B2896" t="inlineStr">
        <is>
          <t>2018-02-19</t>
        </is>
      </c>
      <c r="C2896" t="inlineStr">
        <is>
          <t>2018-02</t>
        </is>
      </c>
      <c r="D2896" t="inlineStr">
        <is>
          <t>SP</t>
        </is>
      </c>
      <c r="E2896" t="inlineStr">
        <is>
          <t>bed_bath_table</t>
        </is>
      </c>
      <c r="F2896" t="n">
        <v>1</v>
      </c>
      <c r="G2896" t="n">
        <v>53</v>
      </c>
      <c r="H2896" t="n">
        <v>12.71</v>
      </c>
      <c r="I2896" t="inlineStr">
        <is>
          <t>boleto</t>
        </is>
      </c>
      <c r="J2896" t="n">
        <v>14</v>
      </c>
      <c r="K2896" t="inlineStr">
        <is>
          <t>On Time</t>
        </is>
      </c>
      <c r="L2896" t="n">
        <v>2</v>
      </c>
      <c r="M2896">
        <f>VLOOKUP(D2896,State_Lookup!$A$2:$B$28,2,FALSE)</f>
        <v/>
      </c>
    </row>
    <row r="2897">
      <c r="A2897" t="inlineStr">
        <is>
          <t>0d2ab5712ce82b9059da04a32ded871c</t>
        </is>
      </c>
      <c r="B2897" t="inlineStr">
        <is>
          <t>2018-02-19</t>
        </is>
      </c>
      <c r="C2897" t="inlineStr">
        <is>
          <t>2018-02</t>
        </is>
      </c>
      <c r="D2897" t="inlineStr">
        <is>
          <t>SP</t>
        </is>
      </c>
      <c r="E2897" t="inlineStr">
        <is>
          <t>musical_instruments</t>
        </is>
      </c>
      <c r="F2897" t="n">
        <v>1</v>
      </c>
      <c r="G2897" t="n">
        <v>129.9</v>
      </c>
      <c r="H2897" t="n">
        <v>13.93</v>
      </c>
      <c r="I2897" t="inlineStr">
        <is>
          <t>credit_card</t>
        </is>
      </c>
      <c r="J2897" t="n">
        <v>8</v>
      </c>
      <c r="K2897" t="inlineStr">
        <is>
          <t>On Time</t>
        </is>
      </c>
      <c r="L2897" t="n">
        <v>4</v>
      </c>
      <c r="M2897">
        <f>VLOOKUP(D2897,State_Lookup!$A$2:$B$28,2,FALSE)</f>
        <v/>
      </c>
    </row>
    <row r="2898">
      <c r="A2898" t="inlineStr">
        <is>
          <t>cafe1030b50f6fbe232a1532e95c89a6</t>
        </is>
      </c>
      <c r="B2898" t="inlineStr">
        <is>
          <t>2018-02-19</t>
        </is>
      </c>
      <c r="C2898" t="inlineStr">
        <is>
          <t>2018-02</t>
        </is>
      </c>
      <c r="D2898" t="inlineStr">
        <is>
          <t>MG</t>
        </is>
      </c>
      <c r="E2898" t="inlineStr">
        <is>
          <t>luggage_accessories</t>
        </is>
      </c>
      <c r="F2898" t="n">
        <v>1</v>
      </c>
      <c r="G2898" t="n">
        <v>104.97</v>
      </c>
      <c r="H2898" t="n">
        <v>14.48</v>
      </c>
      <c r="I2898" t="inlineStr">
        <is>
          <t>credit_card</t>
        </is>
      </c>
      <c r="J2898" t="n">
        <v>28</v>
      </c>
      <c r="K2898" t="inlineStr">
        <is>
          <t>Late</t>
        </is>
      </c>
      <c r="L2898" t="n">
        <v>2</v>
      </c>
      <c r="M2898">
        <f>VLOOKUP(D2898,State_Lookup!$A$2:$B$28,2,FALSE)</f>
        <v/>
      </c>
    </row>
    <row r="2899">
      <c r="A2899" t="inlineStr">
        <is>
          <t>9c0e8894e1007783cb1b4922e9e46aef</t>
        </is>
      </c>
      <c r="B2899" t="inlineStr">
        <is>
          <t>2018-02-19</t>
        </is>
      </c>
      <c r="C2899" t="inlineStr">
        <is>
          <t>2018-02</t>
        </is>
      </c>
      <c r="D2899" t="inlineStr">
        <is>
          <t>BA</t>
        </is>
      </c>
      <c r="E2899" t="inlineStr">
        <is>
          <t>computers_accessories</t>
        </is>
      </c>
      <c r="F2899" t="n">
        <v>1</v>
      </c>
      <c r="G2899" t="n">
        <v>46.9</v>
      </c>
      <c r="H2899" t="n">
        <v>16.79</v>
      </c>
      <c r="I2899" t="inlineStr">
        <is>
          <t>credit_card</t>
        </is>
      </c>
      <c r="J2899" t="inlineStr"/>
      <c r="K2899" t="inlineStr">
        <is>
          <t>Not Delivered</t>
        </is>
      </c>
      <c r="L2899" t="n">
        <v>1</v>
      </c>
      <c r="M2899">
        <f>VLOOKUP(D2899,State_Lookup!$A$2:$B$28,2,FALSE)</f>
        <v/>
      </c>
    </row>
    <row r="2900">
      <c r="A2900" t="inlineStr">
        <is>
          <t>2161b956d146a9bfd00fd463b69c6ba1</t>
        </is>
      </c>
      <c r="B2900" t="inlineStr">
        <is>
          <t>2018-02-19</t>
        </is>
      </c>
      <c r="C2900" t="inlineStr">
        <is>
          <t>2018-02</t>
        </is>
      </c>
      <c r="D2900" t="inlineStr">
        <is>
          <t>DF</t>
        </is>
      </c>
      <c r="E2900" t="inlineStr">
        <is>
          <t>computers_accessories</t>
        </is>
      </c>
      <c r="F2900" t="n">
        <v>1</v>
      </c>
      <c r="G2900" t="n">
        <v>74.90000000000001</v>
      </c>
      <c r="H2900" t="n">
        <v>14.27</v>
      </c>
      <c r="I2900" t="inlineStr">
        <is>
          <t>credit_card</t>
        </is>
      </c>
      <c r="J2900" t="n">
        <v>15</v>
      </c>
      <c r="K2900" t="inlineStr">
        <is>
          <t>On Time</t>
        </is>
      </c>
      <c r="L2900" t="n">
        <v>5</v>
      </c>
      <c r="M2900">
        <f>VLOOKUP(D2900,State_Lookup!$A$2:$B$28,2,FALSE)</f>
        <v/>
      </c>
    </row>
    <row r="2901">
      <c r="A2901" t="inlineStr">
        <is>
          <t>9a768a8d504ada830b38d678f12d972e</t>
        </is>
      </c>
      <c r="B2901" t="inlineStr">
        <is>
          <t>2018-02-19</t>
        </is>
      </c>
      <c r="C2901" t="inlineStr">
        <is>
          <t>2018-02</t>
        </is>
      </c>
      <c r="D2901" t="inlineStr">
        <is>
          <t>SP</t>
        </is>
      </c>
      <c r="E2901" t="inlineStr">
        <is>
          <t>telephony</t>
        </is>
      </c>
      <c r="F2901" t="n">
        <v>1</v>
      </c>
      <c r="G2901" t="n">
        <v>29.98</v>
      </c>
      <c r="H2901" t="n">
        <v>7.78</v>
      </c>
      <c r="I2901" t="inlineStr">
        <is>
          <t>boleto</t>
        </is>
      </c>
      <c r="J2901" t="n">
        <v>4</v>
      </c>
      <c r="K2901" t="inlineStr">
        <is>
          <t>On Time</t>
        </is>
      </c>
      <c r="L2901" t="n">
        <v>4</v>
      </c>
      <c r="M2901">
        <f>VLOOKUP(D2901,State_Lookup!$A$2:$B$28,2,FALSE)</f>
        <v/>
      </c>
    </row>
    <row r="2902">
      <c r="A2902" t="inlineStr">
        <is>
          <t>d1b78e9aa448923bc97828d395174fb6</t>
        </is>
      </c>
      <c r="B2902" t="inlineStr">
        <is>
          <t>2018-02-19</t>
        </is>
      </c>
      <c r="C2902" t="inlineStr">
        <is>
          <t>2018-02</t>
        </is>
      </c>
      <c r="D2902" t="inlineStr">
        <is>
          <t>RJ</t>
        </is>
      </c>
      <c r="E2902" t="inlineStr">
        <is>
          <t>baby</t>
        </is>
      </c>
      <c r="F2902" t="n">
        <v>1</v>
      </c>
      <c r="G2902" t="n">
        <v>134.9</v>
      </c>
      <c r="H2902" t="n">
        <v>16.7</v>
      </c>
      <c r="I2902" t="inlineStr">
        <is>
          <t>credit_card</t>
        </is>
      </c>
      <c r="J2902" t="n">
        <v>9</v>
      </c>
      <c r="K2902" t="inlineStr">
        <is>
          <t>On Time</t>
        </is>
      </c>
      <c r="L2902" t="n">
        <v>4</v>
      </c>
      <c r="M2902">
        <f>VLOOKUP(D2902,State_Lookup!$A$2:$B$28,2,FALSE)</f>
        <v/>
      </c>
    </row>
    <row r="2903">
      <c r="A2903" t="inlineStr">
        <is>
          <t>1a69d5fdff0003d4571dffa1a9a10967</t>
        </is>
      </c>
      <c r="B2903" t="inlineStr">
        <is>
          <t>2018-02-19</t>
        </is>
      </c>
      <c r="C2903" t="inlineStr">
        <is>
          <t>2018-02</t>
        </is>
      </c>
      <c r="D2903" t="inlineStr">
        <is>
          <t>SP</t>
        </is>
      </c>
      <c r="E2903" t="inlineStr">
        <is>
          <t>computers_accessories</t>
        </is>
      </c>
      <c r="F2903" t="n">
        <v>1</v>
      </c>
      <c r="G2903" t="n">
        <v>82</v>
      </c>
      <c r="H2903" t="n">
        <v>12.7</v>
      </c>
      <c r="I2903" t="inlineStr">
        <is>
          <t>credit_card</t>
        </is>
      </c>
      <c r="J2903" t="n">
        <v>17</v>
      </c>
      <c r="K2903" t="inlineStr">
        <is>
          <t>On Time</t>
        </is>
      </c>
      <c r="L2903" t="n">
        <v>4</v>
      </c>
      <c r="M2903">
        <f>VLOOKUP(D2903,State_Lookup!$A$2:$B$28,2,FALSE)</f>
        <v/>
      </c>
    </row>
    <row r="2904">
      <c r="A2904" t="inlineStr">
        <is>
          <t>46a9fa5d713a569777fb30562505588f</t>
        </is>
      </c>
      <c r="B2904" t="inlineStr">
        <is>
          <t>2018-02-20</t>
        </is>
      </c>
      <c r="C2904" t="inlineStr">
        <is>
          <t>2018-02</t>
        </is>
      </c>
      <c r="D2904" t="inlineStr">
        <is>
          <t>RJ</t>
        </is>
      </c>
      <c r="E2904" t="inlineStr">
        <is>
          <t>auto</t>
        </is>
      </c>
      <c r="F2904" t="n">
        <v>1</v>
      </c>
      <c r="G2904" t="n">
        <v>119.9</v>
      </c>
      <c r="H2904" t="n">
        <v>25.68</v>
      </c>
      <c r="I2904" t="inlineStr">
        <is>
          <t>credit_card</t>
        </is>
      </c>
      <c r="J2904" t="n">
        <v>9</v>
      </c>
      <c r="K2904" t="inlineStr">
        <is>
          <t>On Time</t>
        </is>
      </c>
      <c r="L2904" t="n">
        <v>5</v>
      </c>
      <c r="M2904">
        <f>VLOOKUP(D2904,State_Lookup!$A$2:$B$28,2,FALSE)</f>
        <v/>
      </c>
    </row>
    <row r="2905">
      <c r="A2905" t="inlineStr">
        <is>
          <t>fddb3d597fc61e3f11ce9e3e8e7a3706</t>
        </is>
      </c>
      <c r="B2905" t="inlineStr">
        <is>
          <t>2018-02-20</t>
        </is>
      </c>
      <c r="C2905" t="inlineStr">
        <is>
          <t>2018-02</t>
        </is>
      </c>
      <c r="D2905" t="inlineStr">
        <is>
          <t>SC</t>
        </is>
      </c>
      <c r="E2905" t="inlineStr">
        <is>
          <t>stationery</t>
        </is>
      </c>
      <c r="F2905" t="n">
        <v>1</v>
      </c>
      <c r="G2905" t="n">
        <v>19.9</v>
      </c>
      <c r="H2905" t="n">
        <v>15.1</v>
      </c>
      <c r="I2905" t="inlineStr">
        <is>
          <t>credit_card</t>
        </is>
      </c>
      <c r="J2905" t="n">
        <v>28</v>
      </c>
      <c r="K2905" t="inlineStr">
        <is>
          <t>Late</t>
        </is>
      </c>
      <c r="L2905" t="n">
        <v>2</v>
      </c>
      <c r="M2905">
        <f>VLOOKUP(D2905,State_Lookup!$A$2:$B$28,2,FALSE)</f>
        <v/>
      </c>
    </row>
    <row r="2906">
      <c r="A2906" t="inlineStr">
        <is>
          <t>adaab7718f21c04f40290e5afb01486b</t>
        </is>
      </c>
      <c r="B2906" t="inlineStr">
        <is>
          <t>2018-02-20</t>
        </is>
      </c>
      <c r="C2906" t="inlineStr">
        <is>
          <t>2018-02</t>
        </is>
      </c>
      <c r="D2906" t="inlineStr">
        <is>
          <t>MG</t>
        </is>
      </c>
      <c r="E2906" t="inlineStr">
        <is>
          <t>health_beauty</t>
        </is>
      </c>
      <c r="F2906" t="n">
        <v>1</v>
      </c>
      <c r="G2906" t="n">
        <v>45.36</v>
      </c>
      <c r="H2906" t="n">
        <v>15.1</v>
      </c>
      <c r="I2906" t="inlineStr">
        <is>
          <t>boleto</t>
        </is>
      </c>
      <c r="J2906" t="n">
        <v>41</v>
      </c>
      <c r="K2906" t="inlineStr">
        <is>
          <t>Late</t>
        </is>
      </c>
      <c r="L2906" t="n">
        <v>1</v>
      </c>
      <c r="M2906">
        <f>VLOOKUP(D2906,State_Lookup!$A$2:$B$28,2,FALSE)</f>
        <v/>
      </c>
    </row>
    <row r="2907">
      <c r="A2907" t="inlineStr">
        <is>
          <t>438d21eed7b8ea0654acee9b08bdd5ce</t>
        </is>
      </c>
      <c r="B2907" t="inlineStr">
        <is>
          <t>2018-02-20</t>
        </is>
      </c>
      <c r="C2907" t="inlineStr">
        <is>
          <t>2018-02</t>
        </is>
      </c>
      <c r="D2907" t="inlineStr">
        <is>
          <t>RS</t>
        </is>
      </c>
      <c r="E2907" t="inlineStr">
        <is>
          <t>sports_leisure</t>
        </is>
      </c>
      <c r="F2907" t="n">
        <v>1</v>
      </c>
      <c r="G2907" t="n">
        <v>149.9</v>
      </c>
      <c r="H2907" t="n">
        <v>15.8</v>
      </c>
      <c r="I2907" t="inlineStr">
        <is>
          <t>credit_card</t>
        </is>
      </c>
      <c r="J2907" t="n">
        <v>16</v>
      </c>
      <c r="K2907" t="inlineStr">
        <is>
          <t>On Time</t>
        </is>
      </c>
      <c r="L2907" t="n">
        <v>5</v>
      </c>
      <c r="M2907">
        <f>VLOOKUP(D2907,State_Lookup!$A$2:$B$28,2,FALSE)</f>
        <v/>
      </c>
    </row>
    <row r="2908">
      <c r="A2908" t="inlineStr">
        <is>
          <t>b3b79c755af727f1f4f48351296842c6</t>
        </is>
      </c>
      <c r="B2908" t="inlineStr">
        <is>
          <t>2018-02-20</t>
        </is>
      </c>
      <c r="C2908" t="inlineStr">
        <is>
          <t>2018-02</t>
        </is>
      </c>
      <c r="D2908" t="inlineStr">
        <is>
          <t>BA</t>
        </is>
      </c>
      <c r="E2908" t="inlineStr">
        <is>
          <t>telephony</t>
        </is>
      </c>
      <c r="F2908" t="n">
        <v>1</v>
      </c>
      <c r="G2908" t="n">
        <v>27.99</v>
      </c>
      <c r="H2908" t="n">
        <v>15.79</v>
      </c>
      <c r="I2908" t="inlineStr">
        <is>
          <t>credit_card</t>
        </is>
      </c>
      <c r="J2908" t="n">
        <v>8</v>
      </c>
      <c r="K2908" t="inlineStr">
        <is>
          <t>On Time</t>
        </is>
      </c>
      <c r="L2908" t="n">
        <v>5</v>
      </c>
      <c r="M2908">
        <f>VLOOKUP(D2908,State_Lookup!$A$2:$B$28,2,FALSE)</f>
        <v/>
      </c>
    </row>
    <row r="2909">
      <c r="A2909" t="inlineStr">
        <is>
          <t>23af56e201b15091e86aebe6bde84b2b</t>
        </is>
      </c>
      <c r="B2909" t="inlineStr">
        <is>
          <t>2018-02-20</t>
        </is>
      </c>
      <c r="C2909" t="inlineStr">
        <is>
          <t>2018-02</t>
        </is>
      </c>
      <c r="D2909" t="inlineStr">
        <is>
          <t>RJ</t>
        </is>
      </c>
      <c r="E2909" t="inlineStr">
        <is>
          <t>watches_gifts</t>
        </is>
      </c>
      <c r="F2909" t="n">
        <v>1</v>
      </c>
      <c r="G2909" t="n">
        <v>127.49</v>
      </c>
      <c r="H2909" t="n">
        <v>20.13</v>
      </c>
      <c r="I2909" t="inlineStr">
        <is>
          <t>credit_card</t>
        </is>
      </c>
      <c r="J2909" t="n">
        <v>29</v>
      </c>
      <c r="K2909" t="inlineStr">
        <is>
          <t>Late</t>
        </is>
      </c>
      <c r="L2909" t="n">
        <v>4</v>
      </c>
      <c r="M2909">
        <f>VLOOKUP(D2909,State_Lookup!$A$2:$B$28,2,FALSE)</f>
        <v/>
      </c>
    </row>
    <row r="2910">
      <c r="A2910" t="inlineStr">
        <is>
          <t>03fefb6f166efd081e05a842f7def973</t>
        </is>
      </c>
      <c r="B2910" t="inlineStr">
        <is>
          <t>2018-02-20</t>
        </is>
      </c>
      <c r="C2910" t="inlineStr">
        <is>
          <t>2018-02</t>
        </is>
      </c>
      <c r="D2910" t="inlineStr">
        <is>
          <t>SP</t>
        </is>
      </c>
      <c r="E2910" t="inlineStr">
        <is>
          <t>sports_leisure</t>
        </is>
      </c>
      <c r="F2910" t="n">
        <v>1</v>
      </c>
      <c r="G2910" t="n">
        <v>107</v>
      </c>
      <c r="H2910" t="n">
        <v>12.25</v>
      </c>
      <c r="I2910" t="inlineStr">
        <is>
          <t>credit_card</t>
        </is>
      </c>
      <c r="J2910" t="n">
        <v>15</v>
      </c>
      <c r="K2910" t="inlineStr">
        <is>
          <t>On Time</t>
        </is>
      </c>
      <c r="L2910" t="n">
        <v>5</v>
      </c>
      <c r="M2910">
        <f>VLOOKUP(D2910,State_Lookup!$A$2:$B$28,2,FALSE)</f>
        <v/>
      </c>
    </row>
    <row r="2911">
      <c r="A2911" t="inlineStr">
        <is>
          <t>1ec979be6088053a577e364179b5526b</t>
        </is>
      </c>
      <c r="B2911" t="inlineStr">
        <is>
          <t>2018-02-20</t>
        </is>
      </c>
      <c r="C2911" t="inlineStr">
        <is>
          <t>2018-02</t>
        </is>
      </c>
      <c r="D2911" t="inlineStr">
        <is>
          <t>RJ</t>
        </is>
      </c>
      <c r="E2911" t="inlineStr">
        <is>
          <t>health_beauty</t>
        </is>
      </c>
      <c r="F2911" t="n">
        <v>1</v>
      </c>
      <c r="G2911" t="n">
        <v>99.90000000000001</v>
      </c>
      <c r="H2911" t="n">
        <v>13.53</v>
      </c>
      <c r="I2911" t="inlineStr">
        <is>
          <t>credit_card</t>
        </is>
      </c>
      <c r="J2911" t="n">
        <v>6</v>
      </c>
      <c r="K2911" t="inlineStr">
        <is>
          <t>On Time</t>
        </is>
      </c>
      <c r="L2911" t="n">
        <v>5</v>
      </c>
      <c r="M2911">
        <f>VLOOKUP(D2911,State_Lookup!$A$2:$B$28,2,FALSE)</f>
        <v/>
      </c>
    </row>
    <row r="2912">
      <c r="A2912" t="inlineStr">
        <is>
          <t>759daf685e390bf00ca48c53b132205b</t>
        </is>
      </c>
      <c r="B2912" t="inlineStr">
        <is>
          <t>2018-02-20</t>
        </is>
      </c>
      <c r="C2912" t="inlineStr">
        <is>
          <t>2018-02</t>
        </is>
      </c>
      <c r="D2912" t="inlineStr">
        <is>
          <t>PR</t>
        </is>
      </c>
      <c r="E2912" t="inlineStr">
        <is>
          <t>furniture_decor</t>
        </is>
      </c>
      <c r="F2912" t="n">
        <v>1</v>
      </c>
      <c r="G2912" t="n">
        <v>119</v>
      </c>
      <c r="H2912" t="n">
        <v>12.54</v>
      </c>
      <c r="I2912" t="inlineStr">
        <is>
          <t>credit_card</t>
        </is>
      </c>
      <c r="J2912" t="n">
        <v>2</v>
      </c>
      <c r="K2912" t="inlineStr">
        <is>
          <t>On Time</t>
        </is>
      </c>
      <c r="L2912" t="n">
        <v>2</v>
      </c>
      <c r="M2912">
        <f>VLOOKUP(D2912,State_Lookup!$A$2:$B$28,2,FALSE)</f>
        <v/>
      </c>
    </row>
    <row r="2913">
      <c r="A2913" t="inlineStr">
        <is>
          <t>f24bbebc2c8ba687b65f1be751dd8982</t>
        </is>
      </c>
      <c r="B2913" t="inlineStr">
        <is>
          <t>2018-02-20</t>
        </is>
      </c>
      <c r="C2913" t="inlineStr">
        <is>
          <t>2018-02</t>
        </is>
      </c>
      <c r="D2913" t="inlineStr">
        <is>
          <t>RJ</t>
        </is>
      </c>
      <c r="E2913" t="inlineStr">
        <is>
          <t>computers_accessories</t>
        </is>
      </c>
      <c r="F2913" t="n">
        <v>1</v>
      </c>
      <c r="G2913" t="n">
        <v>29.9</v>
      </c>
      <c r="H2913" t="n">
        <v>15.1</v>
      </c>
      <c r="I2913" t="inlineStr">
        <is>
          <t>credit_card</t>
        </is>
      </c>
      <c r="J2913" t="n">
        <v>57</v>
      </c>
      <c r="K2913" t="inlineStr">
        <is>
          <t>Late</t>
        </is>
      </c>
      <c r="L2913" t="n">
        <v>1</v>
      </c>
      <c r="M2913">
        <f>VLOOKUP(D2913,State_Lookup!$A$2:$B$28,2,FALSE)</f>
        <v/>
      </c>
    </row>
    <row r="2914">
      <c r="A2914" t="inlineStr">
        <is>
          <t>372be5fecee4c918be0eb2a2053a3203</t>
        </is>
      </c>
      <c r="B2914" t="inlineStr">
        <is>
          <t>2018-02-20</t>
        </is>
      </c>
      <c r="C2914" t="inlineStr">
        <is>
          <t>2018-02</t>
        </is>
      </c>
      <c r="D2914" t="inlineStr">
        <is>
          <t>SP</t>
        </is>
      </c>
      <c r="E2914" t="inlineStr">
        <is>
          <t>home_construction</t>
        </is>
      </c>
      <c r="F2914" t="n">
        <v>1</v>
      </c>
      <c r="G2914" t="n">
        <v>320</v>
      </c>
      <c r="H2914" t="n">
        <v>16.99</v>
      </c>
      <c r="I2914" t="inlineStr">
        <is>
          <t>credit_card</t>
        </is>
      </c>
      <c r="J2914" t="n">
        <v>10</v>
      </c>
      <c r="K2914" t="inlineStr">
        <is>
          <t>On Time</t>
        </is>
      </c>
      <c r="L2914" t="n">
        <v>2</v>
      </c>
      <c r="M2914">
        <f>VLOOKUP(D2914,State_Lookup!$A$2:$B$28,2,FALSE)</f>
        <v/>
      </c>
    </row>
    <row r="2915">
      <c r="A2915" t="inlineStr">
        <is>
          <t>8d00e06d3fa925f408fd286f9805a765</t>
        </is>
      </c>
      <c r="B2915" t="inlineStr">
        <is>
          <t>2018-02-20</t>
        </is>
      </c>
      <c r="C2915" t="inlineStr">
        <is>
          <t>2018-02</t>
        </is>
      </c>
      <c r="D2915" t="inlineStr">
        <is>
          <t>MG</t>
        </is>
      </c>
      <c r="E2915" t="inlineStr">
        <is>
          <t>sports_leisure</t>
        </is>
      </c>
      <c r="F2915" t="n">
        <v>1</v>
      </c>
      <c r="G2915" t="n">
        <v>109.95</v>
      </c>
      <c r="H2915" t="n">
        <v>13.79</v>
      </c>
      <c r="I2915" t="inlineStr">
        <is>
          <t>credit_card</t>
        </is>
      </c>
      <c r="J2915" t="n">
        <v>9</v>
      </c>
      <c r="K2915" t="inlineStr">
        <is>
          <t>On Time</t>
        </is>
      </c>
      <c r="L2915" t="n">
        <v>5</v>
      </c>
      <c r="M2915">
        <f>VLOOKUP(D2915,State_Lookup!$A$2:$B$28,2,FALSE)</f>
        <v/>
      </c>
    </row>
    <row r="2916">
      <c r="A2916" t="inlineStr">
        <is>
          <t>22e899657e64cb7c60e18c2dba129498</t>
        </is>
      </c>
      <c r="B2916" t="inlineStr">
        <is>
          <t>2018-02-20</t>
        </is>
      </c>
      <c r="C2916" t="inlineStr">
        <is>
          <t>2018-02</t>
        </is>
      </c>
      <c r="D2916" t="inlineStr">
        <is>
          <t>MG</t>
        </is>
      </c>
      <c r="E2916" t="inlineStr">
        <is>
          <t>sports_leisure</t>
        </is>
      </c>
      <c r="F2916" t="n">
        <v>1</v>
      </c>
      <c r="G2916" t="n">
        <v>23.8</v>
      </c>
      <c r="H2916" t="n">
        <v>8.109999999999999</v>
      </c>
      <c r="I2916" t="inlineStr">
        <is>
          <t>credit_card</t>
        </is>
      </c>
      <c r="J2916" t="n">
        <v>2</v>
      </c>
      <c r="K2916" t="inlineStr">
        <is>
          <t>On Time</t>
        </is>
      </c>
      <c r="L2916" t="n">
        <v>5</v>
      </c>
      <c r="M2916">
        <f>VLOOKUP(D2916,State_Lookup!$A$2:$B$28,2,FALSE)</f>
        <v/>
      </c>
    </row>
    <row r="2917">
      <c r="A2917" t="inlineStr">
        <is>
          <t>74fabba2032e7c6ce81eddebe5c4a368</t>
        </is>
      </c>
      <c r="B2917" t="inlineStr">
        <is>
          <t>2018-02-20</t>
        </is>
      </c>
      <c r="C2917" t="inlineStr">
        <is>
          <t>2018-02</t>
        </is>
      </c>
      <c r="D2917" t="inlineStr">
        <is>
          <t>PB</t>
        </is>
      </c>
      <c r="E2917" t="inlineStr">
        <is>
          <t>costruction_tools_tools</t>
        </is>
      </c>
      <c r="F2917" t="n">
        <v>1</v>
      </c>
      <c r="G2917" t="n">
        <v>309</v>
      </c>
      <c r="H2917" t="n">
        <v>46.01</v>
      </c>
      <c r="I2917" t="inlineStr">
        <is>
          <t>credit_card</t>
        </is>
      </c>
      <c r="J2917" t="n">
        <v>16</v>
      </c>
      <c r="K2917" t="inlineStr">
        <is>
          <t>On Time</t>
        </is>
      </c>
      <c r="L2917" t="n">
        <v>5</v>
      </c>
      <c r="M2917">
        <f>VLOOKUP(D2917,State_Lookup!$A$2:$B$28,2,FALSE)</f>
        <v/>
      </c>
    </row>
    <row r="2918">
      <c r="A2918" t="inlineStr">
        <is>
          <t>9a900606a9398af4cfd33ef935bb00ed</t>
        </is>
      </c>
      <c r="B2918" t="inlineStr">
        <is>
          <t>2018-02-20</t>
        </is>
      </c>
      <c r="C2918" t="inlineStr">
        <is>
          <t>2018-02</t>
        </is>
      </c>
      <c r="D2918" t="inlineStr">
        <is>
          <t>RJ</t>
        </is>
      </c>
      <c r="E2918" t="inlineStr">
        <is>
          <t>health_beauty</t>
        </is>
      </c>
      <c r="F2918" t="n">
        <v>1</v>
      </c>
      <c r="G2918" t="n">
        <v>59.99</v>
      </c>
      <c r="H2918" t="n">
        <v>17.67</v>
      </c>
      <c r="I2918" t="inlineStr">
        <is>
          <t>credit_card</t>
        </is>
      </c>
      <c r="J2918" t="n">
        <v>5</v>
      </c>
      <c r="K2918" t="inlineStr">
        <is>
          <t>On Time</t>
        </is>
      </c>
      <c r="L2918" t="n">
        <v>5</v>
      </c>
      <c r="M2918">
        <f>VLOOKUP(D2918,State_Lookup!$A$2:$B$28,2,FALSE)</f>
        <v/>
      </c>
    </row>
    <row r="2919">
      <c r="A2919" t="inlineStr">
        <is>
          <t>fcc5a62afff48fe81c286fba58b2fa08</t>
        </is>
      </c>
      <c r="B2919" t="inlineStr">
        <is>
          <t>2018-02-21</t>
        </is>
      </c>
      <c r="C2919" t="inlineStr">
        <is>
          <t>2018-02</t>
        </is>
      </c>
      <c r="D2919" t="inlineStr">
        <is>
          <t>MG</t>
        </is>
      </c>
      <c r="E2919" t="inlineStr">
        <is>
          <t>perfumery</t>
        </is>
      </c>
      <c r="F2919" t="n">
        <v>1</v>
      </c>
      <c r="G2919" t="n">
        <v>15.99</v>
      </c>
      <c r="H2919" t="n">
        <v>15.1</v>
      </c>
      <c r="I2919" t="inlineStr">
        <is>
          <t>boleto</t>
        </is>
      </c>
      <c r="J2919" t="n">
        <v>13</v>
      </c>
      <c r="K2919" t="inlineStr">
        <is>
          <t>On Time</t>
        </is>
      </c>
      <c r="L2919" t="n">
        <v>4</v>
      </c>
      <c r="M2919">
        <f>VLOOKUP(D2919,State_Lookup!$A$2:$B$28,2,FALSE)</f>
        <v/>
      </c>
    </row>
    <row r="2920">
      <c r="A2920" t="inlineStr">
        <is>
          <t>bb8fe9bf968acfff626cedabf06d766d</t>
        </is>
      </c>
      <c r="B2920" t="inlineStr">
        <is>
          <t>2018-02-21</t>
        </is>
      </c>
      <c r="C2920" t="inlineStr">
        <is>
          <t>2018-02</t>
        </is>
      </c>
      <c r="D2920" t="inlineStr">
        <is>
          <t>SP</t>
        </is>
      </c>
      <c r="E2920" t="inlineStr">
        <is>
          <t>sports_leisure</t>
        </is>
      </c>
      <c r="F2920" t="n">
        <v>1</v>
      </c>
      <c r="G2920" t="n">
        <v>130</v>
      </c>
      <c r="H2920" t="n">
        <v>8.65</v>
      </c>
      <c r="I2920" t="inlineStr">
        <is>
          <t>credit_card</t>
        </is>
      </c>
      <c r="J2920" t="n">
        <v>8</v>
      </c>
      <c r="K2920" t="inlineStr">
        <is>
          <t>On Time</t>
        </is>
      </c>
      <c r="L2920" t="n">
        <v>4</v>
      </c>
      <c r="M2920">
        <f>VLOOKUP(D2920,State_Lookup!$A$2:$B$28,2,FALSE)</f>
        <v/>
      </c>
    </row>
    <row r="2921">
      <c r="A2921" t="inlineStr">
        <is>
          <t>a0fb1c238c7bcff487ee3095d577be86</t>
        </is>
      </c>
      <c r="B2921" t="inlineStr">
        <is>
          <t>2018-02-21</t>
        </is>
      </c>
      <c r="C2921" t="inlineStr">
        <is>
          <t>2018-02</t>
        </is>
      </c>
      <c r="D2921" t="inlineStr">
        <is>
          <t>SP</t>
        </is>
      </c>
      <c r="E2921" t="inlineStr">
        <is>
          <t>health_beauty</t>
        </is>
      </c>
      <c r="F2921" t="n">
        <v>1</v>
      </c>
      <c r="G2921" t="n">
        <v>150</v>
      </c>
      <c r="H2921" t="n">
        <v>12.55</v>
      </c>
      <c r="I2921" t="inlineStr">
        <is>
          <t>credit_card</t>
        </is>
      </c>
      <c r="J2921" t="n">
        <v>12</v>
      </c>
      <c r="K2921" t="inlineStr">
        <is>
          <t>On Time</t>
        </is>
      </c>
      <c r="L2921" t="n">
        <v>5</v>
      </c>
      <c r="M2921">
        <f>VLOOKUP(D2921,State_Lookup!$A$2:$B$28,2,FALSE)</f>
        <v/>
      </c>
    </row>
    <row r="2922">
      <c r="A2922" t="inlineStr">
        <is>
          <t>26047a1aef2518e6b2d19aaac4cc1520</t>
        </is>
      </c>
      <c r="B2922" t="inlineStr">
        <is>
          <t>2018-02-21</t>
        </is>
      </c>
      <c r="C2922" t="inlineStr">
        <is>
          <t>2018-02</t>
        </is>
      </c>
      <c r="D2922" t="inlineStr">
        <is>
          <t>SP</t>
        </is>
      </c>
      <c r="E2922" t="inlineStr">
        <is>
          <t>baby</t>
        </is>
      </c>
      <c r="F2922" t="n">
        <v>1</v>
      </c>
      <c r="G2922" t="n">
        <v>48.9</v>
      </c>
      <c r="H2922" t="n">
        <v>9.74</v>
      </c>
      <c r="I2922" t="inlineStr">
        <is>
          <t>credit_card</t>
        </is>
      </c>
      <c r="J2922" t="n">
        <v>5</v>
      </c>
      <c r="K2922" t="inlineStr">
        <is>
          <t>On Time</t>
        </is>
      </c>
      <c r="L2922" t="n">
        <v>5</v>
      </c>
      <c r="M2922">
        <f>VLOOKUP(D2922,State_Lookup!$A$2:$B$28,2,FALSE)</f>
        <v/>
      </c>
    </row>
    <row r="2923">
      <c r="A2923" t="inlineStr">
        <is>
          <t>c0cb4eb4f8b433eb1d73091276e12ebd</t>
        </is>
      </c>
      <c r="B2923" t="inlineStr">
        <is>
          <t>2018-02-21</t>
        </is>
      </c>
      <c r="C2923" t="inlineStr">
        <is>
          <t>2018-02</t>
        </is>
      </c>
      <c r="D2923" t="inlineStr">
        <is>
          <t>SP</t>
        </is>
      </c>
      <c r="E2923" t="inlineStr">
        <is>
          <t>housewares</t>
        </is>
      </c>
      <c r="F2923" t="n">
        <v>1</v>
      </c>
      <c r="G2923" t="n">
        <v>204.99</v>
      </c>
      <c r="H2923" t="n">
        <v>18</v>
      </c>
      <c r="I2923" t="inlineStr">
        <is>
          <t>credit_card</t>
        </is>
      </c>
      <c r="J2923" t="n">
        <v>20</v>
      </c>
      <c r="K2923" t="inlineStr">
        <is>
          <t>On Time</t>
        </is>
      </c>
      <c r="L2923" t="n">
        <v>5</v>
      </c>
      <c r="M2923">
        <f>VLOOKUP(D2923,State_Lookup!$A$2:$B$28,2,FALSE)</f>
        <v/>
      </c>
    </row>
    <row r="2924">
      <c r="A2924" t="inlineStr">
        <is>
          <t>45d401cfadade31e1b461e030548b712</t>
        </is>
      </c>
      <c r="B2924" t="inlineStr">
        <is>
          <t>2018-02-21</t>
        </is>
      </c>
      <c r="C2924" t="inlineStr">
        <is>
          <t>2018-02</t>
        </is>
      </c>
      <c r="D2924" t="inlineStr">
        <is>
          <t>MG</t>
        </is>
      </c>
      <c r="E2924" t="inlineStr">
        <is>
          <t>baby</t>
        </is>
      </c>
      <c r="F2924" t="n">
        <v>1</v>
      </c>
      <c r="G2924" t="n">
        <v>130</v>
      </c>
      <c r="H2924" t="n">
        <v>20.15</v>
      </c>
      <c r="I2924" t="inlineStr">
        <is>
          <t>credit_card</t>
        </is>
      </c>
      <c r="J2924" t="n">
        <v>9</v>
      </c>
      <c r="K2924" t="inlineStr">
        <is>
          <t>On Time</t>
        </is>
      </c>
      <c r="L2924" t="n">
        <v>5</v>
      </c>
      <c r="M2924">
        <f>VLOOKUP(D2924,State_Lookup!$A$2:$B$28,2,FALSE)</f>
        <v/>
      </c>
    </row>
    <row r="2925">
      <c r="A2925" t="inlineStr">
        <is>
          <t>fde8ba9ac93d634f0221d048bae1dcf3</t>
        </is>
      </c>
      <c r="B2925" t="inlineStr">
        <is>
          <t>2018-02-21</t>
        </is>
      </c>
      <c r="C2925" t="inlineStr">
        <is>
          <t>2018-02</t>
        </is>
      </c>
      <c r="D2925" t="inlineStr">
        <is>
          <t>SP</t>
        </is>
      </c>
      <c r="E2925" t="inlineStr">
        <is>
          <t>luggage_accessories</t>
        </is>
      </c>
      <c r="F2925" t="n">
        <v>1</v>
      </c>
      <c r="G2925" t="n">
        <v>249.99</v>
      </c>
      <c r="H2925" t="n">
        <v>12.95</v>
      </c>
      <c r="I2925" t="inlineStr">
        <is>
          <t>credit_card</t>
        </is>
      </c>
      <c r="J2925" t="n">
        <v>4</v>
      </c>
      <c r="K2925" t="inlineStr">
        <is>
          <t>On Time</t>
        </is>
      </c>
      <c r="L2925" t="inlineStr"/>
      <c r="M2925">
        <f>VLOOKUP(D2925,State_Lookup!$A$2:$B$28,2,FALSE)</f>
        <v/>
      </c>
    </row>
    <row r="2926">
      <c r="A2926" t="inlineStr">
        <is>
          <t>8d684f38cd1edd267da04f1d65ec5eff</t>
        </is>
      </c>
      <c r="B2926" t="inlineStr">
        <is>
          <t>2018-02-21</t>
        </is>
      </c>
      <c r="C2926" t="inlineStr">
        <is>
          <t>2018-02</t>
        </is>
      </c>
      <c r="D2926" t="inlineStr">
        <is>
          <t>SP</t>
        </is>
      </c>
      <c r="E2926" t="inlineStr">
        <is>
          <t>bed_bath_table</t>
        </is>
      </c>
      <c r="F2926" t="n">
        <v>1</v>
      </c>
      <c r="G2926" t="n">
        <v>25</v>
      </c>
      <c r="H2926" t="n">
        <v>8.720000000000001</v>
      </c>
      <c r="I2926" t="inlineStr">
        <is>
          <t>credit_card</t>
        </is>
      </c>
      <c r="J2926" t="n">
        <v>6</v>
      </c>
      <c r="K2926" t="inlineStr">
        <is>
          <t>On Time</t>
        </is>
      </c>
      <c r="L2926" t="n">
        <v>4</v>
      </c>
      <c r="M2926">
        <f>VLOOKUP(D2926,State_Lookup!$A$2:$B$28,2,FALSE)</f>
        <v/>
      </c>
    </row>
    <row r="2927">
      <c r="A2927" t="inlineStr">
        <is>
          <t>871ea4c791e2d977d094700806eef385</t>
        </is>
      </c>
      <c r="B2927" t="inlineStr">
        <is>
          <t>2018-02-21</t>
        </is>
      </c>
      <c r="C2927" t="inlineStr">
        <is>
          <t>2018-02</t>
        </is>
      </c>
      <c r="D2927" t="inlineStr">
        <is>
          <t>SC</t>
        </is>
      </c>
      <c r="E2927" t="inlineStr">
        <is>
          <t>bed_bath_table</t>
        </is>
      </c>
      <c r="F2927" t="n">
        <v>1</v>
      </c>
      <c r="G2927" t="n">
        <v>129.99</v>
      </c>
      <c r="H2927" t="n">
        <v>18.16</v>
      </c>
      <c r="I2927" t="inlineStr">
        <is>
          <t>credit_card</t>
        </is>
      </c>
      <c r="J2927" t="n">
        <v>34</v>
      </c>
      <c r="K2927" t="inlineStr">
        <is>
          <t>Late</t>
        </is>
      </c>
      <c r="L2927" t="n">
        <v>1</v>
      </c>
      <c r="M2927">
        <f>VLOOKUP(D2927,State_Lookup!$A$2:$B$28,2,FALSE)</f>
        <v/>
      </c>
    </row>
    <row r="2928">
      <c r="A2928" t="inlineStr">
        <is>
          <t>dea1e695f08ba5ff543ac1f0132f6db3</t>
        </is>
      </c>
      <c r="B2928" t="inlineStr">
        <is>
          <t>2018-02-21</t>
        </is>
      </c>
      <c r="C2928" t="inlineStr">
        <is>
          <t>2018-02</t>
        </is>
      </c>
      <c r="D2928" t="inlineStr">
        <is>
          <t>PE</t>
        </is>
      </c>
      <c r="E2928" t="inlineStr">
        <is>
          <t>computers_accessories</t>
        </is>
      </c>
      <c r="F2928" t="n">
        <v>1</v>
      </c>
      <c r="G2928" t="n">
        <v>149.9</v>
      </c>
      <c r="H2928" t="n">
        <v>10.26</v>
      </c>
      <c r="I2928" t="inlineStr">
        <is>
          <t>credit_card</t>
        </is>
      </c>
      <c r="J2928" t="n">
        <v>3</v>
      </c>
      <c r="K2928" t="inlineStr">
        <is>
          <t>On Time</t>
        </is>
      </c>
      <c r="L2928" t="n">
        <v>1</v>
      </c>
      <c r="M2928">
        <f>VLOOKUP(D2928,State_Lookup!$A$2:$B$28,2,FALSE)</f>
        <v/>
      </c>
    </row>
    <row r="2929">
      <c r="A2929" t="inlineStr">
        <is>
          <t>2b6f54b1e447bf7916396c36596c4e9e</t>
        </is>
      </c>
      <c r="B2929" t="inlineStr">
        <is>
          <t>2018-02-21</t>
        </is>
      </c>
      <c r="C2929" t="inlineStr">
        <is>
          <t>2018-02</t>
        </is>
      </c>
      <c r="D2929" t="inlineStr">
        <is>
          <t>DF</t>
        </is>
      </c>
      <c r="E2929" t="inlineStr">
        <is>
          <t>furniture_decor</t>
        </is>
      </c>
      <c r="F2929" t="n">
        <v>1</v>
      </c>
      <c r="G2929" t="n">
        <v>99.90000000000001</v>
      </c>
      <c r="H2929" t="n">
        <v>14.45</v>
      </c>
      <c r="I2929" t="inlineStr">
        <is>
          <t>credit_card</t>
        </is>
      </c>
      <c r="J2929" t="n">
        <v>15</v>
      </c>
      <c r="K2929" t="inlineStr">
        <is>
          <t>On Time</t>
        </is>
      </c>
      <c r="L2929" t="n">
        <v>5</v>
      </c>
      <c r="M2929">
        <f>VLOOKUP(D2929,State_Lookup!$A$2:$B$28,2,FALSE)</f>
        <v/>
      </c>
    </row>
    <row r="2930">
      <c r="A2930" t="inlineStr">
        <is>
          <t>635b1de13b56852d3dca9d359b7ed8dd</t>
        </is>
      </c>
      <c r="B2930" t="inlineStr">
        <is>
          <t>2018-02-22</t>
        </is>
      </c>
      <c r="C2930" t="inlineStr">
        <is>
          <t>2018-02</t>
        </is>
      </c>
      <c r="D2930" t="inlineStr">
        <is>
          <t>SC</t>
        </is>
      </c>
      <c r="E2930" t="inlineStr">
        <is>
          <t>luggage_accessories</t>
        </is>
      </c>
      <c r="F2930" t="n">
        <v>1</v>
      </c>
      <c r="G2930" t="n">
        <v>60</v>
      </c>
      <c r="H2930" t="n">
        <v>16.18</v>
      </c>
      <c r="I2930" t="inlineStr">
        <is>
          <t>credit_card</t>
        </is>
      </c>
      <c r="J2930" t="n">
        <v>14</v>
      </c>
      <c r="K2930" t="inlineStr">
        <is>
          <t>On Time</t>
        </is>
      </c>
      <c r="L2930" t="n">
        <v>5</v>
      </c>
      <c r="M2930">
        <f>VLOOKUP(D2930,State_Lookup!$A$2:$B$28,2,FALSE)</f>
        <v/>
      </c>
    </row>
    <row r="2931">
      <c r="A2931" t="inlineStr">
        <is>
          <t>100e8cf23e7518027376ac07ca0ec96b</t>
        </is>
      </c>
      <c r="B2931" t="inlineStr">
        <is>
          <t>2018-02-22</t>
        </is>
      </c>
      <c r="C2931" t="inlineStr">
        <is>
          <t>2018-02</t>
        </is>
      </c>
      <c r="D2931" t="inlineStr">
        <is>
          <t>SP</t>
        </is>
      </c>
      <c r="E2931" t="inlineStr">
        <is>
          <t>furniture_decor</t>
        </is>
      </c>
      <c r="F2931" t="n">
        <v>1</v>
      </c>
      <c r="G2931" t="n">
        <v>69.90000000000001</v>
      </c>
      <c r="H2931" t="n">
        <v>16.12</v>
      </c>
      <c r="I2931" t="inlineStr">
        <is>
          <t>boleto</t>
        </is>
      </c>
      <c r="J2931" t="n">
        <v>32</v>
      </c>
      <c r="K2931" t="inlineStr">
        <is>
          <t>Late</t>
        </is>
      </c>
      <c r="L2931" t="n">
        <v>1</v>
      </c>
      <c r="M2931">
        <f>VLOOKUP(D2931,State_Lookup!$A$2:$B$28,2,FALSE)</f>
        <v/>
      </c>
    </row>
    <row r="2932">
      <c r="A2932" t="inlineStr">
        <is>
          <t>f3e2f155986b15b3fc25a97303ab4440</t>
        </is>
      </c>
      <c r="B2932" t="inlineStr">
        <is>
          <t>2018-02-22</t>
        </is>
      </c>
      <c r="C2932" t="inlineStr">
        <is>
          <t>2018-02</t>
        </is>
      </c>
      <c r="D2932" t="inlineStr">
        <is>
          <t>SP</t>
        </is>
      </c>
      <c r="E2932" t="inlineStr">
        <is>
          <t>industry_commerce_and_business</t>
        </is>
      </c>
      <c r="F2932" t="n">
        <v>2</v>
      </c>
      <c r="G2932" t="n">
        <v>107.8</v>
      </c>
      <c r="H2932" t="n">
        <v>30.26</v>
      </c>
      <c r="I2932" t="inlineStr">
        <is>
          <t>credit_card</t>
        </is>
      </c>
      <c r="J2932" t="n">
        <v>13</v>
      </c>
      <c r="K2932" t="inlineStr">
        <is>
          <t>On Time</t>
        </is>
      </c>
      <c r="L2932" t="n">
        <v>4</v>
      </c>
      <c r="M2932">
        <f>VLOOKUP(D2932,State_Lookup!$A$2:$B$28,2,FALSE)</f>
        <v/>
      </c>
    </row>
    <row r="2933">
      <c r="A2933" t="inlineStr">
        <is>
          <t>d1292ab43d93a1211d5e3f6589be78af</t>
        </is>
      </c>
      <c r="B2933" t="inlineStr">
        <is>
          <t>2018-02-22</t>
        </is>
      </c>
      <c r="C2933" t="inlineStr">
        <is>
          <t>2018-02</t>
        </is>
      </c>
      <c r="D2933" t="inlineStr">
        <is>
          <t>RJ</t>
        </is>
      </c>
      <c r="E2933" t="inlineStr">
        <is>
          <t>sports_leisure</t>
        </is>
      </c>
      <c r="F2933" t="n">
        <v>1</v>
      </c>
      <c r="G2933" t="n">
        <v>59.9</v>
      </c>
      <c r="H2933" t="n">
        <v>19.91</v>
      </c>
      <c r="I2933" t="inlineStr">
        <is>
          <t>credit_card</t>
        </is>
      </c>
      <c r="J2933" t="inlineStr"/>
      <c r="K2933" t="inlineStr">
        <is>
          <t>Not Delivered</t>
        </is>
      </c>
      <c r="L2933" t="n">
        <v>1</v>
      </c>
      <c r="M2933">
        <f>VLOOKUP(D2933,State_Lookup!$A$2:$B$28,2,FALSE)</f>
        <v/>
      </c>
    </row>
    <row r="2934">
      <c r="A2934" t="inlineStr">
        <is>
          <t>c26c0e4d81f8dabd04bd61f7545ece54</t>
        </is>
      </c>
      <c r="B2934" t="inlineStr">
        <is>
          <t>2018-02-22</t>
        </is>
      </c>
      <c r="C2934" t="inlineStr">
        <is>
          <t>2018-02</t>
        </is>
      </c>
      <c r="D2934" t="inlineStr">
        <is>
          <t>MG</t>
        </is>
      </c>
      <c r="E2934" t="inlineStr">
        <is>
          <t>telephony</t>
        </is>
      </c>
      <c r="F2934" t="n">
        <v>1</v>
      </c>
      <c r="G2934" t="n">
        <v>21.99</v>
      </c>
      <c r="H2934" t="n">
        <v>14.1</v>
      </c>
      <c r="I2934" t="inlineStr">
        <is>
          <t>credit_card</t>
        </is>
      </c>
      <c r="J2934" t="n">
        <v>15</v>
      </c>
      <c r="K2934" t="inlineStr">
        <is>
          <t>On Time</t>
        </is>
      </c>
      <c r="L2934" t="n">
        <v>4</v>
      </c>
      <c r="M2934">
        <f>VLOOKUP(D2934,State_Lookup!$A$2:$B$28,2,FALSE)</f>
        <v/>
      </c>
    </row>
    <row r="2935">
      <c r="A2935" t="inlineStr">
        <is>
          <t>97abdc70b137f4f0934fb120debe3b58</t>
        </is>
      </c>
      <c r="B2935" t="inlineStr">
        <is>
          <t>2018-02-22</t>
        </is>
      </c>
      <c r="C2935" t="inlineStr">
        <is>
          <t>2018-02</t>
        </is>
      </c>
      <c r="D2935" t="inlineStr">
        <is>
          <t>MG</t>
        </is>
      </c>
      <c r="E2935" t="inlineStr">
        <is>
          <t>bed_bath_table</t>
        </is>
      </c>
      <c r="F2935" t="n">
        <v>1</v>
      </c>
      <c r="G2935" t="n">
        <v>219.99</v>
      </c>
      <c r="H2935" t="n">
        <v>26.38</v>
      </c>
      <c r="I2935" t="inlineStr">
        <is>
          <t>boleto</t>
        </is>
      </c>
      <c r="J2935" t="n">
        <v>15</v>
      </c>
      <c r="K2935" t="inlineStr">
        <is>
          <t>On Time</t>
        </is>
      </c>
      <c r="L2935" t="n">
        <v>1</v>
      </c>
      <c r="M2935">
        <f>VLOOKUP(D2935,State_Lookup!$A$2:$B$28,2,FALSE)</f>
        <v/>
      </c>
    </row>
    <row r="2936">
      <c r="A2936" t="inlineStr">
        <is>
          <t>fa5e15141bbda711d3cf04222db75d2b</t>
        </is>
      </c>
      <c r="B2936" t="inlineStr">
        <is>
          <t>2018-02-22</t>
        </is>
      </c>
      <c r="C2936" t="inlineStr">
        <is>
          <t>2018-02</t>
        </is>
      </c>
      <c r="D2936" t="inlineStr">
        <is>
          <t>SP</t>
        </is>
      </c>
      <c r="E2936" t="inlineStr">
        <is>
          <t>watches_gifts</t>
        </is>
      </c>
      <c r="F2936" t="n">
        <v>1</v>
      </c>
      <c r="G2936" t="n">
        <v>165</v>
      </c>
      <c r="H2936" t="n">
        <v>16.78</v>
      </c>
      <c r="I2936" t="inlineStr">
        <is>
          <t>credit_card</t>
        </is>
      </c>
      <c r="J2936" t="inlineStr"/>
      <c r="K2936" t="inlineStr">
        <is>
          <t>Not Delivered</t>
        </is>
      </c>
      <c r="L2936" t="n">
        <v>1</v>
      </c>
      <c r="M2936">
        <f>VLOOKUP(D2936,State_Lookup!$A$2:$B$28,2,FALSE)</f>
        <v/>
      </c>
    </row>
    <row r="2937">
      <c r="A2937" t="inlineStr">
        <is>
          <t>5168f4f478a3ad3d61e81119fc158910</t>
        </is>
      </c>
      <c r="B2937" t="inlineStr">
        <is>
          <t>2018-02-22</t>
        </is>
      </c>
      <c r="C2937" t="inlineStr">
        <is>
          <t>2018-02</t>
        </is>
      </c>
      <c r="D2937" t="inlineStr">
        <is>
          <t>RO</t>
        </is>
      </c>
      <c r="E2937" t="inlineStr">
        <is>
          <t>sports_leisure</t>
        </is>
      </c>
      <c r="F2937" t="n">
        <v>1</v>
      </c>
      <c r="G2937" t="n">
        <v>132</v>
      </c>
      <c r="H2937" t="n">
        <v>42.95</v>
      </c>
      <c r="I2937" t="inlineStr">
        <is>
          <t>credit_card</t>
        </is>
      </c>
      <c r="J2937" t="n">
        <v>21</v>
      </c>
      <c r="K2937" t="inlineStr">
        <is>
          <t>On Time</t>
        </is>
      </c>
      <c r="L2937" t="n">
        <v>5</v>
      </c>
      <c r="M2937">
        <f>VLOOKUP(D2937,State_Lookup!$A$2:$B$28,2,FALSE)</f>
        <v/>
      </c>
    </row>
    <row r="2938">
      <c r="A2938" t="inlineStr">
        <is>
          <t>01bc343311e5b8090b64d6ab287a5cf0</t>
        </is>
      </c>
      <c r="B2938" t="inlineStr">
        <is>
          <t>2018-02-22</t>
        </is>
      </c>
      <c r="C2938" t="inlineStr">
        <is>
          <t>2018-02</t>
        </is>
      </c>
      <c r="D2938" t="inlineStr">
        <is>
          <t>RS</t>
        </is>
      </c>
      <c r="E2938" t="inlineStr">
        <is>
          <t>bed_bath_table</t>
        </is>
      </c>
      <c r="F2938" t="n">
        <v>2</v>
      </c>
      <c r="G2938" t="n">
        <v>43.98</v>
      </c>
      <c r="H2938" t="n">
        <v>30.2</v>
      </c>
      <c r="I2938" t="inlineStr">
        <is>
          <t>credit_card</t>
        </is>
      </c>
      <c r="J2938" t="n">
        <v>41</v>
      </c>
      <c r="K2938" t="inlineStr">
        <is>
          <t>Late</t>
        </is>
      </c>
      <c r="L2938" t="n">
        <v>1</v>
      </c>
      <c r="M2938">
        <f>VLOOKUP(D2938,State_Lookup!$A$2:$B$28,2,FALSE)</f>
        <v/>
      </c>
    </row>
    <row r="2939">
      <c r="A2939" t="inlineStr">
        <is>
          <t>7bd6f884504774c544ac34655eb8953a</t>
        </is>
      </c>
      <c r="B2939" t="inlineStr">
        <is>
          <t>2018-02-22</t>
        </is>
      </c>
      <c r="C2939" t="inlineStr">
        <is>
          <t>2018-02</t>
        </is>
      </c>
      <c r="D2939" t="inlineStr">
        <is>
          <t>RS</t>
        </is>
      </c>
      <c r="E2939" t="inlineStr">
        <is>
          <t>sports_leisure</t>
        </is>
      </c>
      <c r="F2939" t="n">
        <v>1</v>
      </c>
      <c r="G2939" t="n">
        <v>80</v>
      </c>
      <c r="H2939" t="n">
        <v>15.31</v>
      </c>
      <c r="I2939" t="inlineStr">
        <is>
          <t>credit_card</t>
        </is>
      </c>
      <c r="J2939" t="n">
        <v>27</v>
      </c>
      <c r="K2939" t="inlineStr">
        <is>
          <t>On Time</t>
        </is>
      </c>
      <c r="L2939" t="n">
        <v>3</v>
      </c>
      <c r="M2939">
        <f>VLOOKUP(D2939,State_Lookup!$A$2:$B$28,2,FALSE)</f>
        <v/>
      </c>
    </row>
    <row r="2940">
      <c r="A2940" t="inlineStr">
        <is>
          <t>1b15974a0141d54e36626dca3fdc731a</t>
        </is>
      </c>
      <c r="B2940" t="inlineStr">
        <is>
          <t>2018-02-22</t>
        </is>
      </c>
      <c r="C2940" t="inlineStr">
        <is>
          <t>2018-02</t>
        </is>
      </c>
      <c r="D2940" t="inlineStr">
        <is>
          <t>SP</t>
        </is>
      </c>
      <c r="E2940" t="inlineStr">
        <is>
          <t>computers_accessories</t>
        </is>
      </c>
      <c r="F2940" t="n">
        <v>20</v>
      </c>
      <c r="G2940" t="n">
        <v>2000</v>
      </c>
      <c r="H2940" t="n">
        <v>202.4</v>
      </c>
      <c r="I2940" t="inlineStr">
        <is>
          <t>boleto</t>
        </is>
      </c>
      <c r="J2940" t="n">
        <v>10</v>
      </c>
      <c r="K2940" t="inlineStr">
        <is>
          <t>On Time</t>
        </is>
      </c>
      <c r="L2940" t="n">
        <v>1</v>
      </c>
      <c r="M2940">
        <f>VLOOKUP(D2940,State_Lookup!$A$2:$B$28,2,FALSE)</f>
        <v/>
      </c>
    </row>
    <row r="2941">
      <c r="A2941" t="inlineStr">
        <is>
          <t>0ccad283af81aa4910d7cd1e092326d1</t>
        </is>
      </c>
      <c r="B2941" t="inlineStr">
        <is>
          <t>2018-02-22</t>
        </is>
      </c>
      <c r="C2941" t="inlineStr">
        <is>
          <t>2018-02</t>
        </is>
      </c>
      <c r="D2941" t="inlineStr">
        <is>
          <t>SP</t>
        </is>
      </c>
      <c r="E2941" t="inlineStr">
        <is>
          <t>watches_gifts</t>
        </is>
      </c>
      <c r="F2941" t="n">
        <v>1</v>
      </c>
      <c r="G2941" t="n">
        <v>108</v>
      </c>
      <c r="H2941" t="n">
        <v>16.52</v>
      </c>
      <c r="I2941" t="inlineStr">
        <is>
          <t>boleto</t>
        </is>
      </c>
      <c r="J2941" t="n">
        <v>20</v>
      </c>
      <c r="K2941" t="inlineStr">
        <is>
          <t>On Time</t>
        </is>
      </c>
      <c r="L2941" t="n">
        <v>4</v>
      </c>
      <c r="M2941">
        <f>VLOOKUP(D2941,State_Lookup!$A$2:$B$28,2,FALSE)</f>
        <v/>
      </c>
    </row>
    <row r="2942">
      <c r="A2942" t="inlineStr">
        <is>
          <t>cfcb538b0e3d703532d8676f72674a66</t>
        </is>
      </c>
      <c r="B2942" t="inlineStr">
        <is>
          <t>2018-02-22</t>
        </is>
      </c>
      <c r="C2942" t="inlineStr">
        <is>
          <t>2018-02</t>
        </is>
      </c>
      <c r="D2942" t="inlineStr">
        <is>
          <t>MG</t>
        </is>
      </c>
      <c r="E2942" t="inlineStr">
        <is>
          <t>auto</t>
        </is>
      </c>
      <c r="F2942" t="n">
        <v>1</v>
      </c>
      <c r="G2942" t="n">
        <v>69.90000000000001</v>
      </c>
      <c r="H2942" t="n">
        <v>17.74</v>
      </c>
      <c r="I2942" t="inlineStr">
        <is>
          <t>credit_card</t>
        </is>
      </c>
      <c r="J2942" t="n">
        <v>13</v>
      </c>
      <c r="K2942" t="inlineStr">
        <is>
          <t>On Time</t>
        </is>
      </c>
      <c r="L2942" t="n">
        <v>5</v>
      </c>
      <c r="M2942">
        <f>VLOOKUP(D2942,State_Lookup!$A$2:$B$28,2,FALSE)</f>
        <v/>
      </c>
    </row>
    <row r="2943">
      <c r="A2943" t="inlineStr">
        <is>
          <t>149d32ba42826835e09c375b8a1fa923</t>
        </is>
      </c>
      <c r="B2943" t="inlineStr">
        <is>
          <t>2018-02-22</t>
        </is>
      </c>
      <c r="C2943" t="inlineStr">
        <is>
          <t>2018-02</t>
        </is>
      </c>
      <c r="D2943" t="inlineStr">
        <is>
          <t>RJ</t>
        </is>
      </c>
      <c r="E2943" t="inlineStr">
        <is>
          <t>computers_accessories</t>
        </is>
      </c>
      <c r="F2943" t="n">
        <v>1</v>
      </c>
      <c r="G2943" t="n">
        <v>82</v>
      </c>
      <c r="H2943" t="n">
        <v>17.01</v>
      </c>
      <c r="I2943" t="inlineStr">
        <is>
          <t>credit_card</t>
        </is>
      </c>
      <c r="J2943" t="n">
        <v>43</v>
      </c>
      <c r="K2943" t="inlineStr">
        <is>
          <t>Late</t>
        </is>
      </c>
      <c r="L2943" t="n">
        <v>1</v>
      </c>
      <c r="M2943">
        <f>VLOOKUP(D2943,State_Lookup!$A$2:$B$28,2,FALSE)</f>
        <v/>
      </c>
    </row>
    <row r="2944">
      <c r="A2944" t="inlineStr">
        <is>
          <t>ded4e6e4d721200bd599d81e5b29901f</t>
        </is>
      </c>
      <c r="B2944" t="inlineStr">
        <is>
          <t>2018-02-23</t>
        </is>
      </c>
      <c r="C2944" t="inlineStr">
        <is>
          <t>2018-02</t>
        </is>
      </c>
      <c r="D2944" t="inlineStr">
        <is>
          <t>MG</t>
        </is>
      </c>
      <c r="E2944" t="inlineStr">
        <is>
          <t>baby</t>
        </is>
      </c>
      <c r="F2944" t="n">
        <v>1</v>
      </c>
      <c r="G2944" t="n">
        <v>148.98</v>
      </c>
      <c r="H2944" t="n">
        <v>16.8</v>
      </c>
      <c r="I2944" t="inlineStr">
        <is>
          <t>credit_card</t>
        </is>
      </c>
      <c r="J2944" t="n">
        <v>13</v>
      </c>
      <c r="K2944" t="inlineStr">
        <is>
          <t>On Time</t>
        </is>
      </c>
      <c r="L2944" t="n">
        <v>5</v>
      </c>
      <c r="M2944">
        <f>VLOOKUP(D2944,State_Lookup!$A$2:$B$28,2,FALSE)</f>
        <v/>
      </c>
    </row>
    <row r="2945">
      <c r="A2945" t="inlineStr">
        <is>
          <t>c206348085f589eaf3bcd60a005bb15c</t>
        </is>
      </c>
      <c r="B2945" t="inlineStr">
        <is>
          <t>2018-02-23</t>
        </is>
      </c>
      <c r="C2945" t="inlineStr">
        <is>
          <t>2018-02</t>
        </is>
      </c>
      <c r="D2945" t="inlineStr">
        <is>
          <t>SP</t>
        </is>
      </c>
      <c r="E2945" t="inlineStr">
        <is>
          <t>watches_gifts</t>
        </is>
      </c>
      <c r="F2945" t="n">
        <v>1</v>
      </c>
      <c r="G2945" t="n">
        <v>145</v>
      </c>
      <c r="H2945" t="n">
        <v>12.51</v>
      </c>
      <c r="I2945" t="inlineStr">
        <is>
          <t>boleto</t>
        </is>
      </c>
      <c r="J2945" t="n">
        <v>46</v>
      </c>
      <c r="K2945" t="inlineStr">
        <is>
          <t>Late</t>
        </is>
      </c>
      <c r="L2945" t="n">
        <v>1</v>
      </c>
      <c r="M2945">
        <f>VLOOKUP(D2945,State_Lookup!$A$2:$B$28,2,FALSE)</f>
        <v/>
      </c>
    </row>
    <row r="2946">
      <c r="A2946" t="inlineStr">
        <is>
          <t>c59585ab4509d02f4685423c12357ed6</t>
        </is>
      </c>
      <c r="B2946" t="inlineStr">
        <is>
          <t>2018-02-23</t>
        </is>
      </c>
      <c r="C2946" t="inlineStr">
        <is>
          <t>2018-02</t>
        </is>
      </c>
      <c r="D2946" t="inlineStr">
        <is>
          <t>SP</t>
        </is>
      </c>
      <c r="E2946" t="inlineStr">
        <is>
          <t>furniture_decor</t>
        </is>
      </c>
      <c r="F2946" t="n">
        <v>1</v>
      </c>
      <c r="G2946" t="n">
        <v>39.9</v>
      </c>
      <c r="H2946" t="n">
        <v>15.1</v>
      </c>
      <c r="I2946" t="inlineStr">
        <is>
          <t>boleto</t>
        </is>
      </c>
      <c r="J2946" t="n">
        <v>12</v>
      </c>
      <c r="K2946" t="inlineStr">
        <is>
          <t>On Time</t>
        </is>
      </c>
      <c r="L2946" t="n">
        <v>5</v>
      </c>
      <c r="M2946">
        <f>VLOOKUP(D2946,State_Lookup!$A$2:$B$28,2,FALSE)</f>
        <v/>
      </c>
    </row>
    <row r="2947">
      <c r="A2947" t="inlineStr">
        <is>
          <t>3a445f42bc5c0d6f94bba006b7de2a85</t>
        </is>
      </c>
      <c r="B2947" t="inlineStr">
        <is>
          <t>2018-02-23</t>
        </is>
      </c>
      <c r="C2947" t="inlineStr">
        <is>
          <t>2018-02</t>
        </is>
      </c>
      <c r="D2947" t="inlineStr">
        <is>
          <t>PI</t>
        </is>
      </c>
      <c r="E2947" t="inlineStr">
        <is>
          <t>garden_tools</t>
        </is>
      </c>
      <c r="F2947" t="n">
        <v>1</v>
      </c>
      <c r="G2947" t="n">
        <v>210</v>
      </c>
      <c r="H2947" t="n">
        <v>23.79</v>
      </c>
      <c r="I2947" t="inlineStr">
        <is>
          <t>credit_card</t>
        </is>
      </c>
      <c r="J2947" t="n">
        <v>19</v>
      </c>
      <c r="K2947" t="inlineStr">
        <is>
          <t>On Time</t>
        </is>
      </c>
      <c r="L2947" t="n">
        <v>5</v>
      </c>
      <c r="M2947">
        <f>VLOOKUP(D2947,State_Lookup!$A$2:$B$28,2,FALSE)</f>
        <v/>
      </c>
    </row>
    <row r="2948">
      <c r="A2948" t="inlineStr">
        <is>
          <t>2c326cc8b2ff60f30ceb556f4581d7a4</t>
        </is>
      </c>
      <c r="B2948" t="inlineStr">
        <is>
          <t>2018-02-23</t>
        </is>
      </c>
      <c r="C2948" t="inlineStr">
        <is>
          <t>2018-02</t>
        </is>
      </c>
      <c r="D2948" t="inlineStr">
        <is>
          <t>SP</t>
        </is>
      </c>
      <c r="E2948" t="inlineStr">
        <is>
          <t>consoles_games</t>
        </is>
      </c>
      <c r="F2948" t="n">
        <v>1</v>
      </c>
      <c r="G2948" t="n">
        <v>689.89</v>
      </c>
      <c r="H2948" t="n">
        <v>20.59</v>
      </c>
      <c r="I2948" t="inlineStr">
        <is>
          <t>credit_card</t>
        </is>
      </c>
      <c r="J2948" t="n">
        <v>18</v>
      </c>
      <c r="K2948" t="inlineStr">
        <is>
          <t>On Time</t>
        </is>
      </c>
      <c r="L2948" t="n">
        <v>3</v>
      </c>
      <c r="M2948">
        <f>VLOOKUP(D2948,State_Lookup!$A$2:$B$28,2,FALSE)</f>
        <v/>
      </c>
    </row>
    <row r="2949">
      <c r="A2949" t="inlineStr">
        <is>
          <t>cc178cb47677a3eae9282800d609ffb4</t>
        </is>
      </c>
      <c r="B2949" t="inlineStr">
        <is>
          <t>2018-02-23</t>
        </is>
      </c>
      <c r="C2949" t="inlineStr">
        <is>
          <t>2018-02</t>
        </is>
      </c>
      <c r="D2949" t="inlineStr">
        <is>
          <t>RJ</t>
        </is>
      </c>
      <c r="E2949" t="inlineStr">
        <is>
          <t>bed_bath_table</t>
        </is>
      </c>
      <c r="F2949" t="n">
        <v>1</v>
      </c>
      <c r="G2949" t="n">
        <v>179.9</v>
      </c>
      <c r="H2949" t="n">
        <v>21.75</v>
      </c>
      <c r="I2949" t="inlineStr">
        <is>
          <t>credit_card</t>
        </is>
      </c>
      <c r="J2949" t="n">
        <v>28</v>
      </c>
      <c r="K2949" t="inlineStr">
        <is>
          <t>Late</t>
        </is>
      </c>
      <c r="L2949" t="n">
        <v>2</v>
      </c>
      <c r="M2949">
        <f>VLOOKUP(D2949,State_Lookup!$A$2:$B$28,2,FALSE)</f>
        <v/>
      </c>
    </row>
    <row r="2950">
      <c r="A2950" t="inlineStr">
        <is>
          <t>ac710ab76d5651200cb6082f2c294d29</t>
        </is>
      </c>
      <c r="B2950" t="inlineStr">
        <is>
          <t>2018-02-23</t>
        </is>
      </c>
      <c r="C2950" t="inlineStr">
        <is>
          <t>2018-02</t>
        </is>
      </c>
      <c r="D2950" t="inlineStr">
        <is>
          <t>PR</t>
        </is>
      </c>
      <c r="E2950" t="inlineStr">
        <is>
          <t>computers_accessories</t>
        </is>
      </c>
      <c r="F2950" t="n">
        <v>1</v>
      </c>
      <c r="G2950" t="n">
        <v>29.99</v>
      </c>
      <c r="H2950" t="n">
        <v>14.1</v>
      </c>
      <c r="I2950" t="inlineStr">
        <is>
          <t>credit_card</t>
        </is>
      </c>
      <c r="J2950" t="n">
        <v>12</v>
      </c>
      <c r="K2950" t="inlineStr">
        <is>
          <t>On Time</t>
        </is>
      </c>
      <c r="L2950" t="n">
        <v>5</v>
      </c>
      <c r="M2950">
        <f>VLOOKUP(D2950,State_Lookup!$A$2:$B$28,2,FALSE)</f>
        <v/>
      </c>
    </row>
    <row r="2951">
      <c r="A2951" t="inlineStr">
        <is>
          <t>35774167bb17537229f8ffb6e662981c</t>
        </is>
      </c>
      <c r="B2951" t="inlineStr">
        <is>
          <t>2018-02-23</t>
        </is>
      </c>
      <c r="C2951" t="inlineStr">
        <is>
          <t>2018-02</t>
        </is>
      </c>
      <c r="D2951" t="inlineStr">
        <is>
          <t>SP</t>
        </is>
      </c>
      <c r="E2951" t="inlineStr">
        <is>
          <t>bed_bath_table</t>
        </is>
      </c>
      <c r="F2951" t="n">
        <v>1</v>
      </c>
      <c r="G2951" t="n">
        <v>44.99</v>
      </c>
      <c r="H2951" t="n">
        <v>13.37</v>
      </c>
      <c r="I2951" t="inlineStr">
        <is>
          <t>credit_card</t>
        </is>
      </c>
      <c r="J2951" t="n">
        <v>13</v>
      </c>
      <c r="K2951" t="inlineStr">
        <is>
          <t>On Time</t>
        </is>
      </c>
      <c r="L2951" t="n">
        <v>4</v>
      </c>
      <c r="M2951">
        <f>VLOOKUP(D2951,State_Lookup!$A$2:$B$28,2,FALSE)</f>
        <v/>
      </c>
    </row>
    <row r="2952">
      <c r="A2952" t="inlineStr">
        <is>
          <t>a9c2ab2568ed61706babd520ef82b9b2</t>
        </is>
      </c>
      <c r="B2952" t="inlineStr">
        <is>
          <t>2018-02-24</t>
        </is>
      </c>
      <c r="C2952" t="inlineStr">
        <is>
          <t>2018-02</t>
        </is>
      </c>
      <c r="D2952" t="inlineStr">
        <is>
          <t>MG</t>
        </is>
      </c>
      <c r="E2952" t="inlineStr">
        <is>
          <t>sports_leisure</t>
        </is>
      </c>
      <c r="F2952" t="n">
        <v>1</v>
      </c>
      <c r="G2952" t="n">
        <v>45.5</v>
      </c>
      <c r="H2952" t="n">
        <v>16.79</v>
      </c>
      <c r="I2952" t="inlineStr">
        <is>
          <t>credit_card</t>
        </is>
      </c>
      <c r="J2952" t="n">
        <v>8</v>
      </c>
      <c r="K2952" t="inlineStr">
        <is>
          <t>On Time</t>
        </is>
      </c>
      <c r="L2952" t="n">
        <v>3</v>
      </c>
      <c r="M2952">
        <f>VLOOKUP(D2952,State_Lookup!$A$2:$B$28,2,FALSE)</f>
        <v/>
      </c>
    </row>
    <row r="2953">
      <c r="A2953" t="inlineStr">
        <is>
          <t>f93bcee6c5595d8b07ad4f799fe5b590</t>
        </is>
      </c>
      <c r="B2953" t="inlineStr">
        <is>
          <t>2018-02-24</t>
        </is>
      </c>
      <c r="C2953" t="inlineStr">
        <is>
          <t>2018-02</t>
        </is>
      </c>
      <c r="D2953" t="inlineStr">
        <is>
          <t>GO</t>
        </is>
      </c>
      <c r="E2953" t="inlineStr">
        <is>
          <t>auto</t>
        </is>
      </c>
      <c r="F2953" t="n">
        <v>1</v>
      </c>
      <c r="G2953" t="n">
        <v>219.9</v>
      </c>
      <c r="H2953" t="n">
        <v>35.34</v>
      </c>
      <c r="I2953" t="inlineStr">
        <is>
          <t>credit_card</t>
        </is>
      </c>
      <c r="J2953" t="n">
        <v>17</v>
      </c>
      <c r="K2953" t="inlineStr">
        <is>
          <t>On Time</t>
        </is>
      </c>
      <c r="L2953" t="n">
        <v>3</v>
      </c>
      <c r="M2953">
        <f>VLOOKUP(D2953,State_Lookup!$A$2:$B$28,2,FALSE)</f>
        <v/>
      </c>
    </row>
    <row r="2954">
      <c r="A2954" t="inlineStr">
        <is>
          <t>469693e7d8d566a64be410892965da82</t>
        </is>
      </c>
      <c r="B2954" t="inlineStr">
        <is>
          <t>2018-02-24</t>
        </is>
      </c>
      <c r="C2954" t="inlineStr">
        <is>
          <t>2018-02</t>
        </is>
      </c>
      <c r="D2954" t="inlineStr">
        <is>
          <t>SP</t>
        </is>
      </c>
      <c r="E2954" t="inlineStr">
        <is>
          <t>fashion_bags_accessories</t>
        </is>
      </c>
      <c r="F2954" t="n">
        <v>1</v>
      </c>
      <c r="G2954" t="n">
        <v>115</v>
      </c>
      <c r="H2954" t="n">
        <v>18.06</v>
      </c>
      <c r="I2954" t="inlineStr">
        <is>
          <t>credit_card</t>
        </is>
      </c>
      <c r="J2954" t="n">
        <v>10</v>
      </c>
      <c r="K2954" t="inlineStr">
        <is>
          <t>On Time</t>
        </is>
      </c>
      <c r="L2954" t="n">
        <v>5</v>
      </c>
      <c r="M2954">
        <f>VLOOKUP(D2954,State_Lookup!$A$2:$B$28,2,FALSE)</f>
        <v/>
      </c>
    </row>
    <row r="2955">
      <c r="A2955" t="inlineStr">
        <is>
          <t>0552997d7a7283a7761acc3a5f9bcefd</t>
        </is>
      </c>
      <c r="B2955" t="inlineStr">
        <is>
          <t>2018-02-24</t>
        </is>
      </c>
      <c r="C2955" t="inlineStr">
        <is>
          <t>2018-02</t>
        </is>
      </c>
      <c r="D2955" t="inlineStr">
        <is>
          <t>SP</t>
        </is>
      </c>
      <c r="E2955" t="inlineStr">
        <is>
          <t>musical_instruments</t>
        </is>
      </c>
      <c r="F2955" t="n">
        <v>1</v>
      </c>
      <c r="G2955" t="n">
        <v>22.99</v>
      </c>
      <c r="H2955" t="n">
        <v>14.1</v>
      </c>
      <c r="I2955" t="inlineStr">
        <is>
          <t>credit_card</t>
        </is>
      </c>
      <c r="J2955" t="n">
        <v>8</v>
      </c>
      <c r="K2955" t="inlineStr">
        <is>
          <t>On Time</t>
        </is>
      </c>
      <c r="L2955" t="n">
        <v>5</v>
      </c>
      <c r="M2955">
        <f>VLOOKUP(D2955,State_Lookup!$A$2:$B$28,2,FALSE)</f>
        <v/>
      </c>
    </row>
    <row r="2956">
      <c r="A2956" t="inlineStr">
        <is>
          <t>6966b21d5a0ca10f795dc14508c1b7bf</t>
        </is>
      </c>
      <c r="B2956" t="inlineStr">
        <is>
          <t>2018-02-24</t>
        </is>
      </c>
      <c r="C2956" t="inlineStr">
        <is>
          <t>2018-02</t>
        </is>
      </c>
      <c r="D2956" t="inlineStr">
        <is>
          <t>RJ</t>
        </is>
      </c>
      <c r="E2956" t="inlineStr">
        <is>
          <t>electronics</t>
        </is>
      </c>
      <c r="F2956" t="n">
        <v>1</v>
      </c>
      <c r="G2956" t="n">
        <v>280.1</v>
      </c>
      <c r="H2956" t="n">
        <v>16.71</v>
      </c>
      <c r="I2956" t="inlineStr">
        <is>
          <t>credit_card</t>
        </is>
      </c>
      <c r="J2956" t="n">
        <v>54</v>
      </c>
      <c r="K2956" t="inlineStr">
        <is>
          <t>Late</t>
        </is>
      </c>
      <c r="L2956" t="n">
        <v>2</v>
      </c>
      <c r="M2956">
        <f>VLOOKUP(D2956,State_Lookup!$A$2:$B$28,2,FALSE)</f>
        <v/>
      </c>
    </row>
    <row r="2957">
      <c r="A2957" t="inlineStr">
        <is>
          <t>6170d8a92e5cd9a59e1f17ffdd5bf6ec</t>
        </is>
      </c>
      <c r="B2957" t="inlineStr">
        <is>
          <t>2018-02-24</t>
        </is>
      </c>
      <c r="C2957" t="inlineStr">
        <is>
          <t>2018-02</t>
        </is>
      </c>
      <c r="D2957" t="inlineStr">
        <is>
          <t>PR</t>
        </is>
      </c>
      <c r="E2957" t="inlineStr">
        <is>
          <t>computers_accessories</t>
        </is>
      </c>
      <c r="F2957" t="n">
        <v>1</v>
      </c>
      <c r="G2957" t="n">
        <v>149.9</v>
      </c>
      <c r="H2957" t="n">
        <v>27.9</v>
      </c>
      <c r="I2957" t="inlineStr">
        <is>
          <t>credit_card</t>
        </is>
      </c>
      <c r="J2957" t="n">
        <v>12</v>
      </c>
      <c r="K2957" t="inlineStr">
        <is>
          <t>On Time</t>
        </is>
      </c>
      <c r="L2957" t="n">
        <v>5</v>
      </c>
      <c r="M2957">
        <f>VLOOKUP(D2957,State_Lookup!$A$2:$B$28,2,FALSE)</f>
        <v/>
      </c>
    </row>
    <row r="2958">
      <c r="A2958" t="inlineStr">
        <is>
          <t>1ae207d919424c0be708422e3f833170</t>
        </is>
      </c>
      <c r="B2958" t="inlineStr">
        <is>
          <t>2018-02-24</t>
        </is>
      </c>
      <c r="C2958" t="inlineStr">
        <is>
          <t>2018-02</t>
        </is>
      </c>
      <c r="D2958" t="inlineStr">
        <is>
          <t>SP</t>
        </is>
      </c>
      <c r="E2958" t="inlineStr">
        <is>
          <t>air_conditioning</t>
        </is>
      </c>
      <c r="F2958" t="n">
        <v>1</v>
      </c>
      <c r="G2958" t="n">
        <v>700</v>
      </c>
      <c r="H2958" t="n">
        <v>68.59</v>
      </c>
      <c r="I2958" t="inlineStr">
        <is>
          <t>credit_card</t>
        </is>
      </c>
      <c r="J2958" t="n">
        <v>9</v>
      </c>
      <c r="K2958" t="inlineStr">
        <is>
          <t>On Time</t>
        </is>
      </c>
      <c r="L2958" t="n">
        <v>5</v>
      </c>
      <c r="M2958">
        <f>VLOOKUP(D2958,State_Lookup!$A$2:$B$28,2,FALSE)</f>
        <v/>
      </c>
    </row>
    <row r="2959">
      <c r="A2959" t="inlineStr">
        <is>
          <t>a18250c6b3610d91743d63ac9c8a1477</t>
        </is>
      </c>
      <c r="B2959" t="inlineStr">
        <is>
          <t>2018-02-24</t>
        </is>
      </c>
      <c r="C2959" t="inlineStr">
        <is>
          <t>2018-02</t>
        </is>
      </c>
      <c r="D2959" t="inlineStr">
        <is>
          <t>MG</t>
        </is>
      </c>
      <c r="E2959" t="inlineStr">
        <is>
          <t>pet_shop</t>
        </is>
      </c>
      <c r="F2959" t="n">
        <v>1</v>
      </c>
      <c r="G2959" t="n">
        <v>89.7</v>
      </c>
      <c r="H2959" t="n">
        <v>12.76</v>
      </c>
      <c r="I2959" t="inlineStr">
        <is>
          <t>credit_card</t>
        </is>
      </c>
      <c r="J2959" t="n">
        <v>3</v>
      </c>
      <c r="K2959" t="inlineStr">
        <is>
          <t>On Time</t>
        </is>
      </c>
      <c r="L2959" t="n">
        <v>5</v>
      </c>
      <c r="M2959">
        <f>VLOOKUP(D2959,State_Lookup!$A$2:$B$28,2,FALSE)</f>
        <v/>
      </c>
    </row>
    <row r="2960">
      <c r="A2960" t="inlineStr">
        <is>
          <t>f4e69e26765d66772006b9885e1dc6f5</t>
        </is>
      </c>
      <c r="B2960" t="inlineStr">
        <is>
          <t>2018-02-24</t>
        </is>
      </c>
      <c r="C2960" t="inlineStr">
        <is>
          <t>2018-02</t>
        </is>
      </c>
      <c r="D2960" t="inlineStr">
        <is>
          <t>SP</t>
        </is>
      </c>
      <c r="E2960" t="inlineStr">
        <is>
          <t>electronics</t>
        </is>
      </c>
      <c r="F2960" t="n">
        <v>1</v>
      </c>
      <c r="G2960" t="n">
        <v>13.65</v>
      </c>
      <c r="H2960" t="n">
        <v>7.78</v>
      </c>
      <c r="I2960" t="inlineStr">
        <is>
          <t>credit_card</t>
        </is>
      </c>
      <c r="J2960" t="n">
        <v>3</v>
      </c>
      <c r="K2960" t="inlineStr">
        <is>
          <t>On Time</t>
        </is>
      </c>
      <c r="L2960" t="n">
        <v>4</v>
      </c>
      <c r="M2960">
        <f>VLOOKUP(D2960,State_Lookup!$A$2:$B$28,2,FALSE)</f>
        <v/>
      </c>
    </row>
    <row r="2961">
      <c r="A2961" t="inlineStr">
        <is>
          <t>be7a773222d5a7d8b12e75ed2320037a</t>
        </is>
      </c>
      <c r="B2961" t="inlineStr">
        <is>
          <t>2018-02-24</t>
        </is>
      </c>
      <c r="C2961" t="inlineStr">
        <is>
          <t>2018-02</t>
        </is>
      </c>
      <c r="D2961" t="inlineStr">
        <is>
          <t>RS</t>
        </is>
      </c>
      <c r="E2961" t="inlineStr">
        <is>
          <t>watches_gifts</t>
        </is>
      </c>
      <c r="F2961" t="n">
        <v>1</v>
      </c>
      <c r="G2961" t="n">
        <v>38</v>
      </c>
      <c r="H2961" t="n">
        <v>15.1</v>
      </c>
      <c r="I2961" t="inlineStr">
        <is>
          <t>credit_card</t>
        </is>
      </c>
      <c r="J2961" t="n">
        <v>11</v>
      </c>
      <c r="K2961" t="inlineStr">
        <is>
          <t>On Time</t>
        </is>
      </c>
      <c r="L2961" t="inlineStr"/>
      <c r="M2961">
        <f>VLOOKUP(D2961,State_Lookup!$A$2:$B$28,2,FALSE)</f>
        <v/>
      </c>
    </row>
    <row r="2962">
      <c r="A2962" t="inlineStr">
        <is>
          <t>7cae50310da9b9ad218aa7ca236e41ad</t>
        </is>
      </c>
      <c r="B2962" t="inlineStr">
        <is>
          <t>2018-02-24</t>
        </is>
      </c>
      <c r="C2962" t="inlineStr">
        <is>
          <t>2018-02</t>
        </is>
      </c>
      <c r="D2962" t="inlineStr">
        <is>
          <t>SP</t>
        </is>
      </c>
      <c r="E2962" t="inlineStr">
        <is>
          <t>computers_accessories</t>
        </is>
      </c>
      <c r="F2962" t="n">
        <v>1</v>
      </c>
      <c r="G2962" t="n">
        <v>74.90000000000001</v>
      </c>
      <c r="H2962" t="n">
        <v>15.27</v>
      </c>
      <c r="I2962" t="inlineStr">
        <is>
          <t>credit_card</t>
        </is>
      </c>
      <c r="J2962" t="n">
        <v>23</v>
      </c>
      <c r="K2962" t="inlineStr">
        <is>
          <t>On Time</t>
        </is>
      </c>
      <c r="L2962" t="n">
        <v>4</v>
      </c>
      <c r="M2962">
        <f>VLOOKUP(D2962,State_Lookup!$A$2:$B$28,2,FALSE)</f>
        <v/>
      </c>
    </row>
    <row r="2963">
      <c r="A2963" t="inlineStr">
        <is>
          <t>db9184ca76c81f6e6f102cda2b30e12f</t>
        </is>
      </c>
      <c r="B2963" t="inlineStr">
        <is>
          <t>2018-02-24</t>
        </is>
      </c>
      <c r="C2963" t="inlineStr">
        <is>
          <t>2018-02</t>
        </is>
      </c>
      <c r="D2963" t="inlineStr">
        <is>
          <t>SP</t>
        </is>
      </c>
      <c r="E2963" t="inlineStr">
        <is>
          <t>watches_gifts</t>
        </is>
      </c>
      <c r="F2963" t="n">
        <v>1</v>
      </c>
      <c r="G2963" t="n">
        <v>95</v>
      </c>
      <c r="H2963" t="n">
        <v>16.43</v>
      </c>
      <c r="I2963" t="inlineStr">
        <is>
          <t>credit_card</t>
        </is>
      </c>
      <c r="J2963" t="n">
        <v>44</v>
      </c>
      <c r="K2963" t="inlineStr">
        <is>
          <t>Late</t>
        </is>
      </c>
      <c r="L2963" t="n">
        <v>5</v>
      </c>
      <c r="M2963">
        <f>VLOOKUP(D2963,State_Lookup!$A$2:$B$28,2,FALSE)</f>
        <v/>
      </c>
    </row>
    <row r="2964">
      <c r="A2964" t="inlineStr">
        <is>
          <t>64e3321a3a685e5fc72f768029201519</t>
        </is>
      </c>
      <c r="B2964" t="inlineStr">
        <is>
          <t>2018-02-24</t>
        </is>
      </c>
      <c r="C2964" t="inlineStr">
        <is>
          <t>2018-02</t>
        </is>
      </c>
      <c r="D2964" t="inlineStr">
        <is>
          <t>RJ</t>
        </is>
      </c>
      <c r="E2964" t="inlineStr">
        <is>
          <t>telephony</t>
        </is>
      </c>
      <c r="F2964" t="n">
        <v>2</v>
      </c>
      <c r="G2964" t="n">
        <v>119.8</v>
      </c>
      <c r="H2964" t="n">
        <v>30.34</v>
      </c>
      <c r="I2964" t="inlineStr">
        <is>
          <t>credit_card</t>
        </is>
      </c>
      <c r="J2964" t="n">
        <v>24</v>
      </c>
      <c r="K2964" t="inlineStr">
        <is>
          <t>Late</t>
        </is>
      </c>
      <c r="L2964" t="n">
        <v>5</v>
      </c>
      <c r="M2964">
        <f>VLOOKUP(D2964,State_Lookup!$A$2:$B$28,2,FALSE)</f>
        <v/>
      </c>
    </row>
    <row r="2965">
      <c r="A2965" t="inlineStr">
        <is>
          <t>2c9f9957886293ce9bc43dee12fa1adb</t>
        </is>
      </c>
      <c r="B2965" t="inlineStr">
        <is>
          <t>2018-02-24</t>
        </is>
      </c>
      <c r="C2965" t="inlineStr">
        <is>
          <t>2018-02</t>
        </is>
      </c>
      <c r="D2965" t="inlineStr">
        <is>
          <t>RJ</t>
        </is>
      </c>
      <c r="E2965" t="inlineStr">
        <is>
          <t>housewares</t>
        </is>
      </c>
      <c r="F2965" t="n">
        <v>1</v>
      </c>
      <c r="G2965" t="n">
        <v>108.3</v>
      </c>
      <c r="H2965" t="n">
        <v>22.63</v>
      </c>
      <c r="I2965" t="inlineStr">
        <is>
          <t>credit_card</t>
        </is>
      </c>
      <c r="J2965" t="n">
        <v>11</v>
      </c>
      <c r="K2965" t="inlineStr">
        <is>
          <t>On Time</t>
        </is>
      </c>
      <c r="L2965" t="n">
        <v>5</v>
      </c>
      <c r="M2965">
        <f>VLOOKUP(D2965,State_Lookup!$A$2:$B$28,2,FALSE)</f>
        <v/>
      </c>
    </row>
    <row r="2966">
      <c r="A2966" t="inlineStr">
        <is>
          <t>3d205e6a3bde8bd5a480aba4d26dd315</t>
        </is>
      </c>
      <c r="B2966" t="inlineStr">
        <is>
          <t>2018-02-24</t>
        </is>
      </c>
      <c r="C2966" t="inlineStr">
        <is>
          <t>2018-02</t>
        </is>
      </c>
      <c r="D2966" t="inlineStr">
        <is>
          <t>SP</t>
        </is>
      </c>
      <c r="E2966" t="inlineStr">
        <is>
          <t>perfumery</t>
        </is>
      </c>
      <c r="F2966" t="n">
        <v>1</v>
      </c>
      <c r="G2966" t="n">
        <v>34.9</v>
      </c>
      <c r="H2966" t="n">
        <v>7.78</v>
      </c>
      <c r="I2966" t="inlineStr">
        <is>
          <t>credit_card</t>
        </is>
      </c>
      <c r="J2966" t="n">
        <v>5</v>
      </c>
      <c r="K2966" t="inlineStr">
        <is>
          <t>On Time</t>
        </is>
      </c>
      <c r="L2966" t="n">
        <v>5</v>
      </c>
      <c r="M2966">
        <f>VLOOKUP(D2966,State_Lookup!$A$2:$B$28,2,FALSE)</f>
        <v/>
      </c>
    </row>
    <row r="2967">
      <c r="A2967" t="inlineStr">
        <is>
          <t>3ee2cb486f75ff2899da20d9bec72017</t>
        </is>
      </c>
      <c r="B2967" t="inlineStr">
        <is>
          <t>2018-02-24</t>
        </is>
      </c>
      <c r="C2967" t="inlineStr">
        <is>
          <t>2018-02</t>
        </is>
      </c>
      <c r="D2967" t="inlineStr">
        <is>
          <t>SC</t>
        </is>
      </c>
      <c r="E2967" t="inlineStr">
        <is>
          <t>telephony</t>
        </is>
      </c>
      <c r="F2967" t="n">
        <v>1</v>
      </c>
      <c r="G2967" t="n">
        <v>24.99</v>
      </c>
      <c r="H2967" t="n">
        <v>15.1</v>
      </c>
      <c r="I2967" t="inlineStr">
        <is>
          <t>credit_card</t>
        </is>
      </c>
      <c r="J2967" t="n">
        <v>23</v>
      </c>
      <c r="K2967" t="inlineStr">
        <is>
          <t>On Time</t>
        </is>
      </c>
      <c r="L2967" t="n">
        <v>3</v>
      </c>
      <c r="M2967">
        <f>VLOOKUP(D2967,State_Lookup!$A$2:$B$28,2,FALSE)</f>
        <v/>
      </c>
    </row>
    <row r="2968">
      <c r="A2968" t="inlineStr">
        <is>
          <t>b33f9582323f5ebe1c82f0ab04b03734</t>
        </is>
      </c>
      <c r="B2968" t="inlineStr">
        <is>
          <t>2018-02-25</t>
        </is>
      </c>
      <c r="C2968" t="inlineStr">
        <is>
          <t>2018-02</t>
        </is>
      </c>
      <c r="D2968" t="inlineStr">
        <is>
          <t>SP</t>
        </is>
      </c>
      <c r="E2968" t="inlineStr">
        <is>
          <t>food_drink</t>
        </is>
      </c>
      <c r="F2968" t="n">
        <v>2</v>
      </c>
      <c r="G2968" t="n">
        <v>30</v>
      </c>
      <c r="H2968" t="n">
        <v>16.54</v>
      </c>
      <c r="I2968" t="inlineStr">
        <is>
          <t>credit_card</t>
        </is>
      </c>
      <c r="J2968" t="n">
        <v>5</v>
      </c>
      <c r="K2968" t="inlineStr">
        <is>
          <t>On Time</t>
        </is>
      </c>
      <c r="L2968" t="n">
        <v>5</v>
      </c>
      <c r="M2968">
        <f>VLOOKUP(D2968,State_Lookup!$A$2:$B$28,2,FALSE)</f>
        <v/>
      </c>
    </row>
    <row r="2969">
      <c r="A2969" t="inlineStr">
        <is>
          <t>af392de2586db1645a4044ef1e84c47a</t>
        </is>
      </c>
      <c r="B2969" t="inlineStr">
        <is>
          <t>2018-02-25</t>
        </is>
      </c>
      <c r="C2969" t="inlineStr">
        <is>
          <t>2018-02</t>
        </is>
      </c>
      <c r="D2969" t="inlineStr">
        <is>
          <t>SP</t>
        </is>
      </c>
      <c r="E2969" t="inlineStr">
        <is>
          <t>bed_bath_table</t>
        </is>
      </c>
      <c r="F2969" t="n">
        <v>1</v>
      </c>
      <c r="G2969" t="n">
        <v>139</v>
      </c>
      <c r="H2969" t="n">
        <v>13.99</v>
      </c>
      <c r="I2969" t="inlineStr">
        <is>
          <t>credit_card</t>
        </is>
      </c>
      <c r="J2969" t="n">
        <v>20</v>
      </c>
      <c r="K2969" t="inlineStr">
        <is>
          <t>Late</t>
        </is>
      </c>
      <c r="L2969" t="n">
        <v>4</v>
      </c>
      <c r="M2969">
        <f>VLOOKUP(D2969,State_Lookup!$A$2:$B$28,2,FALSE)</f>
        <v/>
      </c>
    </row>
    <row r="2970">
      <c r="A2970" t="inlineStr">
        <is>
          <t>de71166519878c2eefa30e4203d31c92</t>
        </is>
      </c>
      <c r="B2970" t="inlineStr">
        <is>
          <t>2018-02-25</t>
        </is>
      </c>
      <c r="C2970" t="inlineStr">
        <is>
          <t>2018-02</t>
        </is>
      </c>
      <c r="D2970" t="inlineStr">
        <is>
          <t>SP</t>
        </is>
      </c>
      <c r="E2970" t="inlineStr">
        <is>
          <t>garden_tools</t>
        </is>
      </c>
      <c r="F2970" t="n">
        <v>1</v>
      </c>
      <c r="G2970" t="n">
        <v>179</v>
      </c>
      <c r="H2970" t="n">
        <v>45.71</v>
      </c>
      <c r="I2970" t="inlineStr">
        <is>
          <t>credit_card</t>
        </is>
      </c>
      <c r="J2970" t="n">
        <v>18</v>
      </c>
      <c r="K2970" t="inlineStr">
        <is>
          <t>On Time</t>
        </is>
      </c>
      <c r="L2970" t="n">
        <v>3</v>
      </c>
      <c r="M2970">
        <f>VLOOKUP(D2970,State_Lookup!$A$2:$B$28,2,FALSE)</f>
        <v/>
      </c>
    </row>
    <row r="2971">
      <c r="A2971" t="inlineStr">
        <is>
          <t>08c7b46d1dfd29f3200c439119cfe4ac</t>
        </is>
      </c>
      <c r="B2971" t="inlineStr">
        <is>
          <t>2018-02-25</t>
        </is>
      </c>
      <c r="C2971" t="inlineStr">
        <is>
          <t>2018-02</t>
        </is>
      </c>
      <c r="D2971" t="inlineStr">
        <is>
          <t>RJ</t>
        </is>
      </c>
      <c r="E2971" t="inlineStr">
        <is>
          <t>housewares</t>
        </is>
      </c>
      <c r="F2971" t="n">
        <v>1</v>
      </c>
      <c r="G2971" t="n">
        <v>57.9</v>
      </c>
      <c r="H2971" t="n">
        <v>16.85</v>
      </c>
      <c r="I2971" t="inlineStr">
        <is>
          <t>credit_card</t>
        </is>
      </c>
      <c r="J2971" t="n">
        <v>10</v>
      </c>
      <c r="K2971" t="inlineStr">
        <is>
          <t>On Time</t>
        </is>
      </c>
      <c r="L2971" t="n">
        <v>5</v>
      </c>
      <c r="M2971">
        <f>VLOOKUP(D2971,State_Lookup!$A$2:$B$28,2,FALSE)</f>
        <v/>
      </c>
    </row>
    <row r="2972">
      <c r="A2972" t="inlineStr">
        <is>
          <t>ef1d282a121e2bee046bbab7f9f88331</t>
        </is>
      </c>
      <c r="B2972" t="inlineStr">
        <is>
          <t>2018-02-25</t>
        </is>
      </c>
      <c r="C2972" t="inlineStr">
        <is>
          <t>2018-02</t>
        </is>
      </c>
      <c r="D2972" t="inlineStr">
        <is>
          <t>SP</t>
        </is>
      </c>
      <c r="E2972" t="inlineStr">
        <is>
          <t>sports_leisure</t>
        </is>
      </c>
      <c r="F2972" t="n">
        <v>2</v>
      </c>
      <c r="G2972" t="n">
        <v>9</v>
      </c>
      <c r="H2972" t="n">
        <v>35.2</v>
      </c>
      <c r="I2972" t="inlineStr">
        <is>
          <t>credit_card</t>
        </is>
      </c>
      <c r="J2972" t="n">
        <v>21</v>
      </c>
      <c r="K2972" t="inlineStr">
        <is>
          <t>On Time</t>
        </is>
      </c>
      <c r="L2972" t="n">
        <v>3</v>
      </c>
      <c r="M2972">
        <f>VLOOKUP(D2972,State_Lookup!$A$2:$B$28,2,FALSE)</f>
        <v/>
      </c>
    </row>
    <row r="2973">
      <c r="A2973" t="inlineStr">
        <is>
          <t>1acffcfbb35247b9d15611ce0fe50460</t>
        </is>
      </c>
      <c r="B2973" t="inlineStr">
        <is>
          <t>2018-02-25</t>
        </is>
      </c>
      <c r="C2973" t="inlineStr">
        <is>
          <t>2018-02</t>
        </is>
      </c>
      <c r="D2973" t="inlineStr">
        <is>
          <t>ES</t>
        </is>
      </c>
      <c r="E2973" t="inlineStr">
        <is>
          <t>baby</t>
        </is>
      </c>
      <c r="F2973" t="n">
        <v>1</v>
      </c>
      <c r="G2973" t="n">
        <v>47.9</v>
      </c>
      <c r="H2973" t="n">
        <v>18.89</v>
      </c>
      <c r="I2973" t="inlineStr">
        <is>
          <t>boleto</t>
        </is>
      </c>
      <c r="J2973" t="n">
        <v>18</v>
      </c>
      <c r="K2973" t="inlineStr">
        <is>
          <t>On Time</t>
        </is>
      </c>
      <c r="L2973" t="n">
        <v>1</v>
      </c>
      <c r="M2973">
        <f>VLOOKUP(D2973,State_Lookup!$A$2:$B$28,2,FALSE)</f>
        <v/>
      </c>
    </row>
    <row r="2974">
      <c r="A2974" t="inlineStr">
        <is>
          <t>fa8eced9ca9993bda37ff154b012998c</t>
        </is>
      </c>
      <c r="B2974" t="inlineStr">
        <is>
          <t>2018-02-25</t>
        </is>
      </c>
      <c r="C2974" t="inlineStr">
        <is>
          <t>2018-02</t>
        </is>
      </c>
      <c r="D2974" t="inlineStr">
        <is>
          <t>RJ</t>
        </is>
      </c>
      <c r="E2974" t="inlineStr">
        <is>
          <t>health_beauty</t>
        </is>
      </c>
      <c r="F2974" t="n">
        <v>1</v>
      </c>
      <c r="G2974" t="n">
        <v>39</v>
      </c>
      <c r="H2974" t="n">
        <v>17.63</v>
      </c>
      <c r="I2974" t="inlineStr">
        <is>
          <t>credit_card</t>
        </is>
      </c>
      <c r="J2974" t="n">
        <v>15</v>
      </c>
      <c r="K2974" t="inlineStr">
        <is>
          <t>On Time</t>
        </is>
      </c>
      <c r="L2974" t="n">
        <v>4</v>
      </c>
      <c r="M2974">
        <f>VLOOKUP(D2974,State_Lookup!$A$2:$B$28,2,FALSE)</f>
        <v/>
      </c>
    </row>
    <row r="2975">
      <c r="A2975" t="inlineStr">
        <is>
          <t>0cadc06392b4f42042d688c35d6a1c16</t>
        </is>
      </c>
      <c r="B2975" t="inlineStr">
        <is>
          <t>2018-02-25</t>
        </is>
      </c>
      <c r="C2975" t="inlineStr">
        <is>
          <t>2018-02</t>
        </is>
      </c>
      <c r="D2975" t="inlineStr">
        <is>
          <t>SC</t>
        </is>
      </c>
      <c r="E2975" t="inlineStr">
        <is>
          <t>cool_stuff</t>
        </is>
      </c>
      <c r="F2975" t="n">
        <v>1</v>
      </c>
      <c r="G2975" t="n">
        <v>148</v>
      </c>
      <c r="H2975" t="n">
        <v>15.79</v>
      </c>
      <c r="I2975" t="inlineStr">
        <is>
          <t>credit_card</t>
        </is>
      </c>
      <c r="J2975" t="n">
        <v>26</v>
      </c>
      <c r="K2975" t="inlineStr">
        <is>
          <t>Late</t>
        </is>
      </c>
      <c r="L2975" t="n">
        <v>2</v>
      </c>
      <c r="M2975">
        <f>VLOOKUP(D2975,State_Lookup!$A$2:$B$28,2,FALSE)</f>
        <v/>
      </c>
    </row>
    <row r="2976">
      <c r="A2976" t="inlineStr">
        <is>
          <t>9bbc9e86ec19f512983335c5af110810</t>
        </is>
      </c>
      <c r="B2976" t="inlineStr">
        <is>
          <t>2018-02-26</t>
        </is>
      </c>
      <c r="C2976" t="inlineStr">
        <is>
          <t>2018-02</t>
        </is>
      </c>
      <c r="D2976" t="inlineStr">
        <is>
          <t>SP</t>
        </is>
      </c>
      <c r="E2976" t="inlineStr">
        <is>
          <t>health_beauty</t>
        </is>
      </c>
      <c r="F2976" t="n">
        <v>1</v>
      </c>
      <c r="G2976" t="n">
        <v>29.9</v>
      </c>
      <c r="H2976" t="n">
        <v>8.109999999999999</v>
      </c>
      <c r="I2976" t="inlineStr">
        <is>
          <t>debit_card</t>
        </is>
      </c>
      <c r="J2976" t="n">
        <v>2</v>
      </c>
      <c r="K2976" t="inlineStr">
        <is>
          <t>On Time</t>
        </is>
      </c>
      <c r="L2976" t="n">
        <v>5</v>
      </c>
      <c r="M2976">
        <f>VLOOKUP(D2976,State_Lookup!$A$2:$B$28,2,FALSE)</f>
        <v/>
      </c>
    </row>
    <row r="2977">
      <c r="A2977" t="inlineStr">
        <is>
          <t>7ac766e40565c0fcc2a226dfc3f6d89b</t>
        </is>
      </c>
      <c r="B2977" t="inlineStr">
        <is>
          <t>2018-02-26</t>
        </is>
      </c>
      <c r="C2977" t="inlineStr">
        <is>
          <t>2018-02</t>
        </is>
      </c>
      <c r="D2977" t="inlineStr">
        <is>
          <t>RS</t>
        </is>
      </c>
      <c r="E2977" t="inlineStr">
        <is>
          <t>books_general_interest</t>
        </is>
      </c>
      <c r="F2977" t="n">
        <v>1</v>
      </c>
      <c r="G2977" t="n">
        <v>49</v>
      </c>
      <c r="H2977" t="n">
        <v>15.1</v>
      </c>
      <c r="I2977" t="inlineStr">
        <is>
          <t>credit_card</t>
        </is>
      </c>
      <c r="J2977" t="n">
        <v>11</v>
      </c>
      <c r="K2977" t="inlineStr">
        <is>
          <t>On Time</t>
        </is>
      </c>
      <c r="L2977" t="n">
        <v>5</v>
      </c>
      <c r="M2977">
        <f>VLOOKUP(D2977,State_Lookup!$A$2:$B$28,2,FALSE)</f>
        <v/>
      </c>
    </row>
    <row r="2978">
      <c r="A2978" t="inlineStr">
        <is>
          <t>f55968a2a9ef74f95cf02a0541aecf8c</t>
        </is>
      </c>
      <c r="B2978" t="inlineStr">
        <is>
          <t>2018-02-26</t>
        </is>
      </c>
      <c r="C2978" t="inlineStr">
        <is>
          <t>2018-02</t>
        </is>
      </c>
      <c r="D2978" t="inlineStr">
        <is>
          <t>RS</t>
        </is>
      </c>
      <c r="E2978" t="inlineStr">
        <is>
          <t>sports_leisure</t>
        </is>
      </c>
      <c r="F2978" t="n">
        <v>1</v>
      </c>
      <c r="G2978" t="n">
        <v>169</v>
      </c>
      <c r="H2978" t="n">
        <v>27.5</v>
      </c>
      <c r="I2978" t="inlineStr">
        <is>
          <t>boleto</t>
        </is>
      </c>
      <c r="J2978" t="n">
        <v>16</v>
      </c>
      <c r="K2978" t="inlineStr">
        <is>
          <t>On Time</t>
        </is>
      </c>
      <c r="L2978" t="n">
        <v>5</v>
      </c>
      <c r="M2978">
        <f>VLOOKUP(D2978,State_Lookup!$A$2:$B$28,2,FALSE)</f>
        <v/>
      </c>
    </row>
    <row r="2979">
      <c r="A2979" t="inlineStr">
        <is>
          <t>c34f00bf4a9abf925efebbc3b2484c24</t>
        </is>
      </c>
      <c r="B2979" t="inlineStr">
        <is>
          <t>2018-02-26</t>
        </is>
      </c>
      <c r="C2979" t="inlineStr">
        <is>
          <t>2018-02</t>
        </is>
      </c>
      <c r="D2979" t="inlineStr">
        <is>
          <t>MG</t>
        </is>
      </c>
      <c r="E2979" t="inlineStr">
        <is>
          <t>computers_accessories</t>
        </is>
      </c>
      <c r="F2979" t="n">
        <v>3</v>
      </c>
      <c r="G2979" t="n">
        <v>56.7</v>
      </c>
      <c r="H2979" t="n">
        <v>45.3</v>
      </c>
      <c r="I2979" t="inlineStr">
        <is>
          <t>credit_card</t>
        </is>
      </c>
      <c r="J2979" t="n">
        <v>18</v>
      </c>
      <c r="K2979" t="inlineStr">
        <is>
          <t>On Time</t>
        </is>
      </c>
      <c r="L2979" t="n">
        <v>1</v>
      </c>
      <c r="M2979">
        <f>VLOOKUP(D2979,State_Lookup!$A$2:$B$28,2,FALSE)</f>
        <v/>
      </c>
    </row>
    <row r="2980">
      <c r="A2980" t="inlineStr">
        <is>
          <t>19c54d85fa291d4193fe838cbde71403</t>
        </is>
      </c>
      <c r="B2980" t="inlineStr">
        <is>
          <t>2018-02-26</t>
        </is>
      </c>
      <c r="C2980" t="inlineStr">
        <is>
          <t>2018-02</t>
        </is>
      </c>
      <c r="D2980" t="inlineStr">
        <is>
          <t>MG</t>
        </is>
      </c>
      <c r="E2980" t="inlineStr">
        <is>
          <t>bed_bath_table</t>
        </is>
      </c>
      <c r="F2980" t="n">
        <v>1</v>
      </c>
      <c r="G2980" t="n">
        <v>199.9</v>
      </c>
      <c r="H2980" t="n">
        <v>21.89</v>
      </c>
      <c r="I2980" t="inlineStr">
        <is>
          <t>credit_card</t>
        </is>
      </c>
      <c r="J2980" t="n">
        <v>43</v>
      </c>
      <c r="K2980" t="inlineStr">
        <is>
          <t>Late</t>
        </is>
      </c>
      <c r="L2980" t="inlineStr"/>
      <c r="M2980">
        <f>VLOOKUP(D2980,State_Lookup!$A$2:$B$28,2,FALSE)</f>
        <v/>
      </c>
    </row>
    <row r="2981">
      <c r="A2981" t="inlineStr">
        <is>
          <t>fc15e290afaa09174a26e6ee704a9219</t>
        </is>
      </c>
      <c r="B2981" t="inlineStr">
        <is>
          <t>2018-02-26</t>
        </is>
      </c>
      <c r="C2981" t="inlineStr">
        <is>
          <t>2018-02</t>
        </is>
      </c>
      <c r="D2981" t="inlineStr">
        <is>
          <t>SC</t>
        </is>
      </c>
      <c r="E2981" t="inlineStr">
        <is>
          <t>perfumery</t>
        </is>
      </c>
      <c r="F2981" t="n">
        <v>1</v>
      </c>
      <c r="G2981" t="n">
        <v>55.9</v>
      </c>
      <c r="H2981" t="n">
        <v>16.83</v>
      </c>
      <c r="I2981" t="inlineStr">
        <is>
          <t>boleto</t>
        </is>
      </c>
      <c r="J2981" t="n">
        <v>14</v>
      </c>
      <c r="K2981" t="inlineStr">
        <is>
          <t>On Time</t>
        </is>
      </c>
      <c r="L2981" t="n">
        <v>5</v>
      </c>
      <c r="M2981">
        <f>VLOOKUP(D2981,State_Lookup!$A$2:$B$28,2,FALSE)</f>
        <v/>
      </c>
    </row>
    <row r="2982">
      <c r="A2982" t="inlineStr">
        <is>
          <t>f3a9c397a2fa5a2366b4b96bc15737f6</t>
        </is>
      </c>
      <c r="B2982" t="inlineStr">
        <is>
          <t>2018-02-26</t>
        </is>
      </c>
      <c r="C2982" t="inlineStr">
        <is>
          <t>2018-02</t>
        </is>
      </c>
      <c r="D2982" t="inlineStr">
        <is>
          <t>SC</t>
        </is>
      </c>
      <c r="E2982" t="inlineStr">
        <is>
          <t>health_beauty</t>
        </is>
      </c>
      <c r="F2982" t="n">
        <v>1</v>
      </c>
      <c r="G2982" t="n">
        <v>104</v>
      </c>
      <c r="H2982" t="n">
        <v>12.98</v>
      </c>
      <c r="I2982" t="inlineStr">
        <is>
          <t>credit_card</t>
        </is>
      </c>
      <c r="J2982" t="n">
        <v>11</v>
      </c>
      <c r="K2982" t="inlineStr">
        <is>
          <t>On Time</t>
        </is>
      </c>
      <c r="L2982" t="n">
        <v>5</v>
      </c>
      <c r="M2982">
        <f>VLOOKUP(D2982,State_Lookup!$A$2:$B$28,2,FALSE)</f>
        <v/>
      </c>
    </row>
    <row r="2983">
      <c r="A2983" t="inlineStr">
        <is>
          <t>d3bc8a8aaa147ade29961c9693ff1e94</t>
        </is>
      </c>
      <c r="B2983" t="inlineStr">
        <is>
          <t>2018-02-26</t>
        </is>
      </c>
      <c r="C2983" t="inlineStr">
        <is>
          <t>2018-02</t>
        </is>
      </c>
      <c r="D2983" t="inlineStr">
        <is>
          <t>BA</t>
        </is>
      </c>
      <c r="E2983" t="inlineStr">
        <is>
          <t>cool_stuff</t>
        </is>
      </c>
      <c r="F2983" t="n">
        <v>1</v>
      </c>
      <c r="G2983" t="n">
        <v>99.98999999999999</v>
      </c>
      <c r="H2983" t="n">
        <v>19.94</v>
      </c>
      <c r="I2983" t="inlineStr">
        <is>
          <t>boleto</t>
        </is>
      </c>
      <c r="J2983" t="n">
        <v>10</v>
      </c>
      <c r="K2983" t="inlineStr">
        <is>
          <t>On Time</t>
        </is>
      </c>
      <c r="L2983" t="n">
        <v>4</v>
      </c>
      <c r="M2983">
        <f>VLOOKUP(D2983,State_Lookup!$A$2:$B$28,2,FALSE)</f>
        <v/>
      </c>
    </row>
    <row r="2984">
      <c r="A2984" t="inlineStr">
        <is>
          <t>6139a798f92b14ad667f3a8fb8f78c4c</t>
        </is>
      </c>
      <c r="B2984" t="inlineStr">
        <is>
          <t>2018-02-26</t>
        </is>
      </c>
      <c r="C2984" t="inlineStr">
        <is>
          <t>2018-02</t>
        </is>
      </c>
      <c r="D2984" t="inlineStr">
        <is>
          <t>RJ</t>
        </is>
      </c>
      <c r="E2984" t="inlineStr">
        <is>
          <t>health_beauty</t>
        </is>
      </c>
      <c r="F2984" t="n">
        <v>1</v>
      </c>
      <c r="G2984" t="n">
        <v>69.98999999999999</v>
      </c>
      <c r="H2984" t="n">
        <v>16.93</v>
      </c>
      <c r="I2984" t="inlineStr">
        <is>
          <t>credit_card</t>
        </is>
      </c>
      <c r="J2984" t="n">
        <v>53</v>
      </c>
      <c r="K2984" t="inlineStr">
        <is>
          <t>Late</t>
        </is>
      </c>
      <c r="L2984" t="n">
        <v>3</v>
      </c>
      <c r="M2984">
        <f>VLOOKUP(D2984,State_Lookup!$A$2:$B$28,2,FALSE)</f>
        <v/>
      </c>
    </row>
    <row r="2985">
      <c r="A2985" t="inlineStr">
        <is>
          <t>dcef4484357754fc205095e165e01504</t>
        </is>
      </c>
      <c r="B2985" t="inlineStr">
        <is>
          <t>2018-02-26</t>
        </is>
      </c>
      <c r="C2985" t="inlineStr">
        <is>
          <t>2018-02</t>
        </is>
      </c>
      <c r="D2985" t="inlineStr">
        <is>
          <t>SP</t>
        </is>
      </c>
      <c r="E2985" t="inlineStr">
        <is>
          <t>office_furniture</t>
        </is>
      </c>
      <c r="F2985" t="n">
        <v>1</v>
      </c>
      <c r="G2985" t="n">
        <v>116.94</v>
      </c>
      <c r="H2985" t="n">
        <v>20.79</v>
      </c>
      <c r="I2985" t="inlineStr">
        <is>
          <t>credit_card</t>
        </is>
      </c>
      <c r="J2985" t="n">
        <v>18</v>
      </c>
      <c r="K2985" t="inlineStr">
        <is>
          <t>On Time</t>
        </is>
      </c>
      <c r="L2985" t="n">
        <v>4</v>
      </c>
      <c r="M2985">
        <f>VLOOKUP(D2985,State_Lookup!$A$2:$B$28,2,FALSE)</f>
        <v/>
      </c>
    </row>
    <row r="2986">
      <c r="A2986" t="inlineStr">
        <is>
          <t>21b395301d11765dc88d8eca4c75d0ff</t>
        </is>
      </c>
      <c r="B2986" t="inlineStr">
        <is>
          <t>2018-02-26</t>
        </is>
      </c>
      <c r="C2986" t="inlineStr">
        <is>
          <t>2018-02</t>
        </is>
      </c>
      <c r="D2986" t="inlineStr">
        <is>
          <t>SP</t>
        </is>
      </c>
      <c r="E2986" t="inlineStr">
        <is>
          <t>health_beauty</t>
        </is>
      </c>
      <c r="F2986" t="n">
        <v>1</v>
      </c>
      <c r="G2986" t="n">
        <v>394.65</v>
      </c>
      <c r="H2986" t="n">
        <v>17.51</v>
      </c>
      <c r="I2986" t="inlineStr">
        <is>
          <t>credit_card</t>
        </is>
      </c>
      <c r="J2986" t="n">
        <v>4</v>
      </c>
      <c r="K2986" t="inlineStr">
        <is>
          <t>On Time</t>
        </is>
      </c>
      <c r="L2986" t="n">
        <v>1</v>
      </c>
      <c r="M2986">
        <f>VLOOKUP(D2986,State_Lookup!$A$2:$B$28,2,FALSE)</f>
        <v/>
      </c>
    </row>
    <row r="2987">
      <c r="A2987" t="inlineStr">
        <is>
          <t>119e67c344bd250bb9d6a6f1028fd678</t>
        </is>
      </c>
      <c r="B2987" t="inlineStr">
        <is>
          <t>2018-02-26</t>
        </is>
      </c>
      <c r="C2987" t="inlineStr">
        <is>
          <t>2018-02</t>
        </is>
      </c>
      <c r="D2987" t="inlineStr">
        <is>
          <t>SC</t>
        </is>
      </c>
      <c r="E2987" t="inlineStr">
        <is>
          <t>sports_leisure</t>
        </is>
      </c>
      <c r="F2987" t="n">
        <v>1</v>
      </c>
      <c r="G2987" t="n">
        <v>85</v>
      </c>
      <c r="H2987" t="n">
        <v>15.34</v>
      </c>
      <c r="I2987" t="inlineStr">
        <is>
          <t>boleto</t>
        </is>
      </c>
      <c r="J2987" t="n">
        <v>14</v>
      </c>
      <c r="K2987" t="inlineStr">
        <is>
          <t>On Time</t>
        </is>
      </c>
      <c r="L2987" t="n">
        <v>3</v>
      </c>
      <c r="M2987">
        <f>VLOOKUP(D2987,State_Lookup!$A$2:$B$28,2,FALSE)</f>
        <v/>
      </c>
    </row>
    <row r="2988">
      <c r="A2988" t="inlineStr">
        <is>
          <t>101280a25cfcd2e133000129f24d17d7</t>
        </is>
      </c>
      <c r="B2988" t="inlineStr">
        <is>
          <t>2018-02-26</t>
        </is>
      </c>
      <c r="C2988" t="inlineStr">
        <is>
          <t>2018-02</t>
        </is>
      </c>
      <c r="D2988" t="inlineStr">
        <is>
          <t>MG</t>
        </is>
      </c>
      <c r="E2988" t="inlineStr">
        <is>
          <t>bed_bath_table</t>
        </is>
      </c>
      <c r="F2988" t="n">
        <v>1</v>
      </c>
      <c r="G2988" t="n">
        <v>249.9</v>
      </c>
      <c r="H2988" t="n">
        <v>26.59</v>
      </c>
      <c r="I2988" t="inlineStr">
        <is>
          <t>boleto</t>
        </is>
      </c>
      <c r="J2988" t="n">
        <v>15</v>
      </c>
      <c r="K2988" t="inlineStr">
        <is>
          <t>On Time</t>
        </is>
      </c>
      <c r="L2988" t="n">
        <v>5</v>
      </c>
      <c r="M2988">
        <f>VLOOKUP(D2988,State_Lookup!$A$2:$B$28,2,FALSE)</f>
        <v/>
      </c>
    </row>
    <row r="2989">
      <c r="A2989" t="inlineStr">
        <is>
          <t>0db053a048333680c09114ac4f231a79</t>
        </is>
      </c>
      <c r="B2989" t="inlineStr">
        <is>
          <t>2018-02-26</t>
        </is>
      </c>
      <c r="C2989" t="inlineStr">
        <is>
          <t>2018-02</t>
        </is>
      </c>
      <c r="D2989" t="inlineStr">
        <is>
          <t>RJ</t>
        </is>
      </c>
      <c r="E2989" t="inlineStr">
        <is>
          <t>construction_tools_construction</t>
        </is>
      </c>
      <c r="F2989" t="n">
        <v>1</v>
      </c>
      <c r="G2989" t="n">
        <v>99.90000000000001</v>
      </c>
      <c r="H2989" t="n">
        <v>17.14</v>
      </c>
      <c r="I2989" t="inlineStr">
        <is>
          <t>credit_card</t>
        </is>
      </c>
      <c r="J2989" t="n">
        <v>51</v>
      </c>
      <c r="K2989" t="inlineStr">
        <is>
          <t>Late</t>
        </is>
      </c>
      <c r="L2989" t="n">
        <v>1</v>
      </c>
      <c r="M2989">
        <f>VLOOKUP(D2989,State_Lookup!$A$2:$B$28,2,FALSE)</f>
        <v/>
      </c>
    </row>
    <row r="2990">
      <c r="A2990" t="inlineStr">
        <is>
          <t>d1f4276166cee5a37d01beb15e2426fc</t>
        </is>
      </c>
      <c r="B2990" t="inlineStr">
        <is>
          <t>2018-02-26</t>
        </is>
      </c>
      <c r="C2990" t="inlineStr">
        <is>
          <t>2018-02</t>
        </is>
      </c>
      <c r="D2990" t="inlineStr">
        <is>
          <t>SP</t>
        </is>
      </c>
      <c r="E2990" t="inlineStr">
        <is>
          <t>electronics</t>
        </is>
      </c>
      <c r="F2990" t="n">
        <v>1</v>
      </c>
      <c r="G2990" t="n">
        <v>15.9</v>
      </c>
      <c r="H2990" t="n">
        <v>8.720000000000001</v>
      </c>
      <c r="I2990" t="inlineStr">
        <is>
          <t>boleto</t>
        </is>
      </c>
      <c r="J2990" t="inlineStr"/>
      <c r="K2990" t="inlineStr">
        <is>
          <t>Not Delivered</t>
        </is>
      </c>
      <c r="L2990" t="n">
        <v>2</v>
      </c>
      <c r="M2990">
        <f>VLOOKUP(D2990,State_Lookup!$A$2:$B$28,2,FALSE)</f>
        <v/>
      </c>
    </row>
    <row r="2991">
      <c r="A2991" t="inlineStr">
        <is>
          <t>10c84b04dccc6d66380a1e734f6a654e</t>
        </is>
      </c>
      <c r="B2991" t="inlineStr">
        <is>
          <t>2018-02-26</t>
        </is>
      </c>
      <c r="C2991" t="inlineStr">
        <is>
          <t>2018-02</t>
        </is>
      </c>
      <c r="D2991" t="inlineStr">
        <is>
          <t>ES</t>
        </is>
      </c>
      <c r="E2991" t="inlineStr">
        <is>
          <t>computers_accessories</t>
        </is>
      </c>
      <c r="F2991" t="n">
        <v>1</v>
      </c>
      <c r="G2991" t="n">
        <v>24.99</v>
      </c>
      <c r="H2991" t="n">
        <v>15.1</v>
      </c>
      <c r="I2991" t="inlineStr">
        <is>
          <t>credit_card</t>
        </is>
      </c>
      <c r="J2991" t="n">
        <v>9</v>
      </c>
      <c r="K2991" t="inlineStr">
        <is>
          <t>On Time</t>
        </is>
      </c>
      <c r="L2991" t="n">
        <v>4</v>
      </c>
      <c r="M2991">
        <f>VLOOKUP(D2991,State_Lookup!$A$2:$B$28,2,FALSE)</f>
        <v/>
      </c>
    </row>
    <row r="2992">
      <c r="A2992" t="inlineStr">
        <is>
          <t>5f37c7c9cfd25572ee87b69b77f27b8c</t>
        </is>
      </c>
      <c r="B2992" t="inlineStr">
        <is>
          <t>2018-02-26</t>
        </is>
      </c>
      <c r="C2992" t="inlineStr">
        <is>
          <t>2018-02</t>
        </is>
      </c>
      <c r="D2992" t="inlineStr">
        <is>
          <t>SP</t>
        </is>
      </c>
      <c r="E2992" t="inlineStr">
        <is>
          <t>office_furniture</t>
        </is>
      </c>
      <c r="F2992" t="n">
        <v>1</v>
      </c>
      <c r="G2992" t="n">
        <v>189.99</v>
      </c>
      <c r="H2992" t="n">
        <v>27.88</v>
      </c>
      <c r="I2992" t="inlineStr">
        <is>
          <t>credit_card</t>
        </is>
      </c>
      <c r="J2992" t="n">
        <v>21</v>
      </c>
      <c r="K2992" t="inlineStr">
        <is>
          <t>On Time</t>
        </is>
      </c>
      <c r="L2992" t="n">
        <v>5</v>
      </c>
      <c r="M2992">
        <f>VLOOKUP(D2992,State_Lookup!$A$2:$B$28,2,FALSE)</f>
        <v/>
      </c>
    </row>
    <row r="2993">
      <c r="A2993" t="inlineStr">
        <is>
          <t>9870255ce4fd27e8b651ee15e606d903</t>
        </is>
      </c>
      <c r="B2993" t="inlineStr">
        <is>
          <t>2018-02-26</t>
        </is>
      </c>
      <c r="C2993" t="inlineStr">
        <is>
          <t>2018-02</t>
        </is>
      </c>
      <c r="D2993" t="inlineStr">
        <is>
          <t>SC</t>
        </is>
      </c>
      <c r="E2993" t="inlineStr">
        <is>
          <t>books_technical</t>
        </is>
      </c>
      <c r="F2993" t="n">
        <v>1</v>
      </c>
      <c r="G2993" t="n">
        <v>19.9</v>
      </c>
      <c r="H2993" t="n">
        <v>15.1</v>
      </c>
      <c r="I2993" t="inlineStr">
        <is>
          <t>credit_card</t>
        </is>
      </c>
      <c r="J2993" t="n">
        <v>11</v>
      </c>
      <c r="K2993" t="inlineStr">
        <is>
          <t>On Time</t>
        </is>
      </c>
      <c r="L2993" t="n">
        <v>4</v>
      </c>
      <c r="M2993">
        <f>VLOOKUP(D2993,State_Lookup!$A$2:$B$28,2,FALSE)</f>
        <v/>
      </c>
    </row>
    <row r="2994">
      <c r="A2994" t="inlineStr">
        <is>
          <t>961f2f24951560987b91c89816b10cae</t>
        </is>
      </c>
      <c r="B2994" t="inlineStr">
        <is>
          <t>2018-02-26</t>
        </is>
      </c>
      <c r="C2994" t="inlineStr">
        <is>
          <t>2018-02</t>
        </is>
      </c>
      <c r="D2994" t="inlineStr">
        <is>
          <t>AL</t>
        </is>
      </c>
      <c r="E2994" t="inlineStr">
        <is>
          <t>computers_accessories</t>
        </is>
      </c>
      <c r="F2994" t="n">
        <v>2</v>
      </c>
      <c r="G2994" t="n">
        <v>63.8</v>
      </c>
      <c r="H2994" t="n">
        <v>68.3</v>
      </c>
      <c r="I2994" t="inlineStr">
        <is>
          <t>boleto</t>
        </is>
      </c>
      <c r="J2994" t="n">
        <v>36</v>
      </c>
      <c r="K2994" t="inlineStr">
        <is>
          <t>On Time</t>
        </is>
      </c>
      <c r="L2994" t="n">
        <v>1</v>
      </c>
      <c r="M2994">
        <f>VLOOKUP(D2994,State_Lookup!$A$2:$B$28,2,FALSE)</f>
        <v/>
      </c>
    </row>
    <row r="2995">
      <c r="A2995" t="inlineStr">
        <is>
          <t>d04f155dd04722bb1691263ccbe5eec0</t>
        </is>
      </c>
      <c r="B2995" t="inlineStr">
        <is>
          <t>2018-02-26</t>
        </is>
      </c>
      <c r="C2995" t="inlineStr">
        <is>
          <t>2018-02</t>
        </is>
      </c>
      <c r="D2995" t="inlineStr">
        <is>
          <t>SP</t>
        </is>
      </c>
      <c r="E2995" t="inlineStr">
        <is>
          <t>garden_tools</t>
        </is>
      </c>
      <c r="F2995" t="n">
        <v>1</v>
      </c>
      <c r="G2995" t="n">
        <v>120</v>
      </c>
      <c r="H2995" t="n">
        <v>45.3</v>
      </c>
      <c r="I2995" t="inlineStr">
        <is>
          <t>credit_card</t>
        </is>
      </c>
      <c r="J2995" t="n">
        <v>23</v>
      </c>
      <c r="K2995" t="inlineStr">
        <is>
          <t>Late</t>
        </is>
      </c>
      <c r="L2995" t="n">
        <v>1</v>
      </c>
      <c r="M2995">
        <f>VLOOKUP(D2995,State_Lookup!$A$2:$B$28,2,FALSE)</f>
        <v/>
      </c>
    </row>
    <row r="2996">
      <c r="A2996" t="inlineStr">
        <is>
          <t>1439b7c45e6b3497e1d86582382ec326</t>
        </is>
      </c>
      <c r="B2996" t="inlineStr">
        <is>
          <t>2018-02-27</t>
        </is>
      </c>
      <c r="C2996" t="inlineStr">
        <is>
          <t>2018-02</t>
        </is>
      </c>
      <c r="D2996" t="inlineStr">
        <is>
          <t>SP</t>
        </is>
      </c>
      <c r="E2996" t="inlineStr">
        <is>
          <t>computers_accessories</t>
        </is>
      </c>
      <c r="F2996" t="n">
        <v>1</v>
      </c>
      <c r="G2996" t="n">
        <v>149.9</v>
      </c>
      <c r="H2996" t="n">
        <v>15.8</v>
      </c>
      <c r="I2996" t="inlineStr">
        <is>
          <t>boleto</t>
        </is>
      </c>
      <c r="J2996" t="n">
        <v>35</v>
      </c>
      <c r="K2996" t="inlineStr">
        <is>
          <t>Late</t>
        </is>
      </c>
      <c r="L2996" t="n">
        <v>1</v>
      </c>
      <c r="M2996">
        <f>VLOOKUP(D2996,State_Lookup!$A$2:$B$28,2,FALSE)</f>
        <v/>
      </c>
    </row>
    <row r="2997">
      <c r="A2997" t="inlineStr">
        <is>
          <t>cdd88fe2cf9ac965891c9fc6b17c9c9c</t>
        </is>
      </c>
      <c r="B2997" t="inlineStr">
        <is>
          <t>2018-02-27</t>
        </is>
      </c>
      <c r="C2997" t="inlineStr">
        <is>
          <t>2018-02</t>
        </is>
      </c>
      <c r="D2997" t="inlineStr">
        <is>
          <t>RJ</t>
        </is>
      </c>
      <c r="E2997" t="inlineStr">
        <is>
          <t>garden_tools</t>
        </is>
      </c>
      <c r="F2997" t="n">
        <v>1</v>
      </c>
      <c r="G2997" t="n">
        <v>179</v>
      </c>
      <c r="H2997" t="n">
        <v>45.71</v>
      </c>
      <c r="I2997" t="inlineStr">
        <is>
          <t>credit_card</t>
        </is>
      </c>
      <c r="J2997" t="n">
        <v>21</v>
      </c>
      <c r="K2997" t="inlineStr">
        <is>
          <t>On Time</t>
        </is>
      </c>
      <c r="L2997" t="n">
        <v>5</v>
      </c>
      <c r="M2997">
        <f>VLOOKUP(D2997,State_Lookup!$A$2:$B$28,2,FALSE)</f>
        <v/>
      </c>
    </row>
    <row r="2998">
      <c r="A2998" t="inlineStr">
        <is>
          <t>a17ad45b2b8e8e73cdcc323bd9b90b49</t>
        </is>
      </c>
      <c r="B2998" t="inlineStr">
        <is>
          <t>2018-02-27</t>
        </is>
      </c>
      <c r="C2998" t="inlineStr">
        <is>
          <t>2018-02</t>
        </is>
      </c>
      <c r="D2998" t="inlineStr">
        <is>
          <t>SP</t>
        </is>
      </c>
      <c r="E2998" t="inlineStr">
        <is>
          <t>electronics</t>
        </is>
      </c>
      <c r="F2998" t="n">
        <v>1</v>
      </c>
      <c r="G2998" t="n">
        <v>11.55</v>
      </c>
      <c r="H2998" t="n">
        <v>7.78</v>
      </c>
      <c r="I2998" t="inlineStr">
        <is>
          <t>credit_card</t>
        </is>
      </c>
      <c r="J2998" t="n">
        <v>2</v>
      </c>
      <c r="K2998" t="inlineStr">
        <is>
          <t>On Time</t>
        </is>
      </c>
      <c r="L2998" t="n">
        <v>1</v>
      </c>
      <c r="M2998">
        <f>VLOOKUP(D2998,State_Lookup!$A$2:$B$28,2,FALSE)</f>
        <v/>
      </c>
    </row>
    <row r="2999">
      <c r="A2999" t="inlineStr">
        <is>
          <t>5c07b7c36b41a0b6a841fa9a8bd26ca7</t>
        </is>
      </c>
      <c r="B2999" t="inlineStr">
        <is>
          <t>2018-02-27</t>
        </is>
      </c>
      <c r="C2999" t="inlineStr">
        <is>
          <t>2018-02</t>
        </is>
      </c>
      <c r="D2999" t="inlineStr">
        <is>
          <t>RJ</t>
        </is>
      </c>
      <c r="E2999" t="inlineStr">
        <is>
          <t>housewares</t>
        </is>
      </c>
      <c r="F2999" t="n">
        <v>1</v>
      </c>
      <c r="G2999" t="n">
        <v>129</v>
      </c>
      <c r="H2999" t="n">
        <v>21.39</v>
      </c>
      <c r="I2999" t="inlineStr">
        <is>
          <t>credit_card</t>
        </is>
      </c>
      <c r="J2999" t="n">
        <v>9</v>
      </c>
      <c r="K2999" t="inlineStr">
        <is>
          <t>On Time</t>
        </is>
      </c>
      <c r="L2999" t="n">
        <v>5</v>
      </c>
      <c r="M2999">
        <f>VLOOKUP(D2999,State_Lookup!$A$2:$B$28,2,FALSE)</f>
        <v/>
      </c>
    </row>
    <row r="3000">
      <c r="A3000" t="inlineStr">
        <is>
          <t>c7ffb347c8b6adfd234f93bf03ee2e2f</t>
        </is>
      </c>
      <c r="B3000" t="inlineStr">
        <is>
          <t>2018-02-27</t>
        </is>
      </c>
      <c r="C3000" t="inlineStr">
        <is>
          <t>2018-02</t>
        </is>
      </c>
      <c r="D3000" t="inlineStr">
        <is>
          <t>SP</t>
        </is>
      </c>
      <c r="E3000" t="inlineStr">
        <is>
          <t>watches_gifts</t>
        </is>
      </c>
      <c r="F3000" t="n">
        <v>1</v>
      </c>
      <c r="G3000" t="n">
        <v>38</v>
      </c>
      <c r="H3000" t="n">
        <v>7.78</v>
      </c>
      <c r="I3000" t="inlineStr">
        <is>
          <t>credit_card</t>
        </is>
      </c>
      <c r="J3000" t="n">
        <v>1</v>
      </c>
      <c r="K3000" t="inlineStr">
        <is>
          <t>On Time</t>
        </is>
      </c>
      <c r="L3000" t="n">
        <v>5</v>
      </c>
      <c r="M3000">
        <f>VLOOKUP(D3000,State_Lookup!$A$2:$B$28,2,FALSE)</f>
        <v/>
      </c>
    </row>
    <row r="3001">
      <c r="A3001" t="inlineStr">
        <is>
          <t>435f2daeb635ed643b734989e51553c6</t>
        </is>
      </c>
      <c r="B3001" t="inlineStr">
        <is>
          <t>2018-02-27</t>
        </is>
      </c>
      <c r="C3001" t="inlineStr">
        <is>
          <t>2018-02</t>
        </is>
      </c>
      <c r="D3001" t="inlineStr">
        <is>
          <t>SP</t>
        </is>
      </c>
      <c r="E3001" t="inlineStr">
        <is>
          <t>pet_shop</t>
        </is>
      </c>
      <c r="F3001" t="n">
        <v>1</v>
      </c>
      <c r="G3001" t="n">
        <v>37.99</v>
      </c>
      <c r="H3001" t="n">
        <v>11.85</v>
      </c>
      <c r="I3001" t="inlineStr">
        <is>
          <t>credit_card</t>
        </is>
      </c>
      <c r="J3001" t="n">
        <v>6</v>
      </c>
      <c r="K3001" t="inlineStr">
        <is>
          <t>On Time</t>
        </is>
      </c>
      <c r="L3001" t="n">
        <v>5</v>
      </c>
      <c r="M3001">
        <f>VLOOKUP(D3001,State_Lookup!$A$2:$B$28,2,FALSE)</f>
        <v/>
      </c>
    </row>
    <row r="3002">
      <c r="A3002" t="inlineStr">
        <is>
          <t>ab05474196376ffce748cccc5d257c1b</t>
        </is>
      </c>
      <c r="B3002" t="inlineStr">
        <is>
          <t>2018-02-27</t>
        </is>
      </c>
      <c r="C3002" t="inlineStr">
        <is>
          <t>2018-02</t>
        </is>
      </c>
      <c r="D3002" t="inlineStr">
        <is>
          <t>ES</t>
        </is>
      </c>
      <c r="E3002" t="inlineStr">
        <is>
          <t>sports_leisure</t>
        </is>
      </c>
      <c r="F3002" t="n">
        <v>1</v>
      </c>
      <c r="G3002" t="n">
        <v>152</v>
      </c>
      <c r="H3002" t="n">
        <v>18.31</v>
      </c>
      <c r="I3002" t="inlineStr">
        <is>
          <t>debit_card</t>
        </is>
      </c>
      <c r="J3002" t="n">
        <v>7</v>
      </c>
      <c r="K3002" t="inlineStr">
        <is>
          <t>On Time</t>
        </is>
      </c>
      <c r="L3002" t="n">
        <v>5</v>
      </c>
      <c r="M3002">
        <f>VLOOKUP(D3002,State_Lookup!$A$2:$B$28,2,FALSE)</f>
        <v/>
      </c>
    </row>
    <row r="3003">
      <c r="A3003" t="inlineStr">
        <is>
          <t>a3958d69eb857cd9af63d8f40948e64d</t>
        </is>
      </c>
      <c r="B3003" t="inlineStr">
        <is>
          <t>2018-02-27</t>
        </is>
      </c>
      <c r="C3003" t="inlineStr">
        <is>
          <t>2018-02</t>
        </is>
      </c>
      <c r="D3003" t="inlineStr">
        <is>
          <t>MG</t>
        </is>
      </c>
      <c r="E3003" t="inlineStr">
        <is>
          <t>watches_gifts</t>
        </is>
      </c>
      <c r="F3003" t="n">
        <v>1</v>
      </c>
      <c r="G3003" t="n">
        <v>108</v>
      </c>
      <c r="H3003" t="n">
        <v>16.52</v>
      </c>
      <c r="I3003" t="inlineStr">
        <is>
          <t>boleto</t>
        </is>
      </c>
      <c r="J3003" t="n">
        <v>22</v>
      </c>
      <c r="K3003" t="inlineStr">
        <is>
          <t>Late</t>
        </is>
      </c>
      <c r="L3003" t="n">
        <v>5</v>
      </c>
      <c r="M3003">
        <f>VLOOKUP(D3003,State_Lookup!$A$2:$B$28,2,FALSE)</f>
        <v/>
      </c>
    </row>
    <row r="3004">
      <c r="A3004" t="inlineStr">
        <is>
          <t>b7a13b515d99de69fe4db49507b7c1ec</t>
        </is>
      </c>
      <c r="B3004" t="inlineStr">
        <is>
          <t>2018-02-27</t>
        </is>
      </c>
      <c r="C3004" t="inlineStr">
        <is>
          <t>2018-02</t>
        </is>
      </c>
      <c r="D3004" t="inlineStr">
        <is>
          <t>SP</t>
        </is>
      </c>
      <c r="E3004" t="inlineStr">
        <is>
          <t>bed_bath_table</t>
        </is>
      </c>
      <c r="F3004" t="n">
        <v>1</v>
      </c>
      <c r="G3004" t="n">
        <v>92</v>
      </c>
      <c r="H3004" t="n">
        <v>13.66</v>
      </c>
      <c r="I3004" t="inlineStr">
        <is>
          <t>credit_card</t>
        </is>
      </c>
      <c r="J3004" t="n">
        <v>30</v>
      </c>
      <c r="K3004" t="inlineStr">
        <is>
          <t>Late</t>
        </is>
      </c>
      <c r="L3004" t="n">
        <v>1</v>
      </c>
      <c r="M3004">
        <f>VLOOKUP(D3004,State_Lookup!$A$2:$B$28,2,FALSE)</f>
        <v/>
      </c>
    </row>
    <row r="3005">
      <c r="A3005" t="inlineStr">
        <is>
          <t>0a6c8aa5c12b86c6f96308839eb7417b</t>
        </is>
      </c>
      <c r="B3005" t="inlineStr">
        <is>
          <t>2018-02-27</t>
        </is>
      </c>
      <c r="C3005" t="inlineStr">
        <is>
          <t>2018-02</t>
        </is>
      </c>
      <c r="D3005" t="inlineStr">
        <is>
          <t>SP</t>
        </is>
      </c>
      <c r="E3005" t="inlineStr">
        <is>
          <t>stationery</t>
        </is>
      </c>
      <c r="F3005" t="n">
        <v>2</v>
      </c>
      <c r="G3005" t="n">
        <v>95.40000000000001</v>
      </c>
      <c r="H3005" t="n">
        <v>30.2</v>
      </c>
      <c r="I3005" t="inlineStr">
        <is>
          <t>credit_card</t>
        </is>
      </c>
      <c r="J3005" t="n">
        <v>5</v>
      </c>
      <c r="K3005" t="inlineStr">
        <is>
          <t>On Time</t>
        </is>
      </c>
      <c r="L3005" t="n">
        <v>5</v>
      </c>
      <c r="M3005">
        <f>VLOOKUP(D3005,State_Lookup!$A$2:$B$28,2,FALSE)</f>
        <v/>
      </c>
    </row>
    <row r="3006">
      <c r="A3006" t="inlineStr">
        <is>
          <t>719b6b76d11e7e6f6e8113bbd4565b84</t>
        </is>
      </c>
      <c r="B3006" t="inlineStr">
        <is>
          <t>2018-02-27</t>
        </is>
      </c>
      <c r="C3006" t="inlineStr">
        <is>
          <t>2018-02</t>
        </is>
      </c>
      <c r="D3006" t="inlineStr">
        <is>
          <t>SP</t>
        </is>
      </c>
      <c r="E3006" t="inlineStr">
        <is>
          <t>sports_leisure</t>
        </is>
      </c>
      <c r="F3006" t="n">
        <v>1</v>
      </c>
      <c r="G3006" t="n">
        <v>139.9</v>
      </c>
      <c r="H3006" t="n">
        <v>15.73</v>
      </c>
      <c r="I3006" t="inlineStr">
        <is>
          <t>boleto</t>
        </is>
      </c>
      <c r="J3006" t="n">
        <v>10</v>
      </c>
      <c r="K3006" t="inlineStr">
        <is>
          <t>On Time</t>
        </is>
      </c>
      <c r="L3006" t="n">
        <v>5</v>
      </c>
      <c r="M3006">
        <f>VLOOKUP(D3006,State_Lookup!$A$2:$B$28,2,FALSE)</f>
        <v/>
      </c>
    </row>
    <row r="3007">
      <c r="A3007" t="inlineStr">
        <is>
          <t>4ec6e451a636b410f15897c0a67582b1</t>
        </is>
      </c>
      <c r="B3007" t="inlineStr">
        <is>
          <t>2018-02-27</t>
        </is>
      </c>
      <c r="C3007" t="inlineStr">
        <is>
          <t>2018-02</t>
        </is>
      </c>
      <c r="D3007" t="inlineStr">
        <is>
          <t>ES</t>
        </is>
      </c>
      <c r="E3007" t="inlineStr">
        <is>
          <t>sports_leisure</t>
        </is>
      </c>
      <c r="F3007" t="n">
        <v>1</v>
      </c>
      <c r="G3007" t="n">
        <v>169.99</v>
      </c>
      <c r="H3007" t="n">
        <v>18.44</v>
      </c>
      <c r="I3007" t="inlineStr">
        <is>
          <t>credit_card</t>
        </is>
      </c>
      <c r="J3007" t="n">
        <v>13</v>
      </c>
      <c r="K3007" t="inlineStr">
        <is>
          <t>On Time</t>
        </is>
      </c>
      <c r="L3007" t="n">
        <v>4</v>
      </c>
      <c r="M3007">
        <f>VLOOKUP(D3007,State_Lookup!$A$2:$B$28,2,FALSE)</f>
        <v/>
      </c>
    </row>
    <row r="3008">
      <c r="A3008" t="inlineStr">
        <is>
          <t>de5a2930a7d61f2dbf75078d7bfde0d4</t>
        </is>
      </c>
      <c r="B3008" t="inlineStr">
        <is>
          <t>2018-02-27</t>
        </is>
      </c>
      <c r="C3008" t="inlineStr">
        <is>
          <t>2018-02</t>
        </is>
      </c>
      <c r="D3008" t="inlineStr">
        <is>
          <t>SP</t>
        </is>
      </c>
      <c r="E3008" t="inlineStr">
        <is>
          <t>health_beauty</t>
        </is>
      </c>
      <c r="F3008" t="n">
        <v>1</v>
      </c>
      <c r="G3008" t="n">
        <v>30</v>
      </c>
      <c r="H3008" t="n">
        <v>7.78</v>
      </c>
      <c r="I3008" t="inlineStr">
        <is>
          <t>credit_card</t>
        </is>
      </c>
      <c r="J3008" t="n">
        <v>1</v>
      </c>
      <c r="K3008" t="inlineStr">
        <is>
          <t>On Time</t>
        </is>
      </c>
      <c r="L3008" t="n">
        <v>5</v>
      </c>
      <c r="M3008">
        <f>VLOOKUP(D3008,State_Lookup!$A$2:$B$28,2,FALSE)</f>
        <v/>
      </c>
    </row>
    <row r="3009">
      <c r="A3009" t="inlineStr">
        <is>
          <t>3e084693979a8a6e556cf26d97e542fe</t>
        </is>
      </c>
      <c r="B3009" t="inlineStr">
        <is>
          <t>2018-02-28</t>
        </is>
      </c>
      <c r="C3009" t="inlineStr">
        <is>
          <t>2018-02</t>
        </is>
      </c>
      <c r="D3009" t="inlineStr">
        <is>
          <t>RJ</t>
        </is>
      </c>
      <c r="E3009" t="inlineStr">
        <is>
          <t>fixed_telephony</t>
        </is>
      </c>
      <c r="F3009" t="n">
        <v>1</v>
      </c>
      <c r="G3009" t="n">
        <v>99.90000000000001</v>
      </c>
      <c r="H3009" t="n">
        <v>14.45</v>
      </c>
      <c r="I3009" t="inlineStr">
        <is>
          <t>credit_card</t>
        </is>
      </c>
      <c r="J3009" t="n">
        <v>19</v>
      </c>
      <c r="K3009" t="inlineStr">
        <is>
          <t>On Time</t>
        </is>
      </c>
      <c r="L3009" t="n">
        <v>5</v>
      </c>
      <c r="M3009">
        <f>VLOOKUP(D3009,State_Lookup!$A$2:$B$28,2,FALSE)</f>
        <v/>
      </c>
    </row>
    <row r="3010">
      <c r="A3010" t="inlineStr">
        <is>
          <t>7f4419f7c94db80e542d82717e3c6528</t>
        </is>
      </c>
      <c r="B3010" t="inlineStr">
        <is>
          <t>2018-02-28</t>
        </is>
      </c>
      <c r="C3010" t="inlineStr">
        <is>
          <t>2018-02</t>
        </is>
      </c>
      <c r="D3010" t="inlineStr">
        <is>
          <t>SP</t>
        </is>
      </c>
      <c r="E3010" t="inlineStr">
        <is>
          <t>books_general_interest</t>
        </is>
      </c>
      <c r="F3010" t="n">
        <v>1</v>
      </c>
      <c r="G3010" t="n">
        <v>115</v>
      </c>
      <c r="H3010" t="n">
        <v>15.56</v>
      </c>
      <c r="I3010" t="inlineStr">
        <is>
          <t>credit_card</t>
        </is>
      </c>
      <c r="J3010" t="n">
        <v>27</v>
      </c>
      <c r="K3010" t="inlineStr">
        <is>
          <t>Late</t>
        </is>
      </c>
      <c r="L3010" t="n">
        <v>1</v>
      </c>
      <c r="M3010">
        <f>VLOOKUP(D3010,State_Lookup!$A$2:$B$28,2,FALSE)</f>
        <v/>
      </c>
    </row>
    <row r="3011">
      <c r="A3011" t="inlineStr">
        <is>
          <t>0c3722131f9ebd9c4949a2dd31fb2402</t>
        </is>
      </c>
      <c r="B3011" t="inlineStr">
        <is>
          <t>2018-02-28</t>
        </is>
      </c>
      <c r="C3011" t="inlineStr">
        <is>
          <t>2018-02</t>
        </is>
      </c>
      <c r="D3011" t="inlineStr">
        <is>
          <t>SP</t>
        </is>
      </c>
      <c r="E3011" t="inlineStr">
        <is>
          <t>health_beauty</t>
        </is>
      </c>
      <c r="F3011" t="n">
        <v>1</v>
      </c>
      <c r="G3011" t="n">
        <v>59.9</v>
      </c>
      <c r="H3011" t="n">
        <v>15.17</v>
      </c>
      <c r="I3011" t="inlineStr">
        <is>
          <t>credit_card</t>
        </is>
      </c>
      <c r="J3011" t="n">
        <v>16</v>
      </c>
      <c r="K3011" t="inlineStr">
        <is>
          <t>On Time</t>
        </is>
      </c>
      <c r="L3011" t="n">
        <v>5</v>
      </c>
      <c r="M3011">
        <f>VLOOKUP(D3011,State_Lookup!$A$2:$B$28,2,FALSE)</f>
        <v/>
      </c>
    </row>
    <row r="3012">
      <c r="A3012" t="inlineStr">
        <is>
          <t>04ffe5a8a70cc5dd6a00b68fd6c905e7</t>
        </is>
      </c>
      <c r="B3012" t="inlineStr">
        <is>
          <t>2018-02-28</t>
        </is>
      </c>
      <c r="C3012" t="inlineStr">
        <is>
          <t>2018-02</t>
        </is>
      </c>
      <c r="D3012" t="inlineStr">
        <is>
          <t>SP</t>
        </is>
      </c>
      <c r="E3012" t="inlineStr">
        <is>
          <t>fashion_bags_accessories</t>
        </is>
      </c>
      <c r="F3012" t="n">
        <v>1</v>
      </c>
      <c r="G3012" t="n">
        <v>20.3</v>
      </c>
      <c r="H3012" t="n">
        <v>8.109999999999999</v>
      </c>
      <c r="I3012" t="inlineStr">
        <is>
          <t>credit_card</t>
        </is>
      </c>
      <c r="J3012" t="n">
        <v>11</v>
      </c>
      <c r="K3012" t="inlineStr">
        <is>
          <t>On Time</t>
        </is>
      </c>
      <c r="L3012" t="n">
        <v>4</v>
      </c>
      <c r="M3012">
        <f>VLOOKUP(D3012,State_Lookup!$A$2:$B$28,2,FALSE)</f>
        <v/>
      </c>
    </row>
    <row r="3013">
      <c r="A3013" t="inlineStr">
        <is>
          <t>0930c651c82aaf68df7e69eed1816170</t>
        </is>
      </c>
      <c r="B3013" t="inlineStr">
        <is>
          <t>2018-02-28</t>
        </is>
      </c>
      <c r="C3013" t="inlineStr">
        <is>
          <t>2018-02</t>
        </is>
      </c>
      <c r="D3013" t="inlineStr">
        <is>
          <t>SP</t>
        </is>
      </c>
      <c r="E3013" t="inlineStr">
        <is>
          <t>toys</t>
        </is>
      </c>
      <c r="F3013" t="n">
        <v>1</v>
      </c>
      <c r="G3013" t="n">
        <v>30.5</v>
      </c>
      <c r="H3013" t="n">
        <v>7.78</v>
      </c>
      <c r="I3013" t="inlineStr">
        <is>
          <t>credit_card</t>
        </is>
      </c>
      <c r="J3013" t="n">
        <v>5</v>
      </c>
      <c r="K3013" t="inlineStr">
        <is>
          <t>On Time</t>
        </is>
      </c>
      <c r="L3013" t="n">
        <v>5</v>
      </c>
      <c r="M3013">
        <f>VLOOKUP(D3013,State_Lookup!$A$2:$B$28,2,FALSE)</f>
        <v/>
      </c>
    </row>
    <row r="3014">
      <c r="A3014" t="inlineStr">
        <is>
          <t>b210a0936a3dd8fe4428863f8e352693</t>
        </is>
      </c>
      <c r="B3014" t="inlineStr">
        <is>
          <t>2018-02-28</t>
        </is>
      </c>
      <c r="C3014" t="inlineStr">
        <is>
          <t>2018-02</t>
        </is>
      </c>
      <c r="D3014" t="inlineStr">
        <is>
          <t>MG</t>
        </is>
      </c>
      <c r="E3014" t="inlineStr">
        <is>
          <t>office_furniture</t>
        </is>
      </c>
      <c r="F3014" t="n">
        <v>1</v>
      </c>
      <c r="G3014" t="n">
        <v>192.99</v>
      </c>
      <c r="H3014" t="n">
        <v>74.3</v>
      </c>
      <c r="I3014" t="inlineStr">
        <is>
          <t>credit_card</t>
        </is>
      </c>
      <c r="J3014" t="n">
        <v>21</v>
      </c>
      <c r="K3014" t="inlineStr">
        <is>
          <t>On Time</t>
        </is>
      </c>
      <c r="L3014" t="n">
        <v>1</v>
      </c>
      <c r="M3014">
        <f>VLOOKUP(D3014,State_Lookup!$A$2:$B$28,2,FALSE)</f>
        <v/>
      </c>
    </row>
    <row r="3015">
      <c r="A3015" t="inlineStr">
        <is>
          <t>45946efb64c679365ecd3938a0771220</t>
        </is>
      </c>
      <c r="B3015" t="inlineStr">
        <is>
          <t>2018-02-28</t>
        </is>
      </c>
      <c r="C3015" t="inlineStr">
        <is>
          <t>2018-02</t>
        </is>
      </c>
      <c r="D3015" t="inlineStr">
        <is>
          <t>MG</t>
        </is>
      </c>
      <c r="E3015" t="inlineStr">
        <is>
          <t>bed_bath_table</t>
        </is>
      </c>
      <c r="F3015" t="n">
        <v>1</v>
      </c>
      <c r="G3015" t="n">
        <v>259.9</v>
      </c>
      <c r="H3015" t="n">
        <v>26.66</v>
      </c>
      <c r="I3015" t="inlineStr">
        <is>
          <t>credit_card</t>
        </is>
      </c>
      <c r="J3015" t="n">
        <v>28</v>
      </c>
      <c r="K3015" t="inlineStr">
        <is>
          <t>Late</t>
        </is>
      </c>
      <c r="L3015" t="n">
        <v>1</v>
      </c>
      <c r="M3015">
        <f>VLOOKUP(D3015,State_Lookup!$A$2:$B$28,2,FALSE)</f>
        <v/>
      </c>
    </row>
    <row r="3016">
      <c r="A3016" t="inlineStr">
        <is>
          <t>f2fdb2c26514430fe5fc50af581e9d2c</t>
        </is>
      </c>
      <c r="B3016" t="inlineStr">
        <is>
          <t>2018-02-28</t>
        </is>
      </c>
      <c r="C3016" t="inlineStr">
        <is>
          <t>2018-02</t>
        </is>
      </c>
      <c r="D3016" t="inlineStr">
        <is>
          <t>RJ</t>
        </is>
      </c>
      <c r="E3016" t="inlineStr">
        <is>
          <t>computers_accessories</t>
        </is>
      </c>
      <c r="F3016" t="n">
        <v>1</v>
      </c>
      <c r="G3016" t="n">
        <v>21.5</v>
      </c>
      <c r="H3016" t="n">
        <v>15.1</v>
      </c>
      <c r="I3016" t="inlineStr">
        <is>
          <t>boleto</t>
        </is>
      </c>
      <c r="J3016" t="n">
        <v>14</v>
      </c>
      <c r="K3016" t="inlineStr">
        <is>
          <t>On Time</t>
        </is>
      </c>
      <c r="L3016" t="n">
        <v>2</v>
      </c>
      <c r="M3016">
        <f>VLOOKUP(D3016,State_Lookup!$A$2:$B$28,2,FALSE)</f>
        <v/>
      </c>
    </row>
    <row r="3017">
      <c r="A3017" t="inlineStr">
        <is>
          <t>bc35b4f344e409ecc7c8d728f065d590</t>
        </is>
      </c>
      <c r="B3017" t="inlineStr">
        <is>
          <t>2018-02-28</t>
        </is>
      </c>
      <c r="C3017" t="inlineStr">
        <is>
          <t>2018-02</t>
        </is>
      </c>
      <c r="D3017" t="inlineStr">
        <is>
          <t>SP</t>
        </is>
      </c>
      <c r="E3017" t="inlineStr">
        <is>
          <t>bed_bath_table</t>
        </is>
      </c>
      <c r="F3017" t="n">
        <v>1</v>
      </c>
      <c r="G3017" t="n">
        <v>24.9</v>
      </c>
      <c r="H3017" t="n">
        <v>9.09</v>
      </c>
      <c r="I3017" t="inlineStr">
        <is>
          <t>credit_card</t>
        </is>
      </c>
      <c r="J3017" t="n">
        <v>2</v>
      </c>
      <c r="K3017" t="inlineStr">
        <is>
          <t>On Time</t>
        </is>
      </c>
      <c r="L3017" t="n">
        <v>5</v>
      </c>
      <c r="M3017">
        <f>VLOOKUP(D3017,State_Lookup!$A$2:$B$28,2,FALSE)</f>
        <v/>
      </c>
    </row>
    <row r="3018">
      <c r="A3018" t="inlineStr">
        <is>
          <t>d2ce3fa6247aeec43a75906e36600045</t>
        </is>
      </c>
      <c r="B3018" t="inlineStr">
        <is>
          <t>2018-02-28</t>
        </is>
      </c>
      <c r="C3018" t="inlineStr">
        <is>
          <t>2018-02</t>
        </is>
      </c>
      <c r="D3018" t="inlineStr">
        <is>
          <t>MG</t>
        </is>
      </c>
      <c r="E3018" t="inlineStr">
        <is>
          <t>garden_tools</t>
        </is>
      </c>
      <c r="F3018" t="n">
        <v>2</v>
      </c>
      <c r="G3018" t="n">
        <v>116.92</v>
      </c>
      <c r="H3018" t="n">
        <v>30.32</v>
      </c>
      <c r="I3018" t="inlineStr">
        <is>
          <t>credit_card</t>
        </is>
      </c>
      <c r="J3018" t="n">
        <v>9</v>
      </c>
      <c r="K3018" t="inlineStr">
        <is>
          <t>On Time</t>
        </is>
      </c>
      <c r="L3018" t="n">
        <v>2</v>
      </c>
      <c r="M3018">
        <f>VLOOKUP(D3018,State_Lookup!$A$2:$B$28,2,FALSE)</f>
        <v/>
      </c>
    </row>
    <row r="3019">
      <c r="A3019" t="inlineStr">
        <is>
          <t>6f33b28ba717ec41a3d1e1901d492e05</t>
        </is>
      </c>
      <c r="B3019" t="inlineStr">
        <is>
          <t>2018-02-28</t>
        </is>
      </c>
      <c r="C3019" t="inlineStr">
        <is>
          <t>2018-02</t>
        </is>
      </c>
      <c r="D3019" t="inlineStr">
        <is>
          <t>RJ</t>
        </is>
      </c>
      <c r="E3019" t="inlineStr">
        <is>
          <t>telephony</t>
        </is>
      </c>
      <c r="F3019" t="n">
        <v>1</v>
      </c>
      <c r="G3019" t="n">
        <v>314.9</v>
      </c>
      <c r="H3019" t="n">
        <v>16.95</v>
      </c>
      <c r="I3019" t="inlineStr">
        <is>
          <t>credit_card</t>
        </is>
      </c>
      <c r="J3019" t="inlineStr"/>
      <c r="K3019" t="inlineStr">
        <is>
          <t>Not Delivered</t>
        </is>
      </c>
      <c r="L3019" t="n">
        <v>1</v>
      </c>
      <c r="M3019">
        <f>VLOOKUP(D3019,State_Lookup!$A$2:$B$28,2,FALSE)</f>
        <v/>
      </c>
    </row>
    <row r="3020">
      <c r="A3020" t="inlineStr">
        <is>
          <t>48392c118a56906cb754da6de7a6bf38</t>
        </is>
      </c>
      <c r="B3020" t="inlineStr">
        <is>
          <t>2018-02-28</t>
        </is>
      </c>
      <c r="C3020" t="inlineStr">
        <is>
          <t>2018-02</t>
        </is>
      </c>
      <c r="D3020" t="inlineStr">
        <is>
          <t>MS</t>
        </is>
      </c>
      <c r="E3020" t="inlineStr">
        <is>
          <t>sports_leisure</t>
        </is>
      </c>
      <c r="F3020" t="n">
        <v>1</v>
      </c>
      <c r="G3020" t="n">
        <v>125</v>
      </c>
      <c r="H3020" t="n">
        <v>18.12</v>
      </c>
      <c r="I3020" t="inlineStr">
        <is>
          <t>credit_card</t>
        </is>
      </c>
      <c r="J3020" t="n">
        <v>34</v>
      </c>
      <c r="K3020" t="inlineStr">
        <is>
          <t>Late</t>
        </is>
      </c>
      <c r="L3020" t="n">
        <v>1</v>
      </c>
      <c r="M3020">
        <f>VLOOKUP(D3020,State_Lookup!$A$2:$B$28,2,FALSE)</f>
        <v/>
      </c>
    </row>
    <row r="3021">
      <c r="A3021" t="inlineStr">
        <is>
          <t>72096fec7f0a5c65db72ae549c086803</t>
        </is>
      </c>
      <c r="B3021" t="inlineStr">
        <is>
          <t>2018-02-28</t>
        </is>
      </c>
      <c r="C3021" t="inlineStr">
        <is>
          <t>2018-02</t>
        </is>
      </c>
      <c r="D3021" t="inlineStr">
        <is>
          <t>RJ</t>
        </is>
      </c>
      <c r="E3021" t="inlineStr">
        <is>
          <t>computers_accessories</t>
        </is>
      </c>
      <c r="F3021" t="n">
        <v>1</v>
      </c>
      <c r="G3021" t="n">
        <v>499</v>
      </c>
      <c r="H3021" t="n">
        <v>19.25</v>
      </c>
      <c r="I3021" t="inlineStr">
        <is>
          <t>credit_card</t>
        </is>
      </c>
      <c r="J3021" t="n">
        <v>19</v>
      </c>
      <c r="K3021" t="inlineStr">
        <is>
          <t>On Time</t>
        </is>
      </c>
      <c r="L3021" t="n">
        <v>1</v>
      </c>
      <c r="M3021">
        <f>VLOOKUP(D3021,State_Lookup!$A$2:$B$28,2,FALSE)</f>
        <v/>
      </c>
    </row>
    <row r="3022">
      <c r="A3022" t="inlineStr">
        <is>
          <t>134adb681cd5dbe4cd4de155abf4b9e8</t>
        </is>
      </c>
      <c r="B3022" t="inlineStr">
        <is>
          <t>2018-02-28</t>
        </is>
      </c>
      <c r="C3022" t="inlineStr">
        <is>
          <t>2018-02</t>
        </is>
      </c>
      <c r="D3022" t="inlineStr">
        <is>
          <t>BA</t>
        </is>
      </c>
      <c r="E3022" t="inlineStr">
        <is>
          <t>electronics</t>
        </is>
      </c>
      <c r="F3022" t="n">
        <v>1</v>
      </c>
      <c r="G3022" t="n">
        <v>15</v>
      </c>
      <c r="H3022" t="n">
        <v>16.79</v>
      </c>
      <c r="I3022" t="inlineStr">
        <is>
          <t>boleto</t>
        </is>
      </c>
      <c r="J3022" t="n">
        <v>27</v>
      </c>
      <c r="K3022" t="inlineStr">
        <is>
          <t>Late</t>
        </is>
      </c>
      <c r="L3022" t="n">
        <v>5</v>
      </c>
      <c r="M3022">
        <f>VLOOKUP(D3022,State_Lookup!$A$2:$B$28,2,FALSE)</f>
        <v/>
      </c>
    </row>
    <row r="3023">
      <c r="A3023" t="inlineStr">
        <is>
          <t>f31b8a3ba0d40cba425c9bd89c69a3e7</t>
        </is>
      </c>
      <c r="B3023" t="inlineStr">
        <is>
          <t>2018-02-28</t>
        </is>
      </c>
      <c r="C3023" t="inlineStr">
        <is>
          <t>2018-02</t>
        </is>
      </c>
      <c r="D3023" t="inlineStr">
        <is>
          <t>SP</t>
        </is>
      </c>
      <c r="E3023" t="inlineStr">
        <is>
          <t>housewares</t>
        </is>
      </c>
      <c r="F3023" t="n">
        <v>1</v>
      </c>
      <c r="G3023" t="n">
        <v>35</v>
      </c>
      <c r="H3023" t="n">
        <v>7.78</v>
      </c>
      <c r="I3023" t="inlineStr">
        <is>
          <t>credit_card</t>
        </is>
      </c>
      <c r="J3023" t="n">
        <v>7</v>
      </c>
      <c r="K3023" t="inlineStr">
        <is>
          <t>On Time</t>
        </is>
      </c>
      <c r="L3023" t="n">
        <v>5</v>
      </c>
      <c r="M3023">
        <f>VLOOKUP(D3023,State_Lookup!$A$2:$B$28,2,FALSE)</f>
        <v/>
      </c>
    </row>
    <row r="3024">
      <c r="A3024" t="inlineStr">
        <is>
          <t>db21eaa63f7c06553ad9d2d4f25e41d4</t>
        </is>
      </c>
      <c r="B3024" t="inlineStr">
        <is>
          <t>2018-02-28</t>
        </is>
      </c>
      <c r="C3024" t="inlineStr">
        <is>
          <t>2018-02</t>
        </is>
      </c>
      <c r="D3024" t="inlineStr">
        <is>
          <t>SP</t>
        </is>
      </c>
      <c r="E3024" t="inlineStr">
        <is>
          <t>bed_bath_table</t>
        </is>
      </c>
      <c r="F3024" t="n">
        <v>1</v>
      </c>
      <c r="G3024" t="n">
        <v>70</v>
      </c>
      <c r="H3024" t="n">
        <v>12.83</v>
      </c>
      <c r="I3024" t="inlineStr">
        <is>
          <t>boleto</t>
        </is>
      </c>
      <c r="J3024" t="n">
        <v>19</v>
      </c>
      <c r="K3024" t="inlineStr">
        <is>
          <t>Late</t>
        </is>
      </c>
      <c r="L3024" t="n">
        <v>3</v>
      </c>
      <c r="M3024">
        <f>VLOOKUP(D3024,State_Lookup!$A$2:$B$28,2,FALSE)</f>
        <v/>
      </c>
    </row>
    <row r="3025">
      <c r="A3025" t="inlineStr">
        <is>
          <t>0cc53a27cb4eec43723454e212e469cc</t>
        </is>
      </c>
      <c r="B3025" t="inlineStr">
        <is>
          <t>2018-02-28</t>
        </is>
      </c>
      <c r="C3025" t="inlineStr">
        <is>
          <t>2018-02</t>
        </is>
      </c>
      <c r="D3025" t="inlineStr">
        <is>
          <t>ES</t>
        </is>
      </c>
      <c r="E3025" t="inlineStr">
        <is>
          <t>bed_bath_table</t>
        </is>
      </c>
      <c r="F3025" t="n">
        <v>2</v>
      </c>
      <c r="G3025" t="n">
        <v>159.8</v>
      </c>
      <c r="H3025" t="n">
        <v>32.64</v>
      </c>
      <c r="I3025" t="inlineStr">
        <is>
          <t>credit_card</t>
        </is>
      </c>
      <c r="J3025" t="n">
        <v>25</v>
      </c>
      <c r="K3025" t="inlineStr">
        <is>
          <t>Late</t>
        </is>
      </c>
      <c r="L3025" t="n">
        <v>1</v>
      </c>
      <c r="M3025">
        <f>VLOOKUP(D3025,State_Lookup!$A$2:$B$28,2,FALSE)</f>
        <v/>
      </c>
    </row>
    <row r="3026">
      <c r="A3026" t="inlineStr">
        <is>
          <t>ed10ac24a1a673552fcceb839887e8fd</t>
        </is>
      </c>
      <c r="B3026" t="inlineStr">
        <is>
          <t>2018-02-28</t>
        </is>
      </c>
      <c r="C3026" t="inlineStr">
        <is>
          <t>2018-02</t>
        </is>
      </c>
      <c r="D3026" t="inlineStr">
        <is>
          <t>SP</t>
        </is>
      </c>
      <c r="E3026" t="inlineStr">
        <is>
          <t>sports_leisure</t>
        </is>
      </c>
      <c r="F3026" t="n">
        <v>1</v>
      </c>
      <c r="G3026" t="n">
        <v>60</v>
      </c>
      <c r="H3026" t="n">
        <v>7.78</v>
      </c>
      <c r="I3026" t="inlineStr">
        <is>
          <t>credit_card</t>
        </is>
      </c>
      <c r="J3026" t="n">
        <v>1</v>
      </c>
      <c r="K3026" t="inlineStr">
        <is>
          <t>On Time</t>
        </is>
      </c>
      <c r="L3026" t="n">
        <v>5</v>
      </c>
      <c r="M3026">
        <f>VLOOKUP(D3026,State_Lookup!$A$2:$B$28,2,FALSE)</f>
        <v/>
      </c>
    </row>
    <row r="3027">
      <c r="A3027" t="inlineStr">
        <is>
          <t>0888cf8a7f975f34f13e851049b35dd6</t>
        </is>
      </c>
      <c r="B3027" t="inlineStr">
        <is>
          <t>2018-02-28</t>
        </is>
      </c>
      <c r="C3027" t="inlineStr">
        <is>
          <t>2018-02</t>
        </is>
      </c>
      <c r="D3027" t="inlineStr">
        <is>
          <t>RJ</t>
        </is>
      </c>
      <c r="E3027" t="inlineStr">
        <is>
          <t>perfumery</t>
        </is>
      </c>
      <c r="F3027" t="n">
        <v>1</v>
      </c>
      <c r="G3027" t="n">
        <v>53.99</v>
      </c>
      <c r="H3027" t="n">
        <v>14.13</v>
      </c>
      <c r="I3027" t="inlineStr">
        <is>
          <t>credit_card</t>
        </is>
      </c>
      <c r="J3027" t="n">
        <v>14</v>
      </c>
      <c r="K3027" t="inlineStr">
        <is>
          <t>On Time</t>
        </is>
      </c>
      <c r="L3027" t="n">
        <v>5</v>
      </c>
      <c r="M3027">
        <f>VLOOKUP(D3027,State_Lookup!$A$2:$B$28,2,FALSE)</f>
        <v/>
      </c>
    </row>
    <row r="3028">
      <c r="A3028" t="inlineStr">
        <is>
          <t>2df86a1fe8ce1dbff076f3eef50a664e</t>
        </is>
      </c>
      <c r="B3028" t="inlineStr">
        <is>
          <t>2018-02-28</t>
        </is>
      </c>
      <c r="C3028" t="inlineStr">
        <is>
          <t>2018-02</t>
        </is>
      </c>
      <c r="D3028" t="inlineStr">
        <is>
          <t>SP</t>
        </is>
      </c>
      <c r="E3028" t="inlineStr">
        <is>
          <t>perfumery</t>
        </is>
      </c>
      <c r="F3028" t="n">
        <v>3</v>
      </c>
      <c r="G3028" t="n">
        <v>19.5</v>
      </c>
      <c r="H3028" t="n">
        <v>23.34</v>
      </c>
      <c r="I3028" t="inlineStr">
        <is>
          <t>credit_card</t>
        </is>
      </c>
      <c r="J3028" t="n">
        <v>5</v>
      </c>
      <c r="K3028" t="inlineStr">
        <is>
          <t>On Time</t>
        </is>
      </c>
      <c r="L3028" t="n">
        <v>4</v>
      </c>
      <c r="M3028">
        <f>VLOOKUP(D3028,State_Lookup!$A$2:$B$28,2,FALSE)</f>
        <v/>
      </c>
    </row>
    <row r="3029">
      <c r="A3029" t="inlineStr">
        <is>
          <t>d2029f1813972cb83dd49c3c27fcd304</t>
        </is>
      </c>
      <c r="B3029" t="inlineStr">
        <is>
          <t>2018-02-28</t>
        </is>
      </c>
      <c r="C3029" t="inlineStr">
        <is>
          <t>2018-02</t>
        </is>
      </c>
      <c r="D3029" t="inlineStr">
        <is>
          <t>RJ</t>
        </is>
      </c>
      <c r="E3029" t="inlineStr">
        <is>
          <t>watches_gifts</t>
        </is>
      </c>
      <c r="F3029" t="n">
        <v>1</v>
      </c>
      <c r="G3029" t="n">
        <v>1200</v>
      </c>
      <c r="H3029" t="n">
        <v>22.15</v>
      </c>
      <c r="I3029" t="inlineStr">
        <is>
          <t>credit_card</t>
        </is>
      </c>
      <c r="J3029" t="n">
        <v>16</v>
      </c>
      <c r="K3029" t="inlineStr">
        <is>
          <t>On Time</t>
        </is>
      </c>
      <c r="L3029" t="n">
        <v>5</v>
      </c>
      <c r="M3029">
        <f>VLOOKUP(D3029,State_Lookup!$A$2:$B$28,2,FALSE)</f>
        <v/>
      </c>
    </row>
    <row r="3030">
      <c r="A3030" t="inlineStr">
        <is>
          <t>d8691426e29a4206ab5076fcdbc1736d</t>
        </is>
      </c>
      <c r="B3030" t="inlineStr">
        <is>
          <t>2018-03-01</t>
        </is>
      </c>
      <c r="C3030" t="inlineStr">
        <is>
          <t>2018-03</t>
        </is>
      </c>
      <c r="D3030" t="inlineStr">
        <is>
          <t>SP</t>
        </is>
      </c>
      <c r="E3030" t="inlineStr">
        <is>
          <t>auto</t>
        </is>
      </c>
      <c r="F3030" t="n">
        <v>1</v>
      </c>
      <c r="G3030" t="n">
        <v>27.9</v>
      </c>
      <c r="H3030" t="n">
        <v>8.27</v>
      </c>
      <c r="I3030" t="inlineStr">
        <is>
          <t>credit_card</t>
        </is>
      </c>
      <c r="J3030" t="n">
        <v>3</v>
      </c>
      <c r="K3030" t="inlineStr">
        <is>
          <t>On Time</t>
        </is>
      </c>
      <c r="L3030" t="n">
        <v>5</v>
      </c>
      <c r="M3030">
        <f>VLOOKUP(D3030,State_Lookup!$A$2:$B$28,2,FALSE)</f>
        <v/>
      </c>
    </row>
    <row r="3031">
      <c r="A3031" t="inlineStr">
        <is>
          <t>21bdc97768bc2e7a3e428d0ede7deb85</t>
        </is>
      </c>
      <c r="B3031" t="inlineStr">
        <is>
          <t>2018-03-01</t>
        </is>
      </c>
      <c r="C3031" t="inlineStr">
        <is>
          <t>2018-03</t>
        </is>
      </c>
      <c r="D3031" t="inlineStr">
        <is>
          <t>BA</t>
        </is>
      </c>
      <c r="E3031" t="inlineStr">
        <is>
          <t>computers_accessories</t>
        </is>
      </c>
      <c r="F3031" t="n">
        <v>1</v>
      </c>
      <c r="G3031" t="n">
        <v>27.9</v>
      </c>
      <c r="H3031" t="n">
        <v>16.79</v>
      </c>
      <c r="I3031" t="inlineStr">
        <is>
          <t>boleto</t>
        </is>
      </c>
      <c r="J3031" t="n">
        <v>36</v>
      </c>
      <c r="K3031" t="inlineStr">
        <is>
          <t>Late</t>
        </is>
      </c>
      <c r="L3031" t="n">
        <v>5</v>
      </c>
      <c r="M3031">
        <f>VLOOKUP(D3031,State_Lookup!$A$2:$B$28,2,FALSE)</f>
        <v/>
      </c>
    </row>
    <row r="3032">
      <c r="A3032" t="inlineStr">
        <is>
          <t>37caa1552193248f7147f1298b4cd3c1</t>
        </is>
      </c>
      <c r="B3032" t="inlineStr">
        <is>
          <t>2018-03-01</t>
        </is>
      </c>
      <c r="C3032" t="inlineStr">
        <is>
          <t>2018-03</t>
        </is>
      </c>
      <c r="D3032" t="inlineStr">
        <is>
          <t>RS</t>
        </is>
      </c>
      <c r="E3032" t="inlineStr">
        <is>
          <t>christmas_supplies</t>
        </is>
      </c>
      <c r="F3032" t="n">
        <v>1</v>
      </c>
      <c r="G3032" t="n">
        <v>22.9</v>
      </c>
      <c r="H3032" t="n">
        <v>16.79</v>
      </c>
      <c r="I3032" t="inlineStr">
        <is>
          <t>credit_card</t>
        </is>
      </c>
      <c r="J3032" t="n">
        <v>13</v>
      </c>
      <c r="K3032" t="inlineStr">
        <is>
          <t>On Time</t>
        </is>
      </c>
      <c r="L3032" t="n">
        <v>3</v>
      </c>
      <c r="M3032">
        <f>VLOOKUP(D3032,State_Lookup!$A$2:$B$28,2,FALSE)</f>
        <v/>
      </c>
    </row>
    <row r="3033">
      <c r="A3033" t="inlineStr">
        <is>
          <t>79f921d80b92e48b9ed5c549c94b745f</t>
        </is>
      </c>
      <c r="B3033" t="inlineStr">
        <is>
          <t>2018-03-01</t>
        </is>
      </c>
      <c r="C3033" t="inlineStr">
        <is>
          <t>2018-03</t>
        </is>
      </c>
      <c r="D3033" t="inlineStr">
        <is>
          <t>SC</t>
        </is>
      </c>
      <c r="E3033" t="inlineStr">
        <is>
          <t>auto</t>
        </is>
      </c>
      <c r="F3033" t="n">
        <v>1</v>
      </c>
      <c r="G3033" t="n">
        <v>429.9</v>
      </c>
      <c r="H3033" t="n">
        <v>20.26</v>
      </c>
      <c r="I3033" t="inlineStr">
        <is>
          <t>credit_card</t>
        </is>
      </c>
      <c r="J3033" t="n">
        <v>25</v>
      </c>
      <c r="K3033" t="inlineStr">
        <is>
          <t>Late</t>
        </is>
      </c>
      <c r="L3033" t="n">
        <v>3</v>
      </c>
      <c r="M3033">
        <f>VLOOKUP(D3033,State_Lookup!$A$2:$B$28,2,FALSE)</f>
        <v/>
      </c>
    </row>
    <row r="3034">
      <c r="A3034" t="inlineStr">
        <is>
          <t>7d7db898e5eaa10aac6c7fb616d9d7dc</t>
        </is>
      </c>
      <c r="B3034" t="inlineStr">
        <is>
          <t>2018-03-01</t>
        </is>
      </c>
      <c r="C3034" t="inlineStr">
        <is>
          <t>2018-03</t>
        </is>
      </c>
      <c r="D3034" t="inlineStr">
        <is>
          <t>PR</t>
        </is>
      </c>
      <c r="E3034" t="inlineStr">
        <is>
          <t>computers_accessories</t>
        </is>
      </c>
      <c r="F3034" t="n">
        <v>1</v>
      </c>
      <c r="G3034" t="n">
        <v>30.21</v>
      </c>
      <c r="H3034" t="n">
        <v>15.1</v>
      </c>
      <c r="I3034" t="inlineStr">
        <is>
          <t>credit_card</t>
        </is>
      </c>
      <c r="J3034" t="n">
        <v>32</v>
      </c>
      <c r="K3034" t="inlineStr">
        <is>
          <t>Late</t>
        </is>
      </c>
      <c r="L3034" t="n">
        <v>1</v>
      </c>
      <c r="M3034">
        <f>VLOOKUP(D3034,State_Lookup!$A$2:$B$28,2,FALSE)</f>
        <v/>
      </c>
    </row>
    <row r="3035">
      <c r="A3035" t="inlineStr">
        <is>
          <t>f162b72aa92d8ecf9cdb69e84fb2277c</t>
        </is>
      </c>
      <c r="B3035" t="inlineStr">
        <is>
          <t>2018-03-01</t>
        </is>
      </c>
      <c r="C3035" t="inlineStr">
        <is>
          <t>2018-03</t>
        </is>
      </c>
      <c r="D3035" t="inlineStr">
        <is>
          <t>CE</t>
        </is>
      </c>
      <c r="E3035" t="inlineStr">
        <is>
          <t>telephony</t>
        </is>
      </c>
      <c r="F3035" t="n">
        <v>1</v>
      </c>
      <c r="G3035" t="n">
        <v>29.99</v>
      </c>
      <c r="H3035" t="n">
        <v>17.63</v>
      </c>
      <c r="I3035" t="inlineStr">
        <is>
          <t>credit_card</t>
        </is>
      </c>
      <c r="J3035" t="n">
        <v>46</v>
      </c>
      <c r="K3035" t="inlineStr">
        <is>
          <t>Late</t>
        </is>
      </c>
      <c r="L3035" t="n">
        <v>1</v>
      </c>
      <c r="M3035">
        <f>VLOOKUP(D3035,State_Lookup!$A$2:$B$28,2,FALSE)</f>
        <v/>
      </c>
    </row>
    <row r="3036">
      <c r="A3036" t="inlineStr">
        <is>
          <t>3ff5709e1eed2f4bf1cfdccaf65c6337</t>
        </is>
      </c>
      <c r="B3036" t="inlineStr">
        <is>
          <t>2018-03-01</t>
        </is>
      </c>
      <c r="C3036" t="inlineStr">
        <is>
          <t>2018-03</t>
        </is>
      </c>
      <c r="D3036" t="inlineStr">
        <is>
          <t>SP</t>
        </is>
      </c>
      <c r="E3036" t="inlineStr">
        <is>
          <t>computers_accessories</t>
        </is>
      </c>
      <c r="F3036" t="n">
        <v>1</v>
      </c>
      <c r="G3036" t="n">
        <v>166.02</v>
      </c>
      <c r="H3036" t="n">
        <v>36.48</v>
      </c>
      <c r="I3036" t="inlineStr">
        <is>
          <t>boleto</t>
        </is>
      </c>
      <c r="J3036" t="n">
        <v>15</v>
      </c>
      <c r="K3036" t="inlineStr">
        <is>
          <t>On Time</t>
        </is>
      </c>
      <c r="L3036" t="n">
        <v>5</v>
      </c>
      <c r="M3036">
        <f>VLOOKUP(D3036,State_Lookup!$A$2:$B$28,2,FALSE)</f>
        <v/>
      </c>
    </row>
    <row r="3037">
      <c r="A3037" t="inlineStr">
        <is>
          <t>c6ceea8c10c1521a2f993bc956800cf5</t>
        </is>
      </c>
      <c r="B3037" t="inlineStr">
        <is>
          <t>2018-03-01</t>
        </is>
      </c>
      <c r="C3037" t="inlineStr">
        <is>
          <t>2018-03</t>
        </is>
      </c>
      <c r="D3037" t="inlineStr">
        <is>
          <t>SE</t>
        </is>
      </c>
      <c r="E3037" t="inlineStr">
        <is>
          <t>telephony</t>
        </is>
      </c>
      <c r="F3037" t="n">
        <v>1</v>
      </c>
      <c r="G3037" t="n">
        <v>29.98</v>
      </c>
      <c r="H3037" t="n">
        <v>21.15</v>
      </c>
      <c r="I3037" t="inlineStr">
        <is>
          <t>credit_card</t>
        </is>
      </c>
      <c r="J3037" t="n">
        <v>27</v>
      </c>
      <c r="K3037" t="inlineStr">
        <is>
          <t>Late</t>
        </is>
      </c>
      <c r="L3037" t="n">
        <v>1</v>
      </c>
      <c r="M3037">
        <f>VLOOKUP(D3037,State_Lookup!$A$2:$B$28,2,FALSE)</f>
        <v/>
      </c>
    </row>
    <row r="3038">
      <c r="A3038" t="inlineStr">
        <is>
          <t>0b39d78b430d574a6eafefe82c11b4a3</t>
        </is>
      </c>
      <c r="B3038" t="inlineStr">
        <is>
          <t>2018-03-01</t>
        </is>
      </c>
      <c r="C3038" t="inlineStr">
        <is>
          <t>2018-03</t>
        </is>
      </c>
      <c r="D3038" t="inlineStr">
        <is>
          <t>RJ</t>
        </is>
      </c>
      <c r="E3038" t="inlineStr">
        <is>
          <t>construction_tools_safety</t>
        </is>
      </c>
      <c r="F3038" t="n">
        <v>1</v>
      </c>
      <c r="G3038" t="n">
        <v>9.9</v>
      </c>
      <c r="H3038" t="n">
        <v>15.1</v>
      </c>
      <c r="I3038" t="inlineStr">
        <is>
          <t>credit_card</t>
        </is>
      </c>
      <c r="J3038" t="n">
        <v>32</v>
      </c>
      <c r="K3038" t="inlineStr">
        <is>
          <t>Late</t>
        </is>
      </c>
      <c r="L3038" t="n">
        <v>2</v>
      </c>
      <c r="M3038">
        <f>VLOOKUP(D3038,State_Lookup!$A$2:$B$28,2,FALSE)</f>
        <v/>
      </c>
    </row>
    <row r="3039">
      <c r="A3039" t="inlineStr">
        <is>
          <t>410f656a6bd0dbfa2878c0c237eed2f3</t>
        </is>
      </c>
      <c r="B3039" t="inlineStr">
        <is>
          <t>2018-03-01</t>
        </is>
      </c>
      <c r="C3039" t="inlineStr">
        <is>
          <t>2018-03</t>
        </is>
      </c>
      <c r="D3039" t="inlineStr">
        <is>
          <t>MG</t>
        </is>
      </c>
      <c r="E3039" t="inlineStr">
        <is>
          <t>telephony</t>
        </is>
      </c>
      <c r="F3039" t="n">
        <v>1</v>
      </c>
      <c r="G3039" t="n">
        <v>37.87</v>
      </c>
      <c r="H3039" t="n">
        <v>15.1</v>
      </c>
      <c r="I3039" t="inlineStr">
        <is>
          <t>boleto</t>
        </is>
      </c>
      <c r="J3039" t="n">
        <v>15</v>
      </c>
      <c r="K3039" t="inlineStr">
        <is>
          <t>On Time</t>
        </is>
      </c>
      <c r="L3039" t="n">
        <v>5</v>
      </c>
      <c r="M3039">
        <f>VLOOKUP(D3039,State_Lookup!$A$2:$B$28,2,FALSE)</f>
        <v/>
      </c>
    </row>
    <row r="3040">
      <c r="A3040" t="inlineStr">
        <is>
          <t>a5739097eb2ca76c5777ee5c16b5d3c0</t>
        </is>
      </c>
      <c r="B3040" t="inlineStr">
        <is>
          <t>2018-03-01</t>
        </is>
      </c>
      <c r="C3040" t="inlineStr">
        <is>
          <t>2018-03</t>
        </is>
      </c>
      <c r="D3040" t="inlineStr">
        <is>
          <t>RN</t>
        </is>
      </c>
      <c r="E3040" t="inlineStr">
        <is>
          <t>fashion_bags_accessories</t>
        </is>
      </c>
      <c r="F3040" t="n">
        <v>1</v>
      </c>
      <c r="G3040" t="n">
        <v>699</v>
      </c>
      <c r="H3040" t="n">
        <v>25.69</v>
      </c>
      <c r="I3040" t="inlineStr">
        <is>
          <t>credit_card</t>
        </is>
      </c>
      <c r="J3040" t="n">
        <v>18</v>
      </c>
      <c r="K3040" t="inlineStr">
        <is>
          <t>On Time</t>
        </is>
      </c>
      <c r="L3040" t="n">
        <v>3</v>
      </c>
      <c r="M3040">
        <f>VLOOKUP(D3040,State_Lookup!$A$2:$B$28,2,FALSE)</f>
        <v/>
      </c>
    </row>
    <row r="3041">
      <c r="A3041" t="inlineStr">
        <is>
          <t>31ee3947c87114eb0673d72864775bf3</t>
        </is>
      </c>
      <c r="B3041" t="inlineStr">
        <is>
          <t>2018-03-01</t>
        </is>
      </c>
      <c r="C3041" t="inlineStr">
        <is>
          <t>2018-03</t>
        </is>
      </c>
      <c r="D3041" t="inlineStr">
        <is>
          <t>MG</t>
        </is>
      </c>
      <c r="E3041" t="inlineStr">
        <is>
          <t>stationery</t>
        </is>
      </c>
      <c r="F3041" t="n">
        <v>1</v>
      </c>
      <c r="G3041" t="n">
        <v>39.99</v>
      </c>
      <c r="H3041" t="n">
        <v>15.1</v>
      </c>
      <c r="I3041" t="inlineStr">
        <is>
          <t>boleto</t>
        </is>
      </c>
      <c r="J3041" t="n">
        <v>21</v>
      </c>
      <c r="K3041" t="inlineStr">
        <is>
          <t>Late</t>
        </is>
      </c>
      <c r="L3041" t="n">
        <v>4</v>
      </c>
      <c r="M3041">
        <f>VLOOKUP(D3041,State_Lookup!$A$2:$B$28,2,FALSE)</f>
        <v/>
      </c>
    </row>
    <row r="3042">
      <c r="A3042" t="inlineStr">
        <is>
          <t>cd472c4843f0157551fb2c99b21d3786</t>
        </is>
      </c>
      <c r="B3042" t="inlineStr">
        <is>
          <t>2018-03-01</t>
        </is>
      </c>
      <c r="C3042" t="inlineStr">
        <is>
          <t>2018-03</t>
        </is>
      </c>
      <c r="D3042" t="inlineStr">
        <is>
          <t>RJ</t>
        </is>
      </c>
      <c r="E3042" t="inlineStr">
        <is>
          <t>bed_bath_table</t>
        </is>
      </c>
      <c r="F3042" t="n">
        <v>1</v>
      </c>
      <c r="G3042" t="n">
        <v>115</v>
      </c>
      <c r="H3042" t="n">
        <v>15.57</v>
      </c>
      <c r="I3042" t="inlineStr">
        <is>
          <t>boleto</t>
        </is>
      </c>
      <c r="J3042" t="n">
        <v>52</v>
      </c>
      <c r="K3042" t="inlineStr">
        <is>
          <t>Late</t>
        </is>
      </c>
      <c r="L3042" t="n">
        <v>1</v>
      </c>
      <c r="M3042">
        <f>VLOOKUP(D3042,State_Lookup!$A$2:$B$28,2,FALSE)</f>
        <v/>
      </c>
    </row>
    <row r="3043">
      <c r="A3043" t="inlineStr">
        <is>
          <t>4c3302743a4cdbc7c65bb027ea156c35</t>
        </is>
      </c>
      <c r="B3043" t="inlineStr">
        <is>
          <t>2018-03-01</t>
        </is>
      </c>
      <c r="C3043" t="inlineStr">
        <is>
          <t>2018-03</t>
        </is>
      </c>
      <c r="D3043" t="inlineStr">
        <is>
          <t>ES</t>
        </is>
      </c>
      <c r="E3043" t="inlineStr">
        <is>
          <t>furniture_decor</t>
        </is>
      </c>
      <c r="F3043" t="n">
        <v>3</v>
      </c>
      <c r="G3043" t="n">
        <v>135</v>
      </c>
      <c r="H3043" t="n">
        <v>52.8</v>
      </c>
      <c r="I3043" t="inlineStr">
        <is>
          <t>credit_card</t>
        </is>
      </c>
      <c r="J3043" t="n">
        <v>43</v>
      </c>
      <c r="K3043" t="inlineStr">
        <is>
          <t>Late</t>
        </is>
      </c>
      <c r="L3043" t="n">
        <v>1</v>
      </c>
      <c r="M3043">
        <f>VLOOKUP(D3043,State_Lookup!$A$2:$B$28,2,FALSE)</f>
        <v/>
      </c>
    </row>
    <row r="3044">
      <c r="A3044" t="inlineStr">
        <is>
          <t>e0be013981866fa58c41c93cab57594a</t>
        </is>
      </c>
      <c r="B3044" t="inlineStr">
        <is>
          <t>2018-03-01</t>
        </is>
      </c>
      <c r="C3044" t="inlineStr">
        <is>
          <t>2018-03</t>
        </is>
      </c>
      <c r="D3044" t="inlineStr">
        <is>
          <t>RJ</t>
        </is>
      </c>
      <c r="E3044" t="inlineStr">
        <is>
          <t>musical_instruments</t>
        </is>
      </c>
      <c r="F3044" t="n">
        <v>1</v>
      </c>
      <c r="G3044" t="n">
        <v>37</v>
      </c>
      <c r="H3044" t="n">
        <v>15.1</v>
      </c>
      <c r="I3044" t="inlineStr">
        <is>
          <t>credit_card</t>
        </is>
      </c>
      <c r="J3044" t="n">
        <v>40</v>
      </c>
      <c r="K3044" t="inlineStr">
        <is>
          <t>Late</t>
        </is>
      </c>
      <c r="L3044" t="n">
        <v>3</v>
      </c>
      <c r="M3044">
        <f>VLOOKUP(D3044,State_Lookup!$A$2:$B$28,2,FALSE)</f>
        <v/>
      </c>
    </row>
    <row r="3045">
      <c r="A3045" t="inlineStr">
        <is>
          <t>c9c090d55d074c5b0d0effca2b928d4c</t>
        </is>
      </c>
      <c r="B3045" t="inlineStr">
        <is>
          <t>2018-03-02</t>
        </is>
      </c>
      <c r="C3045" t="inlineStr">
        <is>
          <t>2018-03</t>
        </is>
      </c>
      <c r="D3045" t="inlineStr">
        <is>
          <t>SC</t>
        </is>
      </c>
      <c r="E3045" t="inlineStr">
        <is>
          <t>auto</t>
        </is>
      </c>
      <c r="F3045" t="n">
        <v>1</v>
      </c>
      <c r="G3045" t="n">
        <v>45</v>
      </c>
      <c r="H3045" t="n">
        <v>15.1</v>
      </c>
      <c r="I3045" t="inlineStr">
        <is>
          <t>credit_card</t>
        </is>
      </c>
      <c r="J3045" t="n">
        <v>14</v>
      </c>
      <c r="K3045" t="inlineStr">
        <is>
          <t>On Time</t>
        </is>
      </c>
      <c r="L3045" t="n">
        <v>1</v>
      </c>
      <c r="M3045">
        <f>VLOOKUP(D3045,State_Lookup!$A$2:$B$28,2,FALSE)</f>
        <v/>
      </c>
    </row>
    <row r="3046">
      <c r="A3046" t="inlineStr">
        <is>
          <t>a88ebb416476bb5c50111622847afcf8</t>
        </is>
      </c>
      <c r="B3046" t="inlineStr">
        <is>
          <t>2018-03-02</t>
        </is>
      </c>
      <c r="C3046" t="inlineStr">
        <is>
          <t>2018-03</t>
        </is>
      </c>
      <c r="D3046" t="inlineStr">
        <is>
          <t>GO</t>
        </is>
      </c>
      <c r="E3046" t="inlineStr">
        <is>
          <t>watches_gifts</t>
        </is>
      </c>
      <c r="F3046" t="n">
        <v>2</v>
      </c>
      <c r="G3046" t="n">
        <v>445</v>
      </c>
      <c r="H3046" t="n">
        <v>32.61</v>
      </c>
      <c r="I3046" t="inlineStr">
        <is>
          <t>credit_card</t>
        </is>
      </c>
      <c r="J3046" t="n">
        <v>20</v>
      </c>
      <c r="K3046" t="inlineStr">
        <is>
          <t>On Time</t>
        </is>
      </c>
      <c r="L3046" t="n">
        <v>1</v>
      </c>
      <c r="M3046">
        <f>VLOOKUP(D3046,State_Lookup!$A$2:$B$28,2,FALSE)</f>
        <v/>
      </c>
    </row>
    <row r="3047">
      <c r="A3047" t="inlineStr">
        <is>
          <t>1bcee4703d916a7dead99492b946773e</t>
        </is>
      </c>
      <c r="B3047" t="inlineStr">
        <is>
          <t>2018-03-02</t>
        </is>
      </c>
      <c r="C3047" t="inlineStr">
        <is>
          <t>2018-03</t>
        </is>
      </c>
      <c r="D3047" t="inlineStr">
        <is>
          <t>PE</t>
        </is>
      </c>
      <c r="E3047" t="inlineStr">
        <is>
          <t>food_drink</t>
        </is>
      </c>
      <c r="F3047" t="n">
        <v>1</v>
      </c>
      <c r="G3047" t="n">
        <v>165</v>
      </c>
      <c r="H3047" t="n">
        <v>29.55</v>
      </c>
      <c r="I3047" t="inlineStr">
        <is>
          <t>credit_card</t>
        </is>
      </c>
      <c r="J3047" t="n">
        <v>20</v>
      </c>
      <c r="K3047" t="inlineStr">
        <is>
          <t>On Time</t>
        </is>
      </c>
      <c r="L3047" t="n">
        <v>5</v>
      </c>
      <c r="M3047">
        <f>VLOOKUP(D3047,State_Lookup!$A$2:$B$28,2,FALSE)</f>
        <v/>
      </c>
    </row>
    <row r="3048">
      <c r="A3048" t="inlineStr">
        <is>
          <t>4325abb4e925f2765e6874e9788392f4</t>
        </is>
      </c>
      <c r="B3048" t="inlineStr">
        <is>
          <t>2018-03-02</t>
        </is>
      </c>
      <c r="C3048" t="inlineStr">
        <is>
          <t>2018-03</t>
        </is>
      </c>
      <c r="D3048" t="inlineStr">
        <is>
          <t>SC</t>
        </is>
      </c>
      <c r="E3048" t="inlineStr">
        <is>
          <t>auto</t>
        </is>
      </c>
      <c r="F3048" t="n">
        <v>1</v>
      </c>
      <c r="G3048" t="n">
        <v>55.65</v>
      </c>
      <c r="H3048" t="n">
        <v>16.83</v>
      </c>
      <c r="I3048" t="inlineStr">
        <is>
          <t>boleto</t>
        </is>
      </c>
      <c r="J3048" t="n">
        <v>40</v>
      </c>
      <c r="K3048" t="inlineStr">
        <is>
          <t>Late</t>
        </is>
      </c>
      <c r="L3048" t="n">
        <v>3</v>
      </c>
      <c r="M3048">
        <f>VLOOKUP(D3048,State_Lookup!$A$2:$B$28,2,FALSE)</f>
        <v/>
      </c>
    </row>
    <row r="3049">
      <c r="A3049" t="inlineStr">
        <is>
          <t>89fa4e94189a9acfa88b8d22f4513035</t>
        </is>
      </c>
      <c r="B3049" t="inlineStr">
        <is>
          <t>2018-03-02</t>
        </is>
      </c>
      <c r="C3049" t="inlineStr">
        <is>
          <t>2018-03</t>
        </is>
      </c>
      <c r="D3049" t="inlineStr">
        <is>
          <t>SP</t>
        </is>
      </c>
      <c r="E3049" t="inlineStr">
        <is>
          <t>cool_stuff</t>
        </is>
      </c>
      <c r="F3049" t="n">
        <v>1</v>
      </c>
      <c r="G3049" t="n">
        <v>41.9</v>
      </c>
      <c r="H3049" t="n">
        <v>12.23</v>
      </c>
      <c r="I3049" t="inlineStr">
        <is>
          <t>credit_card</t>
        </is>
      </c>
      <c r="J3049" t="n">
        <v>3</v>
      </c>
      <c r="K3049" t="inlineStr">
        <is>
          <t>On Time</t>
        </is>
      </c>
      <c r="L3049" t="n">
        <v>5</v>
      </c>
      <c r="M3049">
        <f>VLOOKUP(D3049,State_Lookup!$A$2:$B$28,2,FALSE)</f>
        <v/>
      </c>
    </row>
    <row r="3050">
      <c r="A3050" t="inlineStr">
        <is>
          <t>f5218a2401f92542f87b1de5bc3f92ff</t>
        </is>
      </c>
      <c r="B3050" t="inlineStr">
        <is>
          <t>2018-03-02</t>
        </is>
      </c>
      <c r="C3050" t="inlineStr">
        <is>
          <t>2018-03</t>
        </is>
      </c>
      <c r="D3050" t="inlineStr">
        <is>
          <t>SP</t>
        </is>
      </c>
      <c r="E3050" t="inlineStr">
        <is>
          <t>sports_leisure</t>
        </is>
      </c>
      <c r="F3050" t="n">
        <v>2</v>
      </c>
      <c r="G3050" t="n">
        <v>38.98</v>
      </c>
      <c r="H3050" t="n">
        <v>16.54</v>
      </c>
      <c r="I3050" t="inlineStr">
        <is>
          <t>credit_card</t>
        </is>
      </c>
      <c r="J3050" t="n">
        <v>4</v>
      </c>
      <c r="K3050" t="inlineStr">
        <is>
          <t>On Time</t>
        </is>
      </c>
      <c r="L3050" t="n">
        <v>3</v>
      </c>
      <c r="M3050">
        <f>VLOOKUP(D3050,State_Lookup!$A$2:$B$28,2,FALSE)</f>
        <v/>
      </c>
    </row>
    <row r="3051">
      <c r="A3051" t="inlineStr">
        <is>
          <t>cd664e197521a82f89b34d1af4af7aa0</t>
        </is>
      </c>
      <c r="B3051" t="inlineStr">
        <is>
          <t>2018-03-02</t>
        </is>
      </c>
      <c r="C3051" t="inlineStr">
        <is>
          <t>2018-03</t>
        </is>
      </c>
      <c r="D3051" t="inlineStr">
        <is>
          <t>SP</t>
        </is>
      </c>
      <c r="E3051" t="inlineStr">
        <is>
          <t>health_beauty</t>
        </is>
      </c>
      <c r="F3051" t="n">
        <v>1</v>
      </c>
      <c r="G3051" t="n">
        <v>49.9</v>
      </c>
      <c r="H3051" t="n">
        <v>7.78</v>
      </c>
      <c r="I3051" t="inlineStr">
        <is>
          <t>credit_card</t>
        </is>
      </c>
      <c r="J3051" t="n">
        <v>4</v>
      </c>
      <c r="K3051" t="inlineStr">
        <is>
          <t>On Time</t>
        </is>
      </c>
      <c r="L3051" t="n">
        <v>5</v>
      </c>
      <c r="M3051">
        <f>VLOOKUP(D3051,State_Lookup!$A$2:$B$28,2,FALSE)</f>
        <v/>
      </c>
    </row>
    <row r="3052">
      <c r="A3052" t="inlineStr">
        <is>
          <t>13e5cf1e067d58500141bfb2a638ba6b</t>
        </is>
      </c>
      <c r="B3052" t="inlineStr">
        <is>
          <t>2018-03-02</t>
        </is>
      </c>
      <c r="C3052" t="inlineStr">
        <is>
          <t>2018-03</t>
        </is>
      </c>
      <c r="D3052" t="inlineStr">
        <is>
          <t>PR</t>
        </is>
      </c>
      <c r="E3052" t="inlineStr">
        <is>
          <t>fashion_bags_accessories</t>
        </is>
      </c>
      <c r="F3052" t="n">
        <v>1</v>
      </c>
      <c r="G3052" t="n">
        <v>32</v>
      </c>
      <c r="H3052" t="n">
        <v>15.1</v>
      </c>
      <c r="I3052" t="inlineStr">
        <is>
          <t>credit_card</t>
        </is>
      </c>
      <c r="J3052" t="n">
        <v>21</v>
      </c>
      <c r="K3052" t="inlineStr">
        <is>
          <t>Late</t>
        </is>
      </c>
      <c r="L3052" t="n">
        <v>5</v>
      </c>
      <c r="M3052">
        <f>VLOOKUP(D3052,State_Lookup!$A$2:$B$28,2,FALSE)</f>
        <v/>
      </c>
    </row>
    <row r="3053">
      <c r="A3053" t="inlineStr">
        <is>
          <t>17b33c457230992a193f0e7179fbf104</t>
        </is>
      </c>
      <c r="B3053" t="inlineStr">
        <is>
          <t>2018-03-03</t>
        </is>
      </c>
      <c r="C3053" t="inlineStr">
        <is>
          <t>2018-03</t>
        </is>
      </c>
      <c r="D3053" t="inlineStr">
        <is>
          <t>SC</t>
        </is>
      </c>
      <c r="E3053" t="inlineStr">
        <is>
          <t>watches_gifts</t>
        </is>
      </c>
      <c r="F3053" t="n">
        <v>1</v>
      </c>
      <c r="G3053" t="n">
        <v>134.9</v>
      </c>
      <c r="H3053" t="n">
        <v>18.19</v>
      </c>
      <c r="I3053" t="inlineStr">
        <is>
          <t>credit_card</t>
        </is>
      </c>
      <c r="J3053" t="n">
        <v>22</v>
      </c>
      <c r="K3053" t="inlineStr">
        <is>
          <t>Late</t>
        </is>
      </c>
      <c r="L3053" t="n">
        <v>4</v>
      </c>
      <c r="M3053">
        <f>VLOOKUP(D3053,State_Lookup!$A$2:$B$28,2,FALSE)</f>
        <v/>
      </c>
    </row>
    <row r="3054">
      <c r="A3054" t="inlineStr">
        <is>
          <t>e2fbbc5e799749941a23275230ee1d8b</t>
        </is>
      </c>
      <c r="B3054" t="inlineStr">
        <is>
          <t>2018-03-03</t>
        </is>
      </c>
      <c r="C3054" t="inlineStr">
        <is>
          <t>2018-03</t>
        </is>
      </c>
      <c r="D3054" t="inlineStr">
        <is>
          <t>SP</t>
        </is>
      </c>
      <c r="E3054" t="inlineStr">
        <is>
          <t>electronics</t>
        </is>
      </c>
      <c r="F3054" t="n">
        <v>1</v>
      </c>
      <c r="G3054" t="n">
        <v>139.9</v>
      </c>
      <c r="H3054" t="n">
        <v>22.61</v>
      </c>
      <c r="I3054" t="inlineStr">
        <is>
          <t>credit_card</t>
        </is>
      </c>
      <c r="J3054" t="n">
        <v>10</v>
      </c>
      <c r="K3054" t="inlineStr">
        <is>
          <t>On Time</t>
        </is>
      </c>
      <c r="L3054" t="n">
        <v>4</v>
      </c>
      <c r="M3054">
        <f>VLOOKUP(D3054,State_Lookup!$A$2:$B$28,2,FALSE)</f>
        <v/>
      </c>
    </row>
    <row r="3055">
      <c r="A3055" t="inlineStr">
        <is>
          <t>92332bfe0b5269414ff8497677a10d5f</t>
        </is>
      </c>
      <c r="B3055" t="inlineStr">
        <is>
          <t>2018-03-03</t>
        </is>
      </c>
      <c r="C3055" t="inlineStr">
        <is>
          <t>2018-03</t>
        </is>
      </c>
      <c r="D3055" t="inlineStr">
        <is>
          <t>MG</t>
        </is>
      </c>
      <c r="E3055" t="inlineStr">
        <is>
          <t>computers_accessories</t>
        </is>
      </c>
      <c r="F3055" t="n">
        <v>1</v>
      </c>
      <c r="G3055" t="n">
        <v>98</v>
      </c>
      <c r="H3055" t="n">
        <v>16.45</v>
      </c>
      <c r="I3055" t="inlineStr">
        <is>
          <t>credit_card</t>
        </is>
      </c>
      <c r="J3055" t="n">
        <v>29</v>
      </c>
      <c r="K3055" t="inlineStr">
        <is>
          <t>Late</t>
        </is>
      </c>
      <c r="L3055" t="n">
        <v>1</v>
      </c>
      <c r="M3055">
        <f>VLOOKUP(D3055,State_Lookup!$A$2:$B$28,2,FALSE)</f>
        <v/>
      </c>
    </row>
    <row r="3056">
      <c r="A3056" t="inlineStr">
        <is>
          <t>7818864c8604b6c6114235d245908ad6</t>
        </is>
      </c>
      <c r="B3056" t="inlineStr">
        <is>
          <t>2018-03-03</t>
        </is>
      </c>
      <c r="C3056" t="inlineStr">
        <is>
          <t>2018-03</t>
        </is>
      </c>
      <c r="D3056" t="inlineStr">
        <is>
          <t>PB</t>
        </is>
      </c>
      <c r="E3056" t="inlineStr">
        <is>
          <t>pet_shop</t>
        </is>
      </c>
      <c r="F3056" t="n">
        <v>1</v>
      </c>
      <c r="G3056" t="n">
        <v>45.9</v>
      </c>
      <c r="H3056" t="n">
        <v>34.15</v>
      </c>
      <c r="I3056" t="inlineStr">
        <is>
          <t>credit_card</t>
        </is>
      </c>
      <c r="J3056" t="n">
        <v>15</v>
      </c>
      <c r="K3056" t="inlineStr">
        <is>
          <t>On Time</t>
        </is>
      </c>
      <c r="L3056" t="n">
        <v>5</v>
      </c>
      <c r="M3056">
        <f>VLOOKUP(D3056,State_Lookup!$A$2:$B$28,2,FALSE)</f>
        <v/>
      </c>
    </row>
    <row r="3057">
      <c r="A3057" t="inlineStr">
        <is>
          <t>b7d04f39e98c5fc85abf2652d719385c</t>
        </is>
      </c>
      <c r="B3057" t="inlineStr">
        <is>
          <t>2018-03-03</t>
        </is>
      </c>
      <c r="C3057" t="inlineStr">
        <is>
          <t>2018-03</t>
        </is>
      </c>
      <c r="D3057" t="inlineStr">
        <is>
          <t>BA</t>
        </is>
      </c>
      <c r="E3057" t="inlineStr">
        <is>
          <t>health_beauty</t>
        </is>
      </c>
      <c r="F3057" t="n">
        <v>1</v>
      </c>
      <c r="G3057" t="n">
        <v>33.8</v>
      </c>
      <c r="H3057" t="n">
        <v>19.59</v>
      </c>
      <c r="I3057" t="inlineStr">
        <is>
          <t>credit_card</t>
        </is>
      </c>
      <c r="J3057" t="n">
        <v>39</v>
      </c>
      <c r="K3057" t="inlineStr">
        <is>
          <t>Late</t>
        </is>
      </c>
      <c r="L3057" t="n">
        <v>1</v>
      </c>
      <c r="M3057">
        <f>VLOOKUP(D3057,State_Lookup!$A$2:$B$28,2,FALSE)</f>
        <v/>
      </c>
    </row>
    <row r="3058">
      <c r="A3058" t="inlineStr">
        <is>
          <t>6d56dcd34118baee5c013a25cd6caa97</t>
        </is>
      </c>
      <c r="B3058" t="inlineStr">
        <is>
          <t>2018-03-03</t>
        </is>
      </c>
      <c r="C3058" t="inlineStr">
        <is>
          <t>2018-03</t>
        </is>
      </c>
      <c r="D3058" t="inlineStr">
        <is>
          <t>GO</t>
        </is>
      </c>
      <c r="E3058" t="inlineStr">
        <is>
          <t>sports_leisure</t>
        </is>
      </c>
      <c r="F3058" t="n">
        <v>1</v>
      </c>
      <c r="G3058" t="n">
        <v>59.99</v>
      </c>
      <c r="H3058" t="n">
        <v>15.18</v>
      </c>
      <c r="I3058" t="inlineStr">
        <is>
          <t>credit_card</t>
        </is>
      </c>
      <c r="J3058" t="n">
        <v>35</v>
      </c>
      <c r="K3058" t="inlineStr">
        <is>
          <t>Late</t>
        </is>
      </c>
      <c r="L3058" t="n">
        <v>3</v>
      </c>
      <c r="M3058">
        <f>VLOOKUP(D3058,State_Lookup!$A$2:$B$28,2,FALSE)</f>
        <v/>
      </c>
    </row>
    <row r="3059">
      <c r="A3059" t="inlineStr">
        <is>
          <t>edf98874f1448a7630f57febbfa39852</t>
        </is>
      </c>
      <c r="B3059" t="inlineStr">
        <is>
          <t>2018-03-03</t>
        </is>
      </c>
      <c r="C3059" t="inlineStr">
        <is>
          <t>2018-03</t>
        </is>
      </c>
      <c r="D3059" t="inlineStr">
        <is>
          <t>SP</t>
        </is>
      </c>
      <c r="E3059" t="inlineStr">
        <is>
          <t>watches_gifts</t>
        </is>
      </c>
      <c r="F3059" t="n">
        <v>1</v>
      </c>
      <c r="G3059" t="n">
        <v>599</v>
      </c>
      <c r="H3059" t="n">
        <v>13.01</v>
      </c>
      <c r="I3059" t="inlineStr">
        <is>
          <t>credit_card</t>
        </is>
      </c>
      <c r="J3059" t="n">
        <v>5</v>
      </c>
      <c r="K3059" t="inlineStr">
        <is>
          <t>On Time</t>
        </is>
      </c>
      <c r="L3059" t="n">
        <v>5</v>
      </c>
      <c r="M3059">
        <f>VLOOKUP(D3059,State_Lookup!$A$2:$B$28,2,FALSE)</f>
        <v/>
      </c>
    </row>
    <row r="3060">
      <c r="A3060" t="inlineStr">
        <is>
          <t>261f486a198b17b0fefad4813130cd99</t>
        </is>
      </c>
      <c r="B3060" t="inlineStr">
        <is>
          <t>2018-03-03</t>
        </is>
      </c>
      <c r="C3060" t="inlineStr">
        <is>
          <t>2018-03</t>
        </is>
      </c>
      <c r="D3060" t="inlineStr">
        <is>
          <t>SP</t>
        </is>
      </c>
      <c r="E3060" t="inlineStr">
        <is>
          <t>musical_instruments</t>
        </is>
      </c>
      <c r="F3060" t="n">
        <v>1</v>
      </c>
      <c r="G3060" t="n">
        <v>35.9</v>
      </c>
      <c r="H3060" t="n">
        <v>8.720000000000001</v>
      </c>
      <c r="I3060" t="inlineStr">
        <is>
          <t>boleto</t>
        </is>
      </c>
      <c r="J3060" t="n">
        <v>4</v>
      </c>
      <c r="K3060" t="inlineStr">
        <is>
          <t>On Time</t>
        </is>
      </c>
      <c r="L3060" t="n">
        <v>5</v>
      </c>
      <c r="M3060">
        <f>VLOOKUP(D3060,State_Lookup!$A$2:$B$28,2,FALSE)</f>
        <v/>
      </c>
    </row>
    <row r="3061">
      <c r="A3061" t="inlineStr">
        <is>
          <t>ff358345576214cc9e08488188973c84</t>
        </is>
      </c>
      <c r="B3061" t="inlineStr">
        <is>
          <t>2018-03-03</t>
        </is>
      </c>
      <c r="C3061" t="inlineStr">
        <is>
          <t>2018-03</t>
        </is>
      </c>
      <c r="D3061" t="inlineStr">
        <is>
          <t>RJ</t>
        </is>
      </c>
      <c r="E3061" t="inlineStr">
        <is>
          <t>electronics</t>
        </is>
      </c>
      <c r="F3061" t="n">
        <v>1</v>
      </c>
      <c r="G3061" t="n">
        <v>19.9</v>
      </c>
      <c r="H3061" t="n">
        <v>16.79</v>
      </c>
      <c r="I3061" t="inlineStr">
        <is>
          <t>credit_card</t>
        </is>
      </c>
      <c r="J3061" t="inlineStr"/>
      <c r="K3061" t="inlineStr">
        <is>
          <t>Not Delivered</t>
        </is>
      </c>
      <c r="L3061" t="n">
        <v>1</v>
      </c>
      <c r="M3061">
        <f>VLOOKUP(D3061,State_Lookup!$A$2:$B$28,2,FALSE)</f>
        <v/>
      </c>
    </row>
    <row r="3062">
      <c r="A3062" t="inlineStr">
        <is>
          <t>afa2c425be2efd14c19b4a0aa62f9b59</t>
        </is>
      </c>
      <c r="B3062" t="inlineStr">
        <is>
          <t>2018-03-04</t>
        </is>
      </c>
      <c r="C3062" t="inlineStr">
        <is>
          <t>2018-03</t>
        </is>
      </c>
      <c r="D3062" t="inlineStr">
        <is>
          <t>SP</t>
        </is>
      </c>
      <c r="E3062" t="inlineStr">
        <is>
          <t>health_beauty</t>
        </is>
      </c>
      <c r="F3062" t="n">
        <v>1</v>
      </c>
      <c r="G3062" t="n">
        <v>229.9</v>
      </c>
      <c r="H3062" t="n">
        <v>18.86</v>
      </c>
      <c r="I3062" t="inlineStr">
        <is>
          <t>credit_card</t>
        </is>
      </c>
      <c r="J3062" t="n">
        <v>33</v>
      </c>
      <c r="K3062" t="inlineStr">
        <is>
          <t>Late</t>
        </is>
      </c>
      <c r="L3062" t="n">
        <v>1</v>
      </c>
      <c r="M3062">
        <f>VLOOKUP(D3062,State_Lookup!$A$2:$B$28,2,FALSE)</f>
        <v/>
      </c>
    </row>
    <row r="3063">
      <c r="A3063" t="inlineStr">
        <is>
          <t>69eb4e39c354fbaad34489675c55608a</t>
        </is>
      </c>
      <c r="B3063" t="inlineStr">
        <is>
          <t>2018-03-04</t>
        </is>
      </c>
      <c r="C3063" t="inlineStr">
        <is>
          <t>2018-03</t>
        </is>
      </c>
      <c r="D3063" t="inlineStr">
        <is>
          <t>SP</t>
        </is>
      </c>
      <c r="E3063" t="inlineStr">
        <is>
          <t>garden_tools</t>
        </is>
      </c>
      <c r="F3063" t="n">
        <v>1</v>
      </c>
      <c r="G3063" t="n">
        <v>39.9</v>
      </c>
      <c r="H3063" t="n">
        <v>11.85</v>
      </c>
      <c r="I3063" t="inlineStr">
        <is>
          <t>credit_card</t>
        </is>
      </c>
      <c r="J3063" t="n">
        <v>5</v>
      </c>
      <c r="K3063" t="inlineStr">
        <is>
          <t>On Time</t>
        </is>
      </c>
      <c r="L3063" t="n">
        <v>3</v>
      </c>
      <c r="M3063">
        <f>VLOOKUP(D3063,State_Lookup!$A$2:$B$28,2,FALSE)</f>
        <v/>
      </c>
    </row>
    <row r="3064">
      <c r="A3064" t="inlineStr">
        <is>
          <t>77e0e2f3250d4f0ce9ec0e9b5c151355</t>
        </is>
      </c>
      <c r="B3064" t="inlineStr">
        <is>
          <t>2018-03-04</t>
        </is>
      </c>
      <c r="C3064" t="inlineStr">
        <is>
          <t>2018-03</t>
        </is>
      </c>
      <c r="D3064" t="inlineStr">
        <is>
          <t>RS</t>
        </is>
      </c>
      <c r="E3064" t="inlineStr">
        <is>
          <t>sports_leisure</t>
        </is>
      </c>
      <c r="F3064" t="n">
        <v>1</v>
      </c>
      <c r="G3064" t="n">
        <v>99.90000000000001</v>
      </c>
      <c r="H3064" t="n">
        <v>17.95</v>
      </c>
      <c r="I3064" t="inlineStr">
        <is>
          <t>credit_card</t>
        </is>
      </c>
      <c r="J3064" t="n">
        <v>11</v>
      </c>
      <c r="K3064" t="inlineStr">
        <is>
          <t>On Time</t>
        </is>
      </c>
      <c r="L3064" t="n">
        <v>5</v>
      </c>
      <c r="M3064">
        <f>VLOOKUP(D3064,State_Lookup!$A$2:$B$28,2,FALSE)</f>
        <v/>
      </c>
    </row>
    <row r="3065">
      <c r="A3065" t="inlineStr">
        <is>
          <t>8c23f60e51f9e3aec7d9e0c07fa3d8f1</t>
        </is>
      </c>
      <c r="B3065" t="inlineStr">
        <is>
          <t>2018-03-04</t>
        </is>
      </c>
      <c r="C3065" t="inlineStr">
        <is>
          <t>2018-03</t>
        </is>
      </c>
      <c r="D3065" t="inlineStr">
        <is>
          <t>MG</t>
        </is>
      </c>
      <c r="E3065" t="inlineStr">
        <is>
          <t>bed_bath_table</t>
        </is>
      </c>
      <c r="F3065" t="n">
        <v>1</v>
      </c>
      <c r="G3065" t="n">
        <v>39.9</v>
      </c>
      <c r="H3065" t="n">
        <v>16.6</v>
      </c>
      <c r="I3065" t="inlineStr">
        <is>
          <t>voucher</t>
        </is>
      </c>
      <c r="J3065" t="n">
        <v>23</v>
      </c>
      <c r="K3065" t="inlineStr">
        <is>
          <t>Late</t>
        </is>
      </c>
      <c r="L3065" t="n">
        <v>1</v>
      </c>
      <c r="M3065">
        <f>VLOOKUP(D3065,State_Lookup!$A$2:$B$28,2,FALSE)</f>
        <v/>
      </c>
    </row>
    <row r="3066">
      <c r="A3066" t="inlineStr">
        <is>
          <t>caa15e1aa25a513739966e10636def94</t>
        </is>
      </c>
      <c r="B3066" t="inlineStr">
        <is>
          <t>2018-03-04</t>
        </is>
      </c>
      <c r="C3066" t="inlineStr">
        <is>
          <t>2018-03</t>
        </is>
      </c>
      <c r="D3066" t="inlineStr">
        <is>
          <t>ES</t>
        </is>
      </c>
      <c r="E3066" t="inlineStr">
        <is>
          <t>telephony</t>
        </is>
      </c>
      <c r="F3066" t="n">
        <v>1</v>
      </c>
      <c r="G3066" t="n">
        <v>27.99</v>
      </c>
      <c r="H3066" t="n">
        <v>15.1</v>
      </c>
      <c r="I3066" t="inlineStr">
        <is>
          <t>credit_card</t>
        </is>
      </c>
      <c r="J3066" t="n">
        <v>37</v>
      </c>
      <c r="K3066" t="inlineStr">
        <is>
          <t>Late</t>
        </is>
      </c>
      <c r="L3066" t="n">
        <v>1</v>
      </c>
      <c r="M3066">
        <f>VLOOKUP(D3066,State_Lookup!$A$2:$B$28,2,FALSE)</f>
        <v/>
      </c>
    </row>
    <row r="3067">
      <c r="A3067" t="inlineStr">
        <is>
          <t>f3bf8da6fd4b735f85852c38ca15e90e</t>
        </is>
      </c>
      <c r="B3067" t="inlineStr">
        <is>
          <t>2018-03-04</t>
        </is>
      </c>
      <c r="C3067" t="inlineStr">
        <is>
          <t>2018-03</t>
        </is>
      </c>
      <c r="D3067" t="inlineStr">
        <is>
          <t>SP</t>
        </is>
      </c>
      <c r="E3067" t="inlineStr">
        <is>
          <t>furniture_decor</t>
        </is>
      </c>
      <c r="F3067" t="n">
        <v>1</v>
      </c>
      <c r="G3067" t="n">
        <v>239.9</v>
      </c>
      <c r="H3067" t="n">
        <v>18.39</v>
      </c>
      <c r="I3067" t="inlineStr">
        <is>
          <t>credit_card</t>
        </is>
      </c>
      <c r="J3067" t="n">
        <v>14</v>
      </c>
      <c r="K3067" t="inlineStr">
        <is>
          <t>On Time</t>
        </is>
      </c>
      <c r="L3067" t="n">
        <v>5</v>
      </c>
      <c r="M3067">
        <f>VLOOKUP(D3067,State_Lookup!$A$2:$B$28,2,FALSE)</f>
        <v/>
      </c>
    </row>
    <row r="3068">
      <c r="A3068" t="inlineStr">
        <is>
          <t>3018245b4917c2d6e6ad5deb7a5cc600</t>
        </is>
      </c>
      <c r="B3068" t="inlineStr">
        <is>
          <t>2018-03-04</t>
        </is>
      </c>
      <c r="C3068" t="inlineStr">
        <is>
          <t>2018-03</t>
        </is>
      </c>
      <c r="D3068" t="inlineStr">
        <is>
          <t>BA</t>
        </is>
      </c>
      <c r="E3068" t="inlineStr">
        <is>
          <t>electronics</t>
        </is>
      </c>
      <c r="F3068" t="n">
        <v>1</v>
      </c>
      <c r="G3068" t="n">
        <v>12.95</v>
      </c>
      <c r="H3068" t="n">
        <v>16.79</v>
      </c>
      <c r="I3068" t="inlineStr">
        <is>
          <t>credit_card</t>
        </is>
      </c>
      <c r="J3068" t="n">
        <v>12</v>
      </c>
      <c r="K3068" t="inlineStr">
        <is>
          <t>On Time</t>
        </is>
      </c>
      <c r="L3068" t="n">
        <v>5</v>
      </c>
      <c r="M3068">
        <f>VLOOKUP(D3068,State_Lookup!$A$2:$B$28,2,FALSE)</f>
        <v/>
      </c>
    </row>
    <row r="3069">
      <c r="A3069" t="inlineStr">
        <is>
          <t>bc0e143be142c22547b69235dd63a5ad</t>
        </is>
      </c>
      <c r="B3069" t="inlineStr">
        <is>
          <t>2018-03-04</t>
        </is>
      </c>
      <c r="C3069" t="inlineStr">
        <is>
          <t>2018-03</t>
        </is>
      </c>
      <c r="D3069" t="inlineStr">
        <is>
          <t>SP</t>
        </is>
      </c>
      <c r="E3069" t="inlineStr">
        <is>
          <t>sports_leisure</t>
        </is>
      </c>
      <c r="F3069" t="n">
        <v>1</v>
      </c>
      <c r="G3069" t="n">
        <v>54.9</v>
      </c>
      <c r="H3069" t="n">
        <v>7.78</v>
      </c>
      <c r="I3069" t="inlineStr">
        <is>
          <t>credit_card</t>
        </is>
      </c>
      <c r="J3069" t="n">
        <v>2</v>
      </c>
      <c r="K3069" t="inlineStr">
        <is>
          <t>On Time</t>
        </is>
      </c>
      <c r="L3069" t="n">
        <v>5</v>
      </c>
      <c r="M3069">
        <f>VLOOKUP(D3069,State_Lookup!$A$2:$B$28,2,FALSE)</f>
        <v/>
      </c>
    </row>
    <row r="3070">
      <c r="A3070" t="inlineStr">
        <is>
          <t>747af114bbea56ac1e6841d66553b0bc</t>
        </is>
      </c>
      <c r="B3070" t="inlineStr">
        <is>
          <t>2018-03-04</t>
        </is>
      </c>
      <c r="C3070" t="inlineStr">
        <is>
          <t>2018-03</t>
        </is>
      </c>
      <c r="D3070" t="inlineStr">
        <is>
          <t>MG</t>
        </is>
      </c>
      <c r="E3070" t="inlineStr">
        <is>
          <t>auto</t>
        </is>
      </c>
      <c r="F3070" t="n">
        <v>1</v>
      </c>
      <c r="G3070" t="n">
        <v>27.9</v>
      </c>
      <c r="H3070" t="n">
        <v>15.1</v>
      </c>
      <c r="I3070" t="inlineStr">
        <is>
          <t>credit_card</t>
        </is>
      </c>
      <c r="J3070" t="n">
        <v>5</v>
      </c>
      <c r="K3070" t="inlineStr">
        <is>
          <t>On Time</t>
        </is>
      </c>
      <c r="L3070" t="n">
        <v>3</v>
      </c>
      <c r="M3070">
        <f>VLOOKUP(D3070,State_Lookup!$A$2:$B$28,2,FALSE)</f>
        <v/>
      </c>
    </row>
    <row r="3071">
      <c r="A3071" t="inlineStr">
        <is>
          <t>cc8389c87998ef48d592285b08d5106d</t>
        </is>
      </c>
      <c r="B3071" t="inlineStr">
        <is>
          <t>2018-03-04</t>
        </is>
      </c>
      <c r="C3071" t="inlineStr">
        <is>
          <t>2018-03</t>
        </is>
      </c>
      <c r="D3071" t="inlineStr">
        <is>
          <t>RJ</t>
        </is>
      </c>
      <c r="E3071" t="inlineStr">
        <is>
          <t>telephony</t>
        </is>
      </c>
      <c r="F3071" t="n">
        <v>1</v>
      </c>
      <c r="G3071" t="n">
        <v>24.99</v>
      </c>
      <c r="H3071" t="n">
        <v>14.1</v>
      </c>
      <c r="I3071" t="inlineStr">
        <is>
          <t>credit_card</t>
        </is>
      </c>
      <c r="J3071" t="n">
        <v>28</v>
      </c>
      <c r="K3071" t="inlineStr">
        <is>
          <t>Late</t>
        </is>
      </c>
      <c r="L3071" t="n">
        <v>1</v>
      </c>
      <c r="M3071">
        <f>VLOOKUP(D3071,State_Lookup!$A$2:$B$28,2,FALSE)</f>
        <v/>
      </c>
    </row>
    <row r="3072">
      <c r="A3072" t="inlineStr">
        <is>
          <t>e1c8b1502b402a1284350d261a89cb9a</t>
        </is>
      </c>
      <c r="B3072" t="inlineStr">
        <is>
          <t>2018-03-04</t>
        </is>
      </c>
      <c r="C3072" t="inlineStr">
        <is>
          <t>2018-03</t>
        </is>
      </c>
      <c r="D3072" t="inlineStr">
        <is>
          <t>MG</t>
        </is>
      </c>
      <c r="E3072" t="inlineStr">
        <is>
          <t>housewares</t>
        </is>
      </c>
      <c r="F3072" t="n">
        <v>1</v>
      </c>
      <c r="G3072" t="n">
        <v>24</v>
      </c>
      <c r="H3072" t="n">
        <v>16.11</v>
      </c>
      <c r="I3072" t="inlineStr">
        <is>
          <t>credit_card</t>
        </is>
      </c>
      <c r="J3072" t="n">
        <v>29</v>
      </c>
      <c r="K3072" t="inlineStr">
        <is>
          <t>Late</t>
        </is>
      </c>
      <c r="L3072" t="n">
        <v>2</v>
      </c>
      <c r="M3072">
        <f>VLOOKUP(D3072,State_Lookup!$A$2:$B$28,2,FALSE)</f>
        <v/>
      </c>
    </row>
    <row r="3073">
      <c r="A3073" t="inlineStr">
        <is>
          <t>47ee6fec7ba2a39c23a7c84127e1fac9</t>
        </is>
      </c>
      <c r="B3073" t="inlineStr">
        <is>
          <t>2018-03-04</t>
        </is>
      </c>
      <c r="C3073" t="inlineStr">
        <is>
          <t>2018-03</t>
        </is>
      </c>
      <c r="D3073" t="inlineStr">
        <is>
          <t>SP</t>
        </is>
      </c>
      <c r="E3073" t="inlineStr">
        <is>
          <t>sports_leisure</t>
        </is>
      </c>
      <c r="F3073" t="n">
        <v>1</v>
      </c>
      <c r="G3073" t="n">
        <v>49.9</v>
      </c>
      <c r="H3073" t="n">
        <v>14.1</v>
      </c>
      <c r="I3073" t="inlineStr">
        <is>
          <t>debit_card</t>
        </is>
      </c>
      <c r="J3073" t="n">
        <v>15</v>
      </c>
      <c r="K3073" t="inlineStr">
        <is>
          <t>On Time</t>
        </is>
      </c>
      <c r="L3073" t="n">
        <v>3</v>
      </c>
      <c r="M3073">
        <f>VLOOKUP(D3073,State_Lookup!$A$2:$B$28,2,FALSE)</f>
        <v/>
      </c>
    </row>
    <row r="3074">
      <c r="A3074" t="inlineStr">
        <is>
          <t>59bccab4e9193a9229f7d1b73fcb47c3</t>
        </is>
      </c>
      <c r="B3074" t="inlineStr">
        <is>
          <t>2018-03-04</t>
        </is>
      </c>
      <c r="C3074" t="inlineStr">
        <is>
          <t>2018-03</t>
        </is>
      </c>
      <c r="D3074" t="inlineStr">
        <is>
          <t>SP</t>
        </is>
      </c>
      <c r="E3074" t="inlineStr">
        <is>
          <t>office_furniture</t>
        </is>
      </c>
      <c r="F3074" t="n">
        <v>2</v>
      </c>
      <c r="G3074" t="n">
        <v>196.93</v>
      </c>
      <c r="H3074" t="n">
        <v>39.24</v>
      </c>
      <c r="I3074" t="inlineStr">
        <is>
          <t>credit_card</t>
        </is>
      </c>
      <c r="J3074" t="n">
        <v>30</v>
      </c>
      <c r="K3074" t="inlineStr">
        <is>
          <t>On Time</t>
        </is>
      </c>
      <c r="L3074" t="n">
        <v>1</v>
      </c>
      <c r="M3074">
        <f>VLOOKUP(D3074,State_Lookup!$A$2:$B$28,2,FALSE)</f>
        <v/>
      </c>
    </row>
    <row r="3075">
      <c r="A3075" t="inlineStr">
        <is>
          <t>eb16480bd94a5fbe4e96614791306ec6</t>
        </is>
      </c>
      <c r="B3075" t="inlineStr">
        <is>
          <t>2018-03-04</t>
        </is>
      </c>
      <c r="C3075" t="inlineStr">
        <is>
          <t>2018-03</t>
        </is>
      </c>
      <c r="D3075" t="inlineStr">
        <is>
          <t>SP</t>
        </is>
      </c>
      <c r="E3075" t="inlineStr">
        <is>
          <t>health_beauty</t>
        </is>
      </c>
      <c r="F3075" t="n">
        <v>1</v>
      </c>
      <c r="G3075" t="n">
        <v>29.9</v>
      </c>
      <c r="H3075" t="n">
        <v>8.109999999999999</v>
      </c>
      <c r="I3075" t="inlineStr">
        <is>
          <t>credit_card</t>
        </is>
      </c>
      <c r="J3075" t="n">
        <v>4</v>
      </c>
      <c r="K3075" t="inlineStr">
        <is>
          <t>On Time</t>
        </is>
      </c>
      <c r="L3075" t="n">
        <v>5</v>
      </c>
      <c r="M3075">
        <f>VLOOKUP(D3075,State_Lookup!$A$2:$B$28,2,FALSE)</f>
        <v/>
      </c>
    </row>
    <row r="3076">
      <c r="A3076" t="inlineStr">
        <is>
          <t>9c8168f2783f0165c272ee971a47e916</t>
        </is>
      </c>
      <c r="B3076" t="inlineStr">
        <is>
          <t>2018-03-04</t>
        </is>
      </c>
      <c r="C3076" t="inlineStr">
        <is>
          <t>2018-03</t>
        </is>
      </c>
      <c r="D3076" t="inlineStr">
        <is>
          <t>RJ</t>
        </is>
      </c>
      <c r="E3076" t="inlineStr">
        <is>
          <t>perfumery</t>
        </is>
      </c>
      <c r="F3076" t="n">
        <v>1</v>
      </c>
      <c r="G3076" t="n">
        <v>174.56</v>
      </c>
      <c r="H3076" t="n">
        <v>18.47</v>
      </c>
      <c r="I3076" t="inlineStr">
        <is>
          <t>boleto</t>
        </is>
      </c>
      <c r="J3076" t="n">
        <v>25</v>
      </c>
      <c r="K3076" t="inlineStr">
        <is>
          <t>On Time</t>
        </is>
      </c>
      <c r="L3076" t="n">
        <v>5</v>
      </c>
      <c r="M3076">
        <f>VLOOKUP(D3076,State_Lookup!$A$2:$B$28,2,FALSE)</f>
        <v/>
      </c>
    </row>
    <row r="3077">
      <c r="A3077" t="inlineStr">
        <is>
          <t>6dedf40fe422e8f0ae38641d2ed11f22</t>
        </is>
      </c>
      <c r="B3077" t="inlineStr">
        <is>
          <t>2018-03-05</t>
        </is>
      </c>
      <c r="C3077" t="inlineStr">
        <is>
          <t>2018-03</t>
        </is>
      </c>
      <c r="D3077" t="inlineStr">
        <is>
          <t>RJ</t>
        </is>
      </c>
      <c r="E3077" t="inlineStr">
        <is>
          <t>watches_gifts</t>
        </is>
      </c>
      <c r="F3077" t="n">
        <v>1</v>
      </c>
      <c r="G3077" t="n">
        <v>599</v>
      </c>
      <c r="H3077" t="n">
        <v>17.94</v>
      </c>
      <c r="I3077" t="inlineStr">
        <is>
          <t>credit_card</t>
        </is>
      </c>
      <c r="J3077" t="n">
        <v>45</v>
      </c>
      <c r="K3077" t="inlineStr">
        <is>
          <t>Late</t>
        </is>
      </c>
      <c r="L3077" t="n">
        <v>1</v>
      </c>
      <c r="M3077">
        <f>VLOOKUP(D3077,State_Lookup!$A$2:$B$28,2,FALSE)</f>
        <v/>
      </c>
    </row>
    <row r="3078">
      <c r="A3078" t="inlineStr">
        <is>
          <t>4992400f9fded5aade587f7043a954a0</t>
        </is>
      </c>
      <c r="B3078" t="inlineStr">
        <is>
          <t>2018-03-05</t>
        </is>
      </c>
      <c r="C3078" t="inlineStr">
        <is>
          <t>2018-03</t>
        </is>
      </c>
      <c r="D3078" t="inlineStr">
        <is>
          <t>SP</t>
        </is>
      </c>
      <c r="E3078" t="inlineStr">
        <is>
          <t>unknown</t>
        </is>
      </c>
      <c r="F3078" t="n">
        <v>1</v>
      </c>
      <c r="G3078" t="n">
        <v>56</v>
      </c>
      <c r="H3078" t="n">
        <v>11.89</v>
      </c>
      <c r="I3078" t="inlineStr">
        <is>
          <t>boleto</t>
        </is>
      </c>
      <c r="J3078" t="n">
        <v>11</v>
      </c>
      <c r="K3078" t="inlineStr">
        <is>
          <t>On Time</t>
        </is>
      </c>
      <c r="L3078" t="n">
        <v>5</v>
      </c>
      <c r="M3078">
        <f>VLOOKUP(D3078,State_Lookup!$A$2:$B$28,2,FALSE)</f>
        <v/>
      </c>
    </row>
    <row r="3079">
      <c r="A3079" t="inlineStr">
        <is>
          <t>3f72f100dae2b5099ad6e5a486e95ec0</t>
        </is>
      </c>
      <c r="B3079" t="inlineStr">
        <is>
          <t>2018-03-05</t>
        </is>
      </c>
      <c r="C3079" t="inlineStr">
        <is>
          <t>2018-03</t>
        </is>
      </c>
      <c r="D3079" t="inlineStr">
        <is>
          <t>SP</t>
        </is>
      </c>
      <c r="E3079" t="inlineStr">
        <is>
          <t>computers_accessories</t>
        </is>
      </c>
      <c r="F3079" t="n">
        <v>1</v>
      </c>
      <c r="G3079" t="n">
        <v>10</v>
      </c>
      <c r="H3079" t="n">
        <v>12.79</v>
      </c>
      <c r="I3079" t="inlineStr">
        <is>
          <t>debit_card</t>
        </is>
      </c>
      <c r="J3079" t="n">
        <v>30</v>
      </c>
      <c r="K3079" t="inlineStr">
        <is>
          <t>Late</t>
        </is>
      </c>
      <c r="L3079" t="n">
        <v>3</v>
      </c>
      <c r="M3079">
        <f>VLOOKUP(D3079,State_Lookup!$A$2:$B$28,2,FALSE)</f>
        <v/>
      </c>
    </row>
    <row r="3080">
      <c r="A3080" t="inlineStr">
        <is>
          <t>c617d0b68da07a11637ca641f467fb9e</t>
        </is>
      </c>
      <c r="B3080" t="inlineStr">
        <is>
          <t>2018-03-05</t>
        </is>
      </c>
      <c r="C3080" t="inlineStr">
        <is>
          <t>2018-03</t>
        </is>
      </c>
      <c r="D3080" t="inlineStr">
        <is>
          <t>MG</t>
        </is>
      </c>
      <c r="E3080" t="inlineStr">
        <is>
          <t>garden_tools</t>
        </is>
      </c>
      <c r="F3080" t="n">
        <v>1</v>
      </c>
      <c r="G3080" t="n">
        <v>169</v>
      </c>
      <c r="H3080" t="n">
        <v>26.8</v>
      </c>
      <c r="I3080" t="inlineStr">
        <is>
          <t>credit_card</t>
        </is>
      </c>
      <c r="J3080" t="n">
        <v>4</v>
      </c>
      <c r="K3080" t="inlineStr">
        <is>
          <t>On Time</t>
        </is>
      </c>
      <c r="L3080" t="n">
        <v>5</v>
      </c>
      <c r="M3080">
        <f>VLOOKUP(D3080,State_Lookup!$A$2:$B$28,2,FALSE)</f>
        <v/>
      </c>
    </row>
    <row r="3081">
      <c r="A3081" t="inlineStr">
        <is>
          <t>47d99e35914d6194a685f9903e8ae293</t>
        </is>
      </c>
      <c r="B3081" t="inlineStr">
        <is>
          <t>2018-03-05</t>
        </is>
      </c>
      <c r="C3081" t="inlineStr">
        <is>
          <t>2018-03</t>
        </is>
      </c>
      <c r="D3081" t="inlineStr">
        <is>
          <t>MG</t>
        </is>
      </c>
      <c r="E3081" t="inlineStr">
        <is>
          <t>stationery</t>
        </is>
      </c>
      <c r="F3081" t="n">
        <v>1</v>
      </c>
      <c r="G3081" t="n">
        <v>65.90000000000001</v>
      </c>
      <c r="H3081" t="n">
        <v>18.03</v>
      </c>
      <c r="I3081" t="inlineStr">
        <is>
          <t>voucher</t>
        </is>
      </c>
      <c r="J3081" t="n">
        <v>15</v>
      </c>
      <c r="K3081" t="inlineStr">
        <is>
          <t>On Time</t>
        </is>
      </c>
      <c r="L3081" t="n">
        <v>4</v>
      </c>
      <c r="M3081">
        <f>VLOOKUP(D3081,State_Lookup!$A$2:$B$28,2,FALSE)</f>
        <v/>
      </c>
    </row>
    <row r="3082">
      <c r="A3082" t="inlineStr">
        <is>
          <t>1d26b193d715a5362a2ce64676a9e0a0</t>
        </is>
      </c>
      <c r="B3082" t="inlineStr">
        <is>
          <t>2018-03-05</t>
        </is>
      </c>
      <c r="C3082" t="inlineStr">
        <is>
          <t>2018-03</t>
        </is>
      </c>
      <c r="D3082" t="inlineStr">
        <is>
          <t>SP</t>
        </is>
      </c>
      <c r="E3082" t="inlineStr">
        <is>
          <t>health_beauty</t>
        </is>
      </c>
      <c r="F3082" t="n">
        <v>2</v>
      </c>
      <c r="G3082" t="n">
        <v>80</v>
      </c>
      <c r="H3082" t="n">
        <v>68.3</v>
      </c>
      <c r="I3082" t="inlineStr">
        <is>
          <t>credit_card</t>
        </is>
      </c>
      <c r="J3082" t="n">
        <v>7</v>
      </c>
      <c r="K3082" t="inlineStr">
        <is>
          <t>On Time</t>
        </is>
      </c>
      <c r="L3082" t="n">
        <v>5</v>
      </c>
      <c r="M3082">
        <f>VLOOKUP(D3082,State_Lookup!$A$2:$B$28,2,FALSE)</f>
        <v/>
      </c>
    </row>
    <row r="3083">
      <c r="A3083" t="inlineStr">
        <is>
          <t>487102a0e698d9e4d4c20a484739489b</t>
        </is>
      </c>
      <c r="B3083" t="inlineStr">
        <is>
          <t>2018-03-05</t>
        </is>
      </c>
      <c r="C3083" t="inlineStr">
        <is>
          <t>2018-03</t>
        </is>
      </c>
      <c r="D3083" t="inlineStr">
        <is>
          <t>SP</t>
        </is>
      </c>
      <c r="E3083" t="inlineStr">
        <is>
          <t>fashion_bags_accessories</t>
        </is>
      </c>
      <c r="F3083" t="n">
        <v>1</v>
      </c>
      <c r="G3083" t="n">
        <v>154.9</v>
      </c>
      <c r="H3083" t="n">
        <v>18.33</v>
      </c>
      <c r="I3083" t="inlineStr">
        <is>
          <t>boleto</t>
        </is>
      </c>
      <c r="J3083" t="n">
        <v>28</v>
      </c>
      <c r="K3083" t="inlineStr">
        <is>
          <t>On Time</t>
        </is>
      </c>
      <c r="L3083" t="n">
        <v>5</v>
      </c>
      <c r="M3083">
        <f>VLOOKUP(D3083,State_Lookup!$A$2:$B$28,2,FALSE)</f>
        <v/>
      </c>
    </row>
    <row r="3084">
      <c r="A3084" t="inlineStr">
        <is>
          <t>d6352e09945d985e2d2ef82baed4cec0</t>
        </is>
      </c>
      <c r="B3084" t="inlineStr">
        <is>
          <t>2018-03-05</t>
        </is>
      </c>
      <c r="C3084" t="inlineStr">
        <is>
          <t>2018-03</t>
        </is>
      </c>
      <c r="D3084" t="inlineStr">
        <is>
          <t>MG</t>
        </is>
      </c>
      <c r="E3084" t="inlineStr">
        <is>
          <t>computers_accessories</t>
        </is>
      </c>
      <c r="F3084" t="n">
        <v>1</v>
      </c>
      <c r="G3084" t="n">
        <v>76.25</v>
      </c>
      <c r="H3084" t="n">
        <v>22.24</v>
      </c>
      <c r="I3084" t="inlineStr">
        <is>
          <t>credit_card</t>
        </is>
      </c>
      <c r="J3084" t="n">
        <v>29</v>
      </c>
      <c r="K3084" t="inlineStr">
        <is>
          <t>Late</t>
        </is>
      </c>
      <c r="L3084" t="n">
        <v>1</v>
      </c>
      <c r="M3084">
        <f>VLOOKUP(D3084,State_Lookup!$A$2:$B$28,2,FALSE)</f>
        <v/>
      </c>
    </row>
    <row r="3085">
      <c r="A3085" t="inlineStr">
        <is>
          <t>c3a026aa647c5f58bfd25a10d326ec42</t>
        </is>
      </c>
      <c r="B3085" t="inlineStr">
        <is>
          <t>2018-03-05</t>
        </is>
      </c>
      <c r="C3085" t="inlineStr">
        <is>
          <t>2018-03</t>
        </is>
      </c>
      <c r="D3085" t="inlineStr">
        <is>
          <t>SP</t>
        </is>
      </c>
      <c r="E3085" t="inlineStr">
        <is>
          <t>computers_accessories</t>
        </is>
      </c>
      <c r="F3085" t="n">
        <v>1</v>
      </c>
      <c r="G3085" t="n">
        <v>76.25</v>
      </c>
      <c r="H3085" t="n">
        <v>12.66</v>
      </c>
      <c r="I3085" t="inlineStr">
        <is>
          <t>credit_card</t>
        </is>
      </c>
      <c r="J3085" t="n">
        <v>15</v>
      </c>
      <c r="K3085" t="inlineStr">
        <is>
          <t>On Time</t>
        </is>
      </c>
      <c r="L3085" t="n">
        <v>5</v>
      </c>
      <c r="M3085">
        <f>VLOOKUP(D3085,State_Lookup!$A$2:$B$28,2,FALSE)</f>
        <v/>
      </c>
    </row>
    <row r="3086">
      <c r="A3086" t="inlineStr">
        <is>
          <t>8020de83277d40d6ed1bc2f2e0ae8a1e</t>
        </is>
      </c>
      <c r="B3086" t="inlineStr">
        <is>
          <t>2018-03-05</t>
        </is>
      </c>
      <c r="C3086" t="inlineStr">
        <is>
          <t>2018-03</t>
        </is>
      </c>
      <c r="D3086" t="inlineStr">
        <is>
          <t>PR</t>
        </is>
      </c>
      <c r="E3086" t="inlineStr">
        <is>
          <t>garden_tools</t>
        </is>
      </c>
      <c r="F3086" t="n">
        <v>1</v>
      </c>
      <c r="G3086" t="n">
        <v>53.9</v>
      </c>
      <c r="H3086" t="n">
        <v>17.63</v>
      </c>
      <c r="I3086" t="inlineStr">
        <is>
          <t>boleto</t>
        </is>
      </c>
      <c r="J3086" t="n">
        <v>18</v>
      </c>
      <c r="K3086" t="inlineStr">
        <is>
          <t>On Time</t>
        </is>
      </c>
      <c r="L3086" t="n">
        <v>5</v>
      </c>
      <c r="M3086">
        <f>VLOOKUP(D3086,State_Lookup!$A$2:$B$28,2,FALSE)</f>
        <v/>
      </c>
    </row>
    <row r="3087">
      <c r="A3087" t="inlineStr">
        <is>
          <t>32f7089f715424548bd5307fded896d3</t>
        </is>
      </c>
      <c r="B3087" t="inlineStr">
        <is>
          <t>2018-03-05</t>
        </is>
      </c>
      <c r="C3087" t="inlineStr">
        <is>
          <t>2018-03</t>
        </is>
      </c>
      <c r="D3087" t="inlineStr">
        <is>
          <t>RJ</t>
        </is>
      </c>
      <c r="E3087" t="inlineStr">
        <is>
          <t>housewares</t>
        </is>
      </c>
      <c r="F3087" t="n">
        <v>1</v>
      </c>
      <c r="G3087" t="n">
        <v>199.9</v>
      </c>
      <c r="H3087" t="n">
        <v>15.15</v>
      </c>
      <c r="I3087" t="inlineStr">
        <is>
          <t>credit_card</t>
        </is>
      </c>
      <c r="J3087" t="n">
        <v>36</v>
      </c>
      <c r="K3087" t="inlineStr">
        <is>
          <t>Late</t>
        </is>
      </c>
      <c r="L3087" t="n">
        <v>1</v>
      </c>
      <c r="M3087">
        <f>VLOOKUP(D3087,State_Lookup!$A$2:$B$28,2,FALSE)</f>
        <v/>
      </c>
    </row>
    <row r="3088">
      <c r="A3088" t="inlineStr">
        <is>
          <t>85dbef7e8d4c780110b5900a73b43556</t>
        </is>
      </c>
      <c r="B3088" t="inlineStr">
        <is>
          <t>2018-03-05</t>
        </is>
      </c>
      <c r="C3088" t="inlineStr">
        <is>
          <t>2018-03</t>
        </is>
      </c>
      <c r="D3088" t="inlineStr">
        <is>
          <t>SP</t>
        </is>
      </c>
      <c r="E3088" t="inlineStr">
        <is>
          <t>health_beauty</t>
        </is>
      </c>
      <c r="F3088" t="n">
        <v>1</v>
      </c>
      <c r="G3088" t="n">
        <v>78</v>
      </c>
      <c r="H3088" t="n">
        <v>12.05</v>
      </c>
      <c r="I3088" t="inlineStr">
        <is>
          <t>credit_card</t>
        </is>
      </c>
      <c r="J3088" t="n">
        <v>33</v>
      </c>
      <c r="K3088" t="inlineStr">
        <is>
          <t>Late</t>
        </is>
      </c>
      <c r="L3088" t="n">
        <v>1</v>
      </c>
      <c r="M3088">
        <f>VLOOKUP(D3088,State_Lookup!$A$2:$B$28,2,FALSE)</f>
        <v/>
      </c>
    </row>
    <row r="3089">
      <c r="A3089" t="inlineStr">
        <is>
          <t>1dc0b2e5397cff8b103ba38a2a147869</t>
        </is>
      </c>
      <c r="B3089" t="inlineStr">
        <is>
          <t>2018-03-05</t>
        </is>
      </c>
      <c r="C3089" t="inlineStr">
        <is>
          <t>2018-03</t>
        </is>
      </c>
      <c r="D3089" t="inlineStr">
        <is>
          <t>SP</t>
        </is>
      </c>
      <c r="E3089" t="inlineStr">
        <is>
          <t>bed_bath_table</t>
        </is>
      </c>
      <c r="F3089" t="n">
        <v>1</v>
      </c>
      <c r="G3089" t="n">
        <v>119.9</v>
      </c>
      <c r="H3089" t="n">
        <v>14.93</v>
      </c>
      <c r="I3089" t="inlineStr">
        <is>
          <t>credit_card</t>
        </is>
      </c>
      <c r="J3089" t="n">
        <v>14</v>
      </c>
      <c r="K3089" t="inlineStr">
        <is>
          <t>On Time</t>
        </is>
      </c>
      <c r="L3089" t="n">
        <v>5</v>
      </c>
      <c r="M3089">
        <f>VLOOKUP(D3089,State_Lookup!$A$2:$B$28,2,FALSE)</f>
        <v/>
      </c>
    </row>
    <row r="3090">
      <c r="A3090" t="inlineStr">
        <is>
          <t>0ef8970186aa8eab14d04be4eda9407a</t>
        </is>
      </c>
      <c r="B3090" t="inlineStr">
        <is>
          <t>2018-03-05</t>
        </is>
      </c>
      <c r="C3090" t="inlineStr">
        <is>
          <t>2018-03</t>
        </is>
      </c>
      <c r="D3090" t="inlineStr">
        <is>
          <t>SP</t>
        </is>
      </c>
      <c r="E3090" t="inlineStr">
        <is>
          <t>bed_bath_table</t>
        </is>
      </c>
      <c r="F3090" t="n">
        <v>1</v>
      </c>
      <c r="G3090" t="n">
        <v>49.95</v>
      </c>
      <c r="H3090" t="n">
        <v>13.71</v>
      </c>
      <c r="I3090" t="inlineStr">
        <is>
          <t>credit_card</t>
        </is>
      </c>
      <c r="J3090" t="n">
        <v>13</v>
      </c>
      <c r="K3090" t="inlineStr">
        <is>
          <t>On Time</t>
        </is>
      </c>
      <c r="L3090" t="n">
        <v>5</v>
      </c>
      <c r="M3090">
        <f>VLOOKUP(D3090,State_Lookup!$A$2:$B$28,2,FALSE)</f>
        <v/>
      </c>
    </row>
    <row r="3091">
      <c r="A3091" t="inlineStr">
        <is>
          <t>1d01166814be7e95f72a3c85357fca45</t>
        </is>
      </c>
      <c r="B3091" t="inlineStr">
        <is>
          <t>2018-03-05</t>
        </is>
      </c>
      <c r="C3091" t="inlineStr">
        <is>
          <t>2018-03</t>
        </is>
      </c>
      <c r="D3091" t="inlineStr">
        <is>
          <t>SP</t>
        </is>
      </c>
      <c r="E3091" t="inlineStr">
        <is>
          <t>computers_accessories</t>
        </is>
      </c>
      <c r="F3091" t="n">
        <v>2</v>
      </c>
      <c r="G3091" t="n">
        <v>238</v>
      </c>
      <c r="H3091" t="n">
        <v>24.66</v>
      </c>
      <c r="I3091" t="inlineStr">
        <is>
          <t>credit_card</t>
        </is>
      </c>
      <c r="J3091" t="n">
        <v>2</v>
      </c>
      <c r="K3091" t="inlineStr">
        <is>
          <t>On Time</t>
        </is>
      </c>
      <c r="L3091" t="n">
        <v>5</v>
      </c>
      <c r="M3091">
        <f>VLOOKUP(D3091,State_Lookup!$A$2:$B$28,2,FALSE)</f>
        <v/>
      </c>
    </row>
    <row r="3092">
      <c r="A3092" t="inlineStr">
        <is>
          <t>7d021c7feafd7a1903f66a05481eafa8</t>
        </is>
      </c>
      <c r="B3092" t="inlineStr">
        <is>
          <t>2018-03-05</t>
        </is>
      </c>
      <c r="C3092" t="inlineStr">
        <is>
          <t>2018-03</t>
        </is>
      </c>
      <c r="D3092" t="inlineStr">
        <is>
          <t>SP</t>
        </is>
      </c>
      <c r="E3092" t="inlineStr">
        <is>
          <t>unknown</t>
        </is>
      </c>
      <c r="F3092" t="n">
        <v>1</v>
      </c>
      <c r="G3092" t="n">
        <v>122.99</v>
      </c>
      <c r="H3092" t="n">
        <v>12.36</v>
      </c>
      <c r="I3092" t="inlineStr">
        <is>
          <t>credit_card</t>
        </is>
      </c>
      <c r="J3092" t="n">
        <v>9</v>
      </c>
      <c r="K3092" t="inlineStr">
        <is>
          <t>On Time</t>
        </is>
      </c>
      <c r="L3092" t="n">
        <v>3</v>
      </c>
      <c r="M3092">
        <f>VLOOKUP(D3092,State_Lookup!$A$2:$B$28,2,FALSE)</f>
        <v/>
      </c>
    </row>
    <row r="3093">
      <c r="A3093" t="inlineStr">
        <is>
          <t>251777a5426d33b7fd9f124cd2d18972</t>
        </is>
      </c>
      <c r="B3093" t="inlineStr">
        <is>
          <t>2018-03-06</t>
        </is>
      </c>
      <c r="C3093" t="inlineStr">
        <is>
          <t>2018-03</t>
        </is>
      </c>
      <c r="D3093" t="inlineStr">
        <is>
          <t>SP</t>
        </is>
      </c>
      <c r="E3093" t="inlineStr">
        <is>
          <t>health_beauty</t>
        </is>
      </c>
      <c r="F3093" t="n">
        <v>1</v>
      </c>
      <c r="G3093" t="n">
        <v>123.88</v>
      </c>
      <c r="H3093" t="n">
        <v>13.01</v>
      </c>
      <c r="I3093" t="inlineStr">
        <is>
          <t>credit_card</t>
        </is>
      </c>
      <c r="J3093" t="n">
        <v>14</v>
      </c>
      <c r="K3093" t="inlineStr">
        <is>
          <t>Late</t>
        </is>
      </c>
      <c r="L3093" t="n">
        <v>5</v>
      </c>
      <c r="M3093">
        <f>VLOOKUP(D3093,State_Lookup!$A$2:$B$28,2,FALSE)</f>
        <v/>
      </c>
    </row>
    <row r="3094">
      <c r="A3094" t="inlineStr">
        <is>
          <t>fb22db4615517f44f8312846412a25bf</t>
        </is>
      </c>
      <c r="B3094" t="inlineStr">
        <is>
          <t>2018-03-06</t>
        </is>
      </c>
      <c r="C3094" t="inlineStr">
        <is>
          <t>2018-03</t>
        </is>
      </c>
      <c r="D3094" t="inlineStr">
        <is>
          <t>MG</t>
        </is>
      </c>
      <c r="E3094" t="inlineStr">
        <is>
          <t>construction_tools_lights</t>
        </is>
      </c>
      <c r="F3094" t="n">
        <v>2</v>
      </c>
      <c r="G3094" t="n">
        <v>79.8</v>
      </c>
      <c r="H3094" t="n">
        <v>36.46</v>
      </c>
      <c r="I3094" t="inlineStr">
        <is>
          <t>credit_card</t>
        </is>
      </c>
      <c r="J3094" t="n">
        <v>28</v>
      </c>
      <c r="K3094" t="inlineStr">
        <is>
          <t>Late</t>
        </is>
      </c>
      <c r="L3094" t="n">
        <v>1</v>
      </c>
      <c r="M3094">
        <f>VLOOKUP(D3094,State_Lookup!$A$2:$B$28,2,FALSE)</f>
        <v/>
      </c>
    </row>
    <row r="3095">
      <c r="A3095" t="inlineStr">
        <is>
          <t>78b0551ae57e69c46a4e611580a87758</t>
        </is>
      </c>
      <c r="B3095" t="inlineStr">
        <is>
          <t>2018-03-06</t>
        </is>
      </c>
      <c r="C3095" t="inlineStr">
        <is>
          <t>2018-03</t>
        </is>
      </c>
      <c r="D3095" t="inlineStr">
        <is>
          <t>SP</t>
        </is>
      </c>
      <c r="E3095" t="inlineStr">
        <is>
          <t>fashion_bags_accessories</t>
        </is>
      </c>
      <c r="F3095" t="n">
        <v>1</v>
      </c>
      <c r="G3095" t="n">
        <v>45</v>
      </c>
      <c r="H3095" t="n">
        <v>12.79</v>
      </c>
      <c r="I3095" t="inlineStr">
        <is>
          <t>boleto</t>
        </is>
      </c>
      <c r="J3095" t="n">
        <v>9</v>
      </c>
      <c r="K3095" t="inlineStr">
        <is>
          <t>On Time</t>
        </is>
      </c>
      <c r="L3095" t="n">
        <v>5</v>
      </c>
      <c r="M3095">
        <f>VLOOKUP(D3095,State_Lookup!$A$2:$B$28,2,FALSE)</f>
        <v/>
      </c>
    </row>
    <row r="3096">
      <c r="A3096" t="inlineStr">
        <is>
          <t>7d11acc91c9f1986270f23fbf9c93e4d</t>
        </is>
      </c>
      <c r="B3096" t="inlineStr">
        <is>
          <t>2018-03-06</t>
        </is>
      </c>
      <c r="C3096" t="inlineStr">
        <is>
          <t>2018-03</t>
        </is>
      </c>
      <c r="D3096" t="inlineStr">
        <is>
          <t>BA</t>
        </is>
      </c>
      <c r="E3096" t="inlineStr">
        <is>
          <t>home_appliances</t>
        </is>
      </c>
      <c r="F3096" t="n">
        <v>1</v>
      </c>
      <c r="G3096" t="n">
        <v>66.7</v>
      </c>
      <c r="H3096" t="n">
        <v>22.18</v>
      </c>
      <c r="I3096" t="inlineStr">
        <is>
          <t>credit_card</t>
        </is>
      </c>
      <c r="J3096" t="n">
        <v>17</v>
      </c>
      <c r="K3096" t="inlineStr">
        <is>
          <t>On Time</t>
        </is>
      </c>
      <c r="L3096" t="n">
        <v>4</v>
      </c>
      <c r="M3096">
        <f>VLOOKUP(D3096,State_Lookup!$A$2:$B$28,2,FALSE)</f>
        <v/>
      </c>
    </row>
    <row r="3097">
      <c r="A3097" t="inlineStr">
        <is>
          <t>e006d85a5a918d5695190c08c923eadb</t>
        </is>
      </c>
      <c r="B3097" t="inlineStr">
        <is>
          <t>2018-03-06</t>
        </is>
      </c>
      <c r="C3097" t="inlineStr">
        <is>
          <t>2018-03</t>
        </is>
      </c>
      <c r="D3097" t="inlineStr">
        <is>
          <t>BA</t>
        </is>
      </c>
      <c r="E3097" t="inlineStr">
        <is>
          <t>sports_leisure</t>
        </is>
      </c>
      <c r="F3097" t="n">
        <v>1</v>
      </c>
      <c r="G3097" t="n">
        <v>217.56</v>
      </c>
      <c r="H3097" t="n">
        <v>19.45</v>
      </c>
      <c r="I3097" t="inlineStr">
        <is>
          <t>credit_card</t>
        </is>
      </c>
      <c r="J3097" t="n">
        <v>23</v>
      </c>
      <c r="K3097" t="inlineStr">
        <is>
          <t>Late</t>
        </is>
      </c>
      <c r="L3097" t="n">
        <v>5</v>
      </c>
      <c r="M3097">
        <f>VLOOKUP(D3097,State_Lookup!$A$2:$B$28,2,FALSE)</f>
        <v/>
      </c>
    </row>
    <row r="3098">
      <c r="A3098" t="inlineStr">
        <is>
          <t>d6e2b70c5dd291b6a91fa86497fd9221</t>
        </is>
      </c>
      <c r="B3098" t="inlineStr">
        <is>
          <t>2018-03-06</t>
        </is>
      </c>
      <c r="C3098" t="inlineStr">
        <is>
          <t>2018-03</t>
        </is>
      </c>
      <c r="D3098" t="inlineStr">
        <is>
          <t>RJ</t>
        </is>
      </c>
      <c r="E3098" t="inlineStr">
        <is>
          <t>toys</t>
        </is>
      </c>
      <c r="F3098" t="n">
        <v>1</v>
      </c>
      <c r="G3098" t="n">
        <v>49</v>
      </c>
      <c r="H3098" t="n">
        <v>19.32</v>
      </c>
      <c r="I3098" t="inlineStr">
        <is>
          <t>credit_card</t>
        </is>
      </c>
      <c r="J3098" t="n">
        <v>20</v>
      </c>
      <c r="K3098" t="inlineStr">
        <is>
          <t>On Time</t>
        </is>
      </c>
      <c r="L3098" t="n">
        <v>4</v>
      </c>
      <c r="M3098">
        <f>VLOOKUP(D3098,State_Lookup!$A$2:$B$28,2,FALSE)</f>
        <v/>
      </c>
    </row>
    <row r="3099">
      <c r="A3099" t="inlineStr">
        <is>
          <t>e11e49042dd9e24863991a081fd4bf19</t>
        </is>
      </c>
      <c r="B3099" t="inlineStr">
        <is>
          <t>2018-03-06</t>
        </is>
      </c>
      <c r="C3099" t="inlineStr">
        <is>
          <t>2018-03</t>
        </is>
      </c>
      <c r="D3099" t="inlineStr">
        <is>
          <t>SP</t>
        </is>
      </c>
      <c r="E3099" t="inlineStr">
        <is>
          <t>fashion_bags_accessories</t>
        </is>
      </c>
      <c r="F3099" t="n">
        <v>1</v>
      </c>
      <c r="G3099" t="n">
        <v>27.3</v>
      </c>
      <c r="H3099" t="n">
        <v>8.76</v>
      </c>
      <c r="I3099" t="inlineStr">
        <is>
          <t>credit_card</t>
        </is>
      </c>
      <c r="J3099" t="inlineStr"/>
      <c r="K3099" t="inlineStr">
        <is>
          <t>Not Delivered</t>
        </is>
      </c>
      <c r="L3099" t="n">
        <v>1</v>
      </c>
      <c r="M3099">
        <f>VLOOKUP(D3099,State_Lookup!$A$2:$B$28,2,FALSE)</f>
        <v/>
      </c>
    </row>
    <row r="3100">
      <c r="A3100" t="inlineStr">
        <is>
          <t>c5fd1f4a2b25ac86cd7e1312875ff12a</t>
        </is>
      </c>
      <c r="B3100" t="inlineStr">
        <is>
          <t>2018-03-06</t>
        </is>
      </c>
      <c r="C3100" t="inlineStr">
        <is>
          <t>2018-03</t>
        </is>
      </c>
      <c r="D3100" t="inlineStr">
        <is>
          <t>RJ</t>
        </is>
      </c>
      <c r="E3100" t="inlineStr">
        <is>
          <t>garden_tools</t>
        </is>
      </c>
      <c r="F3100" t="n">
        <v>1</v>
      </c>
      <c r="G3100" t="n">
        <v>110</v>
      </c>
      <c r="H3100" t="n">
        <v>67.14</v>
      </c>
      <c r="I3100" t="inlineStr">
        <is>
          <t>boleto</t>
        </is>
      </c>
      <c r="J3100" t="n">
        <v>14</v>
      </c>
      <c r="K3100" t="inlineStr">
        <is>
          <t>On Time</t>
        </is>
      </c>
      <c r="L3100" t="n">
        <v>4</v>
      </c>
      <c r="M3100">
        <f>VLOOKUP(D3100,State_Lookup!$A$2:$B$28,2,FALSE)</f>
        <v/>
      </c>
    </row>
    <row r="3101">
      <c r="A3101" t="inlineStr">
        <is>
          <t>a6f21373862ef61c2aba41794c9caf3b</t>
        </is>
      </c>
      <c r="B3101" t="inlineStr">
        <is>
          <t>2018-03-06</t>
        </is>
      </c>
      <c r="C3101" t="inlineStr">
        <is>
          <t>2018-03</t>
        </is>
      </c>
      <c r="D3101" t="inlineStr">
        <is>
          <t>SP</t>
        </is>
      </c>
      <c r="E3101" t="inlineStr">
        <is>
          <t>watches_gifts</t>
        </is>
      </c>
      <c r="F3101" t="n">
        <v>1</v>
      </c>
      <c r="G3101" t="n">
        <v>59.99</v>
      </c>
      <c r="H3101" t="n">
        <v>8.4</v>
      </c>
      <c r="I3101" t="inlineStr">
        <is>
          <t>voucher</t>
        </is>
      </c>
      <c r="J3101" t="n">
        <v>3</v>
      </c>
      <c r="K3101" t="inlineStr">
        <is>
          <t>On Time</t>
        </is>
      </c>
      <c r="L3101" t="n">
        <v>5</v>
      </c>
      <c r="M3101">
        <f>VLOOKUP(D3101,State_Lookup!$A$2:$B$28,2,FALSE)</f>
        <v/>
      </c>
    </row>
    <row r="3102">
      <c r="A3102" t="inlineStr">
        <is>
          <t>a91cd0ab480b37e19e1f6910d623d54c</t>
        </is>
      </c>
      <c r="B3102" t="inlineStr">
        <is>
          <t>2018-03-06</t>
        </is>
      </c>
      <c r="C3102" t="inlineStr">
        <is>
          <t>2018-03</t>
        </is>
      </c>
      <c r="D3102" t="inlineStr">
        <is>
          <t>BA</t>
        </is>
      </c>
      <c r="E3102" t="inlineStr">
        <is>
          <t>luggage_accessories</t>
        </is>
      </c>
      <c r="F3102" t="n">
        <v>1</v>
      </c>
      <c r="G3102" t="n">
        <v>52.9</v>
      </c>
      <c r="H3102" t="n">
        <v>23.3</v>
      </c>
      <c r="I3102" t="inlineStr">
        <is>
          <t>boleto</t>
        </is>
      </c>
      <c r="J3102" t="n">
        <v>17</v>
      </c>
      <c r="K3102" t="inlineStr">
        <is>
          <t>On Time</t>
        </is>
      </c>
      <c r="L3102" t="n">
        <v>5</v>
      </c>
      <c r="M3102">
        <f>VLOOKUP(D3102,State_Lookup!$A$2:$B$28,2,FALSE)</f>
        <v/>
      </c>
    </row>
    <row r="3103">
      <c r="A3103" t="inlineStr">
        <is>
          <t>7f94f1618e029449c3041113289cc240</t>
        </is>
      </c>
      <c r="B3103" t="inlineStr">
        <is>
          <t>2018-03-06</t>
        </is>
      </c>
      <c r="C3103" t="inlineStr">
        <is>
          <t>2018-03</t>
        </is>
      </c>
      <c r="D3103" t="inlineStr">
        <is>
          <t>SP</t>
        </is>
      </c>
      <c r="E3103" t="inlineStr">
        <is>
          <t>home_confort</t>
        </is>
      </c>
      <c r="F3103" t="n">
        <v>1</v>
      </c>
      <c r="G3103" t="n">
        <v>86.90000000000001</v>
      </c>
      <c r="H3103" t="n">
        <v>14.7</v>
      </c>
      <c r="I3103" t="inlineStr">
        <is>
          <t>boleto</t>
        </is>
      </c>
      <c r="J3103" t="n">
        <v>18</v>
      </c>
      <c r="K3103" t="inlineStr">
        <is>
          <t>Late</t>
        </is>
      </c>
      <c r="L3103" t="n">
        <v>4</v>
      </c>
      <c r="M3103">
        <f>VLOOKUP(D3103,State_Lookup!$A$2:$B$28,2,FALSE)</f>
        <v/>
      </c>
    </row>
    <row r="3104">
      <c r="A3104" t="inlineStr">
        <is>
          <t>febcb6742e4652312e996b6bc7fbcdd8</t>
        </is>
      </c>
      <c r="B3104" t="inlineStr">
        <is>
          <t>2018-03-06</t>
        </is>
      </c>
      <c r="C3104" t="inlineStr">
        <is>
          <t>2018-03</t>
        </is>
      </c>
      <c r="D3104" t="inlineStr">
        <is>
          <t>RS</t>
        </is>
      </c>
      <c r="E3104" t="inlineStr">
        <is>
          <t>fashion_shoes</t>
        </is>
      </c>
      <c r="F3104" t="n">
        <v>1</v>
      </c>
      <c r="G3104" t="n">
        <v>29.9</v>
      </c>
      <c r="H3104" t="n">
        <v>15.23</v>
      </c>
      <c r="I3104" t="inlineStr">
        <is>
          <t>boleto</t>
        </is>
      </c>
      <c r="J3104" t="n">
        <v>38</v>
      </c>
      <c r="K3104" t="inlineStr">
        <is>
          <t>Late</t>
        </is>
      </c>
      <c r="L3104" t="n">
        <v>1</v>
      </c>
      <c r="M3104">
        <f>VLOOKUP(D3104,State_Lookup!$A$2:$B$28,2,FALSE)</f>
        <v/>
      </c>
    </row>
    <row r="3105">
      <c r="A3105" t="inlineStr">
        <is>
          <t>b622754849d8831e9fd50f34f6b9a88b</t>
        </is>
      </c>
      <c r="B3105" t="inlineStr">
        <is>
          <t>2018-03-06</t>
        </is>
      </c>
      <c r="C3105" t="inlineStr">
        <is>
          <t>2018-03</t>
        </is>
      </c>
      <c r="D3105" t="inlineStr">
        <is>
          <t>SC</t>
        </is>
      </c>
      <c r="E3105" t="inlineStr">
        <is>
          <t>toys</t>
        </is>
      </c>
      <c r="F3105" t="n">
        <v>1</v>
      </c>
      <c r="G3105" t="n">
        <v>196.9</v>
      </c>
      <c r="H3105" t="n">
        <v>19.26</v>
      </c>
      <c r="I3105" t="inlineStr">
        <is>
          <t>boleto</t>
        </is>
      </c>
      <c r="J3105" t="n">
        <v>17</v>
      </c>
      <c r="K3105" t="inlineStr">
        <is>
          <t>On Time</t>
        </is>
      </c>
      <c r="L3105" t="n">
        <v>5</v>
      </c>
      <c r="M3105">
        <f>VLOOKUP(D3105,State_Lookup!$A$2:$B$28,2,FALSE)</f>
        <v/>
      </c>
    </row>
    <row r="3106">
      <c r="A3106" t="inlineStr">
        <is>
          <t>554439efcd602dbfd71bbae1658f4ff0</t>
        </is>
      </c>
      <c r="B3106" t="inlineStr">
        <is>
          <t>2018-03-06</t>
        </is>
      </c>
      <c r="C3106" t="inlineStr">
        <is>
          <t>2018-03</t>
        </is>
      </c>
      <c r="D3106" t="inlineStr">
        <is>
          <t>SP</t>
        </is>
      </c>
      <c r="E3106" t="inlineStr">
        <is>
          <t>food</t>
        </is>
      </c>
      <c r="F3106" t="n">
        <v>1</v>
      </c>
      <c r="G3106" t="n">
        <v>27.9</v>
      </c>
      <c r="H3106" t="n">
        <v>8.94</v>
      </c>
      <c r="I3106" t="inlineStr">
        <is>
          <t>boleto</t>
        </is>
      </c>
      <c r="J3106" t="n">
        <v>4</v>
      </c>
      <c r="K3106" t="inlineStr">
        <is>
          <t>On Time</t>
        </is>
      </c>
      <c r="L3106" t="n">
        <v>5</v>
      </c>
      <c r="M3106">
        <f>VLOOKUP(D3106,State_Lookup!$A$2:$B$28,2,FALSE)</f>
        <v/>
      </c>
    </row>
    <row r="3107">
      <c r="A3107" t="inlineStr">
        <is>
          <t>4b47ca7c3201379f99ee4c1f4d0c80b0</t>
        </is>
      </c>
      <c r="B3107" t="inlineStr">
        <is>
          <t>2018-03-06</t>
        </is>
      </c>
      <c r="C3107" t="inlineStr">
        <is>
          <t>2018-03</t>
        </is>
      </c>
      <c r="D3107" t="inlineStr">
        <is>
          <t>RS</t>
        </is>
      </c>
      <c r="E3107" t="inlineStr">
        <is>
          <t>furniture_decor</t>
        </is>
      </c>
      <c r="F3107" t="n">
        <v>1</v>
      </c>
      <c r="G3107" t="n">
        <v>69.90000000000001</v>
      </c>
      <c r="H3107" t="n">
        <v>26.57</v>
      </c>
      <c r="I3107" t="inlineStr">
        <is>
          <t>credit_card</t>
        </is>
      </c>
      <c r="J3107" t="n">
        <v>15</v>
      </c>
      <c r="K3107" t="inlineStr">
        <is>
          <t>On Time</t>
        </is>
      </c>
      <c r="L3107" t="n">
        <v>4</v>
      </c>
      <c r="M3107">
        <f>VLOOKUP(D3107,State_Lookup!$A$2:$B$28,2,FALSE)</f>
        <v/>
      </c>
    </row>
    <row r="3108">
      <c r="A3108" t="inlineStr">
        <is>
          <t>3a7796fe71a79bf9d4b0f0da69362ce0</t>
        </is>
      </c>
      <c r="B3108" t="inlineStr">
        <is>
          <t>2018-03-06</t>
        </is>
      </c>
      <c r="C3108" t="inlineStr">
        <is>
          <t>2018-03</t>
        </is>
      </c>
      <c r="D3108" t="inlineStr">
        <is>
          <t>BA</t>
        </is>
      </c>
      <c r="E3108" t="inlineStr">
        <is>
          <t>sports_leisure</t>
        </is>
      </c>
      <c r="F3108" t="n">
        <v>1</v>
      </c>
      <c r="G3108" t="n">
        <v>85</v>
      </c>
      <c r="H3108" t="n">
        <v>22.3</v>
      </c>
      <c r="I3108" t="inlineStr">
        <is>
          <t>credit_card</t>
        </is>
      </c>
      <c r="J3108" t="n">
        <v>15</v>
      </c>
      <c r="K3108" t="inlineStr">
        <is>
          <t>On Time</t>
        </is>
      </c>
      <c r="L3108" t="n">
        <v>5</v>
      </c>
      <c r="M3108">
        <f>VLOOKUP(D3108,State_Lookup!$A$2:$B$28,2,FALSE)</f>
        <v/>
      </c>
    </row>
    <row r="3109">
      <c r="A3109" t="inlineStr">
        <is>
          <t>30a022caf1ba5b86f28124ed216c859f</t>
        </is>
      </c>
      <c r="B3109" t="inlineStr">
        <is>
          <t>2018-03-06</t>
        </is>
      </c>
      <c r="C3109" t="inlineStr">
        <is>
          <t>2018-03</t>
        </is>
      </c>
      <c r="D3109" t="inlineStr">
        <is>
          <t>ES</t>
        </is>
      </c>
      <c r="E3109" t="inlineStr">
        <is>
          <t>computers_accessories</t>
        </is>
      </c>
      <c r="F3109" t="n">
        <v>6</v>
      </c>
      <c r="G3109" t="n">
        <v>240</v>
      </c>
      <c r="H3109" t="n">
        <v>21</v>
      </c>
      <c r="I3109" t="inlineStr">
        <is>
          <t>credit_card</t>
        </is>
      </c>
      <c r="J3109" t="n">
        <v>13</v>
      </c>
      <c r="K3109" t="inlineStr">
        <is>
          <t>On Time</t>
        </is>
      </c>
      <c r="L3109" t="n">
        <v>4</v>
      </c>
      <c r="M3109">
        <f>VLOOKUP(D3109,State_Lookup!$A$2:$B$28,2,FALSE)</f>
        <v/>
      </c>
    </row>
    <row r="3110">
      <c r="A3110" t="inlineStr">
        <is>
          <t>7bab5bb38c4ba852d6ec1fd273fc9446</t>
        </is>
      </c>
      <c r="B3110" t="inlineStr">
        <is>
          <t>2018-03-06</t>
        </is>
      </c>
      <c r="C3110" t="inlineStr">
        <is>
          <t>2018-03</t>
        </is>
      </c>
      <c r="D3110" t="inlineStr">
        <is>
          <t>DF</t>
        </is>
      </c>
      <c r="E3110" t="inlineStr">
        <is>
          <t>cool_stuff</t>
        </is>
      </c>
      <c r="F3110" t="n">
        <v>2</v>
      </c>
      <c r="G3110" t="n">
        <v>430</v>
      </c>
      <c r="H3110" t="n">
        <v>45.18</v>
      </c>
      <c r="I3110" t="inlineStr">
        <is>
          <t>credit_card</t>
        </is>
      </c>
      <c r="J3110" t="n">
        <v>11</v>
      </c>
      <c r="K3110" t="inlineStr">
        <is>
          <t>On Time</t>
        </is>
      </c>
      <c r="L3110" t="n">
        <v>3</v>
      </c>
      <c r="M3110">
        <f>VLOOKUP(D3110,State_Lookup!$A$2:$B$28,2,FALSE)</f>
        <v/>
      </c>
    </row>
    <row r="3111">
      <c r="A3111" t="inlineStr">
        <is>
          <t>44112fd5bb8ad2e4ce496e28c8c4258e</t>
        </is>
      </c>
      <c r="B3111" t="inlineStr">
        <is>
          <t>2018-03-06</t>
        </is>
      </c>
      <c r="C3111" t="inlineStr">
        <is>
          <t>2018-03</t>
        </is>
      </c>
      <c r="D3111" t="inlineStr">
        <is>
          <t>SP</t>
        </is>
      </c>
      <c r="E3111" t="inlineStr">
        <is>
          <t>computers_accessories</t>
        </is>
      </c>
      <c r="F3111" t="n">
        <v>1</v>
      </c>
      <c r="G3111" t="n">
        <v>149.9</v>
      </c>
      <c r="H3111" t="n">
        <v>25.18</v>
      </c>
      <c r="I3111" t="inlineStr">
        <is>
          <t>credit_card</t>
        </is>
      </c>
      <c r="J3111" t="n">
        <v>15</v>
      </c>
      <c r="K3111" t="inlineStr">
        <is>
          <t>On Time</t>
        </is>
      </c>
      <c r="L3111" t="n">
        <v>5</v>
      </c>
      <c r="M3111">
        <f>VLOOKUP(D3111,State_Lookup!$A$2:$B$28,2,FALSE)</f>
        <v/>
      </c>
    </row>
    <row r="3112">
      <c r="A3112" t="inlineStr">
        <is>
          <t>6785389081b96dc1acd26dc72ad54080</t>
        </is>
      </c>
      <c r="B3112" t="inlineStr">
        <is>
          <t>2018-03-07</t>
        </is>
      </c>
      <c r="C3112" t="inlineStr">
        <is>
          <t>2018-03</t>
        </is>
      </c>
      <c r="D3112" t="inlineStr">
        <is>
          <t>PR</t>
        </is>
      </c>
      <c r="E3112" t="inlineStr">
        <is>
          <t>sports_leisure</t>
        </is>
      </c>
      <c r="F3112" t="n">
        <v>1</v>
      </c>
      <c r="G3112" t="n">
        <v>104.9</v>
      </c>
      <c r="H3112" t="n">
        <v>15.58</v>
      </c>
      <c r="I3112" t="inlineStr">
        <is>
          <t>credit_card</t>
        </is>
      </c>
      <c r="J3112" t="n">
        <v>7</v>
      </c>
      <c r="K3112" t="inlineStr">
        <is>
          <t>On Time</t>
        </is>
      </c>
      <c r="L3112" t="n">
        <v>4</v>
      </c>
      <c r="M3112">
        <f>VLOOKUP(D3112,State_Lookup!$A$2:$B$28,2,FALSE)</f>
        <v/>
      </c>
    </row>
    <row r="3113">
      <c r="A3113" t="inlineStr">
        <is>
          <t>4de19bb1b286e84a06c1d2eb2954b222</t>
        </is>
      </c>
      <c r="B3113" t="inlineStr">
        <is>
          <t>2018-03-07</t>
        </is>
      </c>
      <c r="C3113" t="inlineStr">
        <is>
          <t>2018-03</t>
        </is>
      </c>
      <c r="D3113" t="inlineStr">
        <is>
          <t>RJ</t>
        </is>
      </c>
      <c r="E3113" t="inlineStr">
        <is>
          <t>computers_accessories</t>
        </is>
      </c>
      <c r="F3113" t="n">
        <v>1</v>
      </c>
      <c r="G3113" t="n">
        <v>27.9</v>
      </c>
      <c r="H3113" t="n">
        <v>15.23</v>
      </c>
      <c r="I3113" t="inlineStr">
        <is>
          <t>boleto</t>
        </is>
      </c>
      <c r="J3113" t="n">
        <v>18</v>
      </c>
      <c r="K3113" t="inlineStr">
        <is>
          <t>On Time</t>
        </is>
      </c>
      <c r="L3113" t="n">
        <v>5</v>
      </c>
      <c r="M3113">
        <f>VLOOKUP(D3113,State_Lookup!$A$2:$B$28,2,FALSE)</f>
        <v/>
      </c>
    </row>
    <row r="3114">
      <c r="A3114" t="inlineStr">
        <is>
          <t>0656252be8b31ab4b264a730f9e600cb</t>
        </is>
      </c>
      <c r="B3114" t="inlineStr">
        <is>
          <t>2018-03-07</t>
        </is>
      </c>
      <c r="C3114" t="inlineStr">
        <is>
          <t>2018-03</t>
        </is>
      </c>
      <c r="D3114" t="inlineStr">
        <is>
          <t>SP</t>
        </is>
      </c>
      <c r="E3114" t="inlineStr">
        <is>
          <t>office_furniture</t>
        </is>
      </c>
      <c r="F3114" t="n">
        <v>1</v>
      </c>
      <c r="G3114" t="n">
        <v>119.99</v>
      </c>
      <c r="H3114" t="n">
        <v>18.95</v>
      </c>
      <c r="I3114" t="inlineStr">
        <is>
          <t>credit_card</t>
        </is>
      </c>
      <c r="J3114" t="n">
        <v>15</v>
      </c>
      <c r="K3114" t="inlineStr">
        <is>
          <t>On Time</t>
        </is>
      </c>
      <c r="L3114" t="n">
        <v>5</v>
      </c>
      <c r="M3114">
        <f>VLOOKUP(D3114,State_Lookup!$A$2:$B$28,2,FALSE)</f>
        <v/>
      </c>
    </row>
    <row r="3115">
      <c r="A3115" t="inlineStr">
        <is>
          <t>cb83b3b35a2362f3a560b69d959b6732</t>
        </is>
      </c>
      <c r="B3115" t="inlineStr">
        <is>
          <t>2018-03-07</t>
        </is>
      </c>
      <c r="C3115" t="inlineStr">
        <is>
          <t>2018-03</t>
        </is>
      </c>
      <c r="D3115" t="inlineStr">
        <is>
          <t>MG</t>
        </is>
      </c>
      <c r="E3115" t="inlineStr">
        <is>
          <t>garden_tools</t>
        </is>
      </c>
      <c r="F3115" t="n">
        <v>1</v>
      </c>
      <c r="G3115" t="n">
        <v>39.9</v>
      </c>
      <c r="H3115" t="n">
        <v>17.06</v>
      </c>
      <c r="I3115" t="inlineStr">
        <is>
          <t>boleto</t>
        </is>
      </c>
      <c r="J3115" t="n">
        <v>9</v>
      </c>
      <c r="K3115" t="inlineStr">
        <is>
          <t>On Time</t>
        </is>
      </c>
      <c r="L3115" t="n">
        <v>5</v>
      </c>
      <c r="M3115">
        <f>VLOOKUP(D3115,State_Lookup!$A$2:$B$28,2,FALSE)</f>
        <v/>
      </c>
    </row>
    <row r="3116">
      <c r="A3116" t="inlineStr">
        <is>
          <t>5046ecbc1ce636485cc146ddd706a55b</t>
        </is>
      </c>
      <c r="B3116" t="inlineStr">
        <is>
          <t>2018-03-07</t>
        </is>
      </c>
      <c r="C3116" t="inlineStr">
        <is>
          <t>2018-03</t>
        </is>
      </c>
      <c r="D3116" t="inlineStr">
        <is>
          <t>SP</t>
        </is>
      </c>
      <c r="E3116" t="inlineStr">
        <is>
          <t>bed_bath_table</t>
        </is>
      </c>
      <c r="F3116" t="n">
        <v>1</v>
      </c>
      <c r="G3116" t="n">
        <v>56.99</v>
      </c>
      <c r="H3116" t="n">
        <v>14.49</v>
      </c>
      <c r="I3116" t="inlineStr">
        <is>
          <t>credit_card</t>
        </is>
      </c>
      <c r="J3116" t="n">
        <v>7</v>
      </c>
      <c r="K3116" t="inlineStr">
        <is>
          <t>On Time</t>
        </is>
      </c>
      <c r="L3116" t="n">
        <v>5</v>
      </c>
      <c r="M3116">
        <f>VLOOKUP(D3116,State_Lookup!$A$2:$B$28,2,FALSE)</f>
        <v/>
      </c>
    </row>
    <row r="3117">
      <c r="A3117" t="inlineStr">
        <is>
          <t>ddb9e8975cd9123fd5336811c747faa2</t>
        </is>
      </c>
      <c r="B3117" t="inlineStr">
        <is>
          <t>2018-03-07</t>
        </is>
      </c>
      <c r="C3117" t="inlineStr">
        <is>
          <t>2018-03</t>
        </is>
      </c>
      <c r="D3117" t="inlineStr">
        <is>
          <t>SP</t>
        </is>
      </c>
      <c r="E3117" t="inlineStr">
        <is>
          <t>housewares</t>
        </is>
      </c>
      <c r="F3117" t="n">
        <v>1</v>
      </c>
      <c r="G3117" t="n">
        <v>36</v>
      </c>
      <c r="H3117" t="n">
        <v>9.82</v>
      </c>
      <c r="I3117" t="inlineStr">
        <is>
          <t>credit_card</t>
        </is>
      </c>
      <c r="J3117" t="n">
        <v>7</v>
      </c>
      <c r="K3117" t="inlineStr">
        <is>
          <t>On Time</t>
        </is>
      </c>
      <c r="L3117" t="n">
        <v>3</v>
      </c>
      <c r="M3117">
        <f>VLOOKUP(D3117,State_Lookup!$A$2:$B$28,2,FALSE)</f>
        <v/>
      </c>
    </row>
    <row r="3118">
      <c r="A3118" t="inlineStr">
        <is>
          <t>24dcf58639c7253fdb1a060a4f875558</t>
        </is>
      </c>
      <c r="B3118" t="inlineStr">
        <is>
          <t>2018-03-07</t>
        </is>
      </c>
      <c r="C3118" t="inlineStr">
        <is>
          <t>2018-03</t>
        </is>
      </c>
      <c r="D3118" t="inlineStr">
        <is>
          <t>GO</t>
        </is>
      </c>
      <c r="E3118" t="inlineStr">
        <is>
          <t>bed_bath_table</t>
        </is>
      </c>
      <c r="F3118" t="n">
        <v>1</v>
      </c>
      <c r="G3118" t="n">
        <v>79.90000000000001</v>
      </c>
      <c r="H3118" t="n">
        <v>19.53</v>
      </c>
      <c r="I3118" t="inlineStr">
        <is>
          <t>boleto</t>
        </is>
      </c>
      <c r="J3118" t="n">
        <v>26</v>
      </c>
      <c r="K3118" t="inlineStr">
        <is>
          <t>Late</t>
        </is>
      </c>
      <c r="L3118" t="n">
        <v>5</v>
      </c>
      <c r="M3118">
        <f>VLOOKUP(D3118,State_Lookup!$A$2:$B$28,2,FALSE)</f>
        <v/>
      </c>
    </row>
    <row r="3119">
      <c r="A3119" t="inlineStr">
        <is>
          <t>d7299ed1ce267fef299fca83511a0e17</t>
        </is>
      </c>
      <c r="B3119" t="inlineStr">
        <is>
          <t>2018-03-07</t>
        </is>
      </c>
      <c r="C3119" t="inlineStr">
        <is>
          <t>2018-03</t>
        </is>
      </c>
      <c r="D3119" t="inlineStr">
        <is>
          <t>CE</t>
        </is>
      </c>
      <c r="E3119" t="inlineStr">
        <is>
          <t>electronics</t>
        </is>
      </c>
      <c r="F3119" t="n">
        <v>1</v>
      </c>
      <c r="G3119" t="n">
        <v>14.99</v>
      </c>
      <c r="H3119" t="n">
        <v>19.04</v>
      </c>
      <c r="I3119" t="inlineStr">
        <is>
          <t>debit_card</t>
        </is>
      </c>
      <c r="J3119" t="n">
        <v>24</v>
      </c>
      <c r="K3119" t="inlineStr">
        <is>
          <t>Late</t>
        </is>
      </c>
      <c r="L3119" t="n">
        <v>4</v>
      </c>
      <c r="M3119">
        <f>VLOOKUP(D3119,State_Lookup!$A$2:$B$28,2,FALSE)</f>
        <v/>
      </c>
    </row>
    <row r="3120">
      <c r="A3120" t="inlineStr">
        <is>
          <t>af1eb996572603fd366f5a1a862e0540</t>
        </is>
      </c>
      <c r="B3120" t="inlineStr">
        <is>
          <t>2018-03-07</t>
        </is>
      </c>
      <c r="C3120" t="inlineStr">
        <is>
          <t>2018-03</t>
        </is>
      </c>
      <c r="D3120" t="inlineStr">
        <is>
          <t>SP</t>
        </is>
      </c>
      <c r="E3120" t="inlineStr">
        <is>
          <t>market_place</t>
        </is>
      </c>
      <c r="F3120" t="n">
        <v>1</v>
      </c>
      <c r="G3120" t="n">
        <v>79.90000000000001</v>
      </c>
      <c r="H3120" t="n">
        <v>17.47</v>
      </c>
      <c r="I3120" t="inlineStr">
        <is>
          <t>boleto</t>
        </is>
      </c>
      <c r="J3120" t="n">
        <v>13</v>
      </c>
      <c r="K3120" t="inlineStr">
        <is>
          <t>On Time</t>
        </is>
      </c>
      <c r="L3120" t="n">
        <v>5</v>
      </c>
      <c r="M3120">
        <f>VLOOKUP(D3120,State_Lookup!$A$2:$B$28,2,FALSE)</f>
        <v/>
      </c>
    </row>
    <row r="3121">
      <c r="A3121" t="inlineStr">
        <is>
          <t>de745e34eb24d2c0c2b46c6e86659127</t>
        </is>
      </c>
      <c r="B3121" t="inlineStr">
        <is>
          <t>2018-03-07</t>
        </is>
      </c>
      <c r="C3121" t="inlineStr">
        <is>
          <t>2018-03</t>
        </is>
      </c>
      <c r="D3121" t="inlineStr">
        <is>
          <t>BA</t>
        </is>
      </c>
      <c r="E3121" t="inlineStr">
        <is>
          <t>cool_stuff</t>
        </is>
      </c>
      <c r="F3121" t="n">
        <v>1</v>
      </c>
      <c r="G3121" t="n">
        <v>269</v>
      </c>
      <c r="H3121" t="n">
        <v>23.59</v>
      </c>
      <c r="I3121" t="inlineStr">
        <is>
          <t>credit_card</t>
        </is>
      </c>
      <c r="J3121" t="n">
        <v>33</v>
      </c>
      <c r="K3121" t="inlineStr">
        <is>
          <t>On Time</t>
        </is>
      </c>
      <c r="L3121" t="n">
        <v>5</v>
      </c>
      <c r="M3121">
        <f>VLOOKUP(D3121,State_Lookup!$A$2:$B$28,2,FALSE)</f>
        <v/>
      </c>
    </row>
    <row r="3122">
      <c r="A3122" t="inlineStr">
        <is>
          <t>8c404744f757953fce7d97630970d045</t>
        </is>
      </c>
      <c r="B3122" t="inlineStr">
        <is>
          <t>2018-03-07</t>
        </is>
      </c>
      <c r="C3122" t="inlineStr">
        <is>
          <t>2018-03</t>
        </is>
      </c>
      <c r="D3122" t="inlineStr">
        <is>
          <t>SP</t>
        </is>
      </c>
      <c r="E3122" t="inlineStr">
        <is>
          <t>sports_leisure</t>
        </is>
      </c>
      <c r="F3122" t="n">
        <v>1</v>
      </c>
      <c r="G3122" t="n">
        <v>55</v>
      </c>
      <c r="H3122" t="n">
        <v>19.08</v>
      </c>
      <c r="I3122" t="inlineStr">
        <is>
          <t>boleto</t>
        </is>
      </c>
      <c r="J3122" t="n">
        <v>16</v>
      </c>
      <c r="K3122" t="inlineStr">
        <is>
          <t>On Time</t>
        </is>
      </c>
      <c r="L3122" t="n">
        <v>5</v>
      </c>
      <c r="M3122">
        <f>VLOOKUP(D3122,State_Lookup!$A$2:$B$28,2,FALSE)</f>
        <v/>
      </c>
    </row>
    <row r="3123">
      <c r="A3123" t="inlineStr">
        <is>
          <t>a70b9ff516da648dcee359a50611fe6d</t>
        </is>
      </c>
      <c r="B3123" t="inlineStr">
        <is>
          <t>2018-03-07</t>
        </is>
      </c>
      <c r="C3123" t="inlineStr">
        <is>
          <t>2018-03</t>
        </is>
      </c>
      <c r="D3123" t="inlineStr">
        <is>
          <t>SC</t>
        </is>
      </c>
      <c r="E3123" t="inlineStr">
        <is>
          <t>auto</t>
        </is>
      </c>
      <c r="F3123" t="n">
        <v>1</v>
      </c>
      <c r="G3123" t="n">
        <v>61.5</v>
      </c>
      <c r="H3123" t="n">
        <v>18.31</v>
      </c>
      <c r="I3123" t="inlineStr">
        <is>
          <t>credit_card</t>
        </is>
      </c>
      <c r="J3123" t="n">
        <v>21</v>
      </c>
      <c r="K3123" t="inlineStr">
        <is>
          <t>On Time</t>
        </is>
      </c>
      <c r="L3123" t="n">
        <v>1</v>
      </c>
      <c r="M3123">
        <f>VLOOKUP(D3123,State_Lookup!$A$2:$B$28,2,FALSE)</f>
        <v/>
      </c>
    </row>
    <row r="3124">
      <c r="A3124" t="inlineStr">
        <is>
          <t>c462577fbdd44f40d9ded05b2ebd6096</t>
        </is>
      </c>
      <c r="B3124" t="inlineStr">
        <is>
          <t>2018-03-07</t>
        </is>
      </c>
      <c r="C3124" t="inlineStr">
        <is>
          <t>2018-03</t>
        </is>
      </c>
      <c r="D3124" t="inlineStr">
        <is>
          <t>SP</t>
        </is>
      </c>
      <c r="E3124" t="inlineStr">
        <is>
          <t>health_beauty</t>
        </is>
      </c>
      <c r="F3124" t="n">
        <v>1</v>
      </c>
      <c r="G3124" t="n">
        <v>47</v>
      </c>
      <c r="H3124" t="n">
        <v>8.4</v>
      </c>
      <c r="I3124" t="inlineStr">
        <is>
          <t>credit_card</t>
        </is>
      </c>
      <c r="J3124" t="n">
        <v>1</v>
      </c>
      <c r="K3124" t="inlineStr">
        <is>
          <t>On Time</t>
        </is>
      </c>
      <c r="L3124" t="n">
        <v>5</v>
      </c>
      <c r="M3124">
        <f>VLOOKUP(D3124,State_Lookup!$A$2:$B$28,2,FALSE)</f>
        <v/>
      </c>
    </row>
    <row r="3125">
      <c r="A3125" t="inlineStr">
        <is>
          <t>507884ae55f4e205891f59bf60e22b71</t>
        </is>
      </c>
      <c r="B3125" t="inlineStr">
        <is>
          <t>2018-03-07</t>
        </is>
      </c>
      <c r="C3125" t="inlineStr">
        <is>
          <t>2018-03</t>
        </is>
      </c>
      <c r="D3125" t="inlineStr">
        <is>
          <t>SP</t>
        </is>
      </c>
      <c r="E3125" t="inlineStr">
        <is>
          <t>housewares</t>
        </is>
      </c>
      <c r="F3125" t="n">
        <v>1</v>
      </c>
      <c r="G3125" t="n">
        <v>120</v>
      </c>
      <c r="H3125" t="n">
        <v>15.58</v>
      </c>
      <c r="I3125" t="inlineStr">
        <is>
          <t>credit_card</t>
        </is>
      </c>
      <c r="J3125" t="n">
        <v>5</v>
      </c>
      <c r="K3125" t="inlineStr">
        <is>
          <t>On Time</t>
        </is>
      </c>
      <c r="L3125" t="n">
        <v>5</v>
      </c>
      <c r="M3125">
        <f>VLOOKUP(D3125,State_Lookup!$A$2:$B$28,2,FALSE)</f>
        <v/>
      </c>
    </row>
    <row r="3126">
      <c r="A3126" t="inlineStr">
        <is>
          <t>a46673a644bf3ee145a6afe288ed3e92</t>
        </is>
      </c>
      <c r="B3126" t="inlineStr">
        <is>
          <t>2018-03-07</t>
        </is>
      </c>
      <c r="C3126" t="inlineStr">
        <is>
          <t>2018-03</t>
        </is>
      </c>
      <c r="D3126" t="inlineStr">
        <is>
          <t>RJ</t>
        </is>
      </c>
      <c r="E3126" t="inlineStr">
        <is>
          <t>computers_accessories</t>
        </is>
      </c>
      <c r="F3126" t="n">
        <v>1</v>
      </c>
      <c r="G3126" t="n">
        <v>149.9</v>
      </c>
      <c r="H3126" t="n">
        <v>21.1</v>
      </c>
      <c r="I3126" t="inlineStr">
        <is>
          <t>credit_card</t>
        </is>
      </c>
      <c r="J3126" t="n">
        <v>13</v>
      </c>
      <c r="K3126" t="inlineStr">
        <is>
          <t>On Time</t>
        </is>
      </c>
      <c r="L3126" t="n">
        <v>5</v>
      </c>
      <c r="M3126">
        <f>VLOOKUP(D3126,State_Lookup!$A$2:$B$28,2,FALSE)</f>
        <v/>
      </c>
    </row>
    <row r="3127">
      <c r="A3127" t="inlineStr">
        <is>
          <t>32fef9bb0f0402350b640eb6f13dbe09</t>
        </is>
      </c>
      <c r="B3127" t="inlineStr">
        <is>
          <t>2018-03-07</t>
        </is>
      </c>
      <c r="C3127" t="inlineStr">
        <is>
          <t>2018-03</t>
        </is>
      </c>
      <c r="D3127" t="inlineStr">
        <is>
          <t>MG</t>
        </is>
      </c>
      <c r="E3127" t="inlineStr">
        <is>
          <t>health_beauty</t>
        </is>
      </c>
      <c r="F3127" t="n">
        <v>1</v>
      </c>
      <c r="G3127" t="n">
        <v>97.65000000000001</v>
      </c>
      <c r="H3127" t="n">
        <v>18.56</v>
      </c>
      <c r="I3127" t="inlineStr">
        <is>
          <t>boleto</t>
        </is>
      </c>
      <c r="J3127" t="n">
        <v>56</v>
      </c>
      <c r="K3127" t="inlineStr">
        <is>
          <t>Late</t>
        </is>
      </c>
      <c r="L3127" t="n">
        <v>1</v>
      </c>
      <c r="M3127">
        <f>VLOOKUP(D3127,State_Lookup!$A$2:$B$28,2,FALSE)</f>
        <v/>
      </c>
    </row>
    <row r="3128">
      <c r="A3128" t="inlineStr">
        <is>
          <t>71189364ca3c13bb110177b4d8e949df</t>
        </is>
      </c>
      <c r="B3128" t="inlineStr">
        <is>
          <t>2018-03-07</t>
        </is>
      </c>
      <c r="C3128" t="inlineStr">
        <is>
          <t>2018-03</t>
        </is>
      </c>
      <c r="D3128" t="inlineStr">
        <is>
          <t>SP</t>
        </is>
      </c>
      <c r="E3128" t="inlineStr">
        <is>
          <t>consoles_games</t>
        </is>
      </c>
      <c r="F3128" t="n">
        <v>1</v>
      </c>
      <c r="G3128" t="n">
        <v>32.5</v>
      </c>
      <c r="H3128" t="n">
        <v>12.79</v>
      </c>
      <c r="I3128" t="inlineStr">
        <is>
          <t>credit_card</t>
        </is>
      </c>
      <c r="J3128" t="n">
        <v>16</v>
      </c>
      <c r="K3128" t="inlineStr">
        <is>
          <t>Late</t>
        </is>
      </c>
      <c r="L3128" t="n">
        <v>3</v>
      </c>
      <c r="M3128">
        <f>VLOOKUP(D3128,State_Lookup!$A$2:$B$28,2,FALSE)</f>
        <v/>
      </c>
    </row>
    <row r="3129">
      <c r="A3129" t="inlineStr">
        <is>
          <t>9099e5808d892fd34523293254ddb621</t>
        </is>
      </c>
      <c r="B3129" t="inlineStr">
        <is>
          <t>2018-03-08</t>
        </is>
      </c>
      <c r="C3129" t="inlineStr">
        <is>
          <t>2018-03</t>
        </is>
      </c>
      <c r="D3129" t="inlineStr">
        <is>
          <t>RJ</t>
        </is>
      </c>
      <c r="E3129" t="inlineStr">
        <is>
          <t>electronics</t>
        </is>
      </c>
      <c r="F3129" t="n">
        <v>1</v>
      </c>
      <c r="G3129" t="n">
        <v>28.5</v>
      </c>
      <c r="H3129" t="n">
        <v>18.23</v>
      </c>
      <c r="I3129" t="inlineStr">
        <is>
          <t>credit_card</t>
        </is>
      </c>
      <c r="J3129" t="n">
        <v>20</v>
      </c>
      <c r="K3129" t="inlineStr">
        <is>
          <t>On Time</t>
        </is>
      </c>
      <c r="L3129" t="n">
        <v>5</v>
      </c>
      <c r="M3129">
        <f>VLOOKUP(D3129,State_Lookup!$A$2:$B$28,2,FALSE)</f>
        <v/>
      </c>
    </row>
    <row r="3130">
      <c r="A3130" t="inlineStr">
        <is>
          <t>d828baeaa3a4bf3f9f4e239432e1987b</t>
        </is>
      </c>
      <c r="B3130" t="inlineStr">
        <is>
          <t>2018-03-08</t>
        </is>
      </c>
      <c r="C3130" t="inlineStr">
        <is>
          <t>2018-03</t>
        </is>
      </c>
      <c r="D3130" t="inlineStr">
        <is>
          <t>BA</t>
        </is>
      </c>
      <c r="E3130" t="inlineStr">
        <is>
          <t>sports_leisure</t>
        </is>
      </c>
      <c r="F3130" t="n">
        <v>1</v>
      </c>
      <c r="G3130" t="n">
        <v>249.99</v>
      </c>
      <c r="H3130" t="n">
        <v>52.25</v>
      </c>
      <c r="I3130" t="inlineStr">
        <is>
          <t>credit_card</t>
        </is>
      </c>
      <c r="J3130" t="n">
        <v>30</v>
      </c>
      <c r="K3130" t="inlineStr">
        <is>
          <t>Late</t>
        </is>
      </c>
      <c r="L3130" t="n">
        <v>1</v>
      </c>
      <c r="M3130">
        <f>VLOOKUP(D3130,State_Lookup!$A$2:$B$28,2,FALSE)</f>
        <v/>
      </c>
    </row>
    <row r="3131">
      <c r="A3131" t="inlineStr">
        <is>
          <t>a4d9bb727014ddee359b4bdd5c9791e7</t>
        </is>
      </c>
      <c r="B3131" t="inlineStr">
        <is>
          <t>2018-03-08</t>
        </is>
      </c>
      <c r="C3131" t="inlineStr">
        <is>
          <t>2018-03</t>
        </is>
      </c>
      <c r="D3131" t="inlineStr">
        <is>
          <t>SP</t>
        </is>
      </c>
      <c r="E3131" t="inlineStr">
        <is>
          <t>sports_leisure</t>
        </is>
      </c>
      <c r="F3131" t="n">
        <v>1</v>
      </c>
      <c r="G3131" t="n">
        <v>50</v>
      </c>
      <c r="H3131" t="n">
        <v>12.79</v>
      </c>
      <c r="I3131" t="inlineStr">
        <is>
          <t>boleto</t>
        </is>
      </c>
      <c r="J3131" t="n">
        <v>12</v>
      </c>
      <c r="K3131" t="inlineStr">
        <is>
          <t>On Time</t>
        </is>
      </c>
      <c r="L3131" t="n">
        <v>5</v>
      </c>
      <c r="M3131">
        <f>VLOOKUP(D3131,State_Lookup!$A$2:$B$28,2,FALSE)</f>
        <v/>
      </c>
    </row>
    <row r="3132">
      <c r="A3132" t="inlineStr">
        <is>
          <t>582037320d4b45790340d0ceedac58a3</t>
        </is>
      </c>
      <c r="B3132" t="inlineStr">
        <is>
          <t>2018-03-08</t>
        </is>
      </c>
      <c r="C3132" t="inlineStr">
        <is>
          <t>2018-03</t>
        </is>
      </c>
      <c r="D3132" t="inlineStr">
        <is>
          <t>MG</t>
        </is>
      </c>
      <c r="E3132" t="inlineStr">
        <is>
          <t>watches_gifts</t>
        </is>
      </c>
      <c r="F3132" t="n">
        <v>1</v>
      </c>
      <c r="G3132" t="n">
        <v>105</v>
      </c>
      <c r="H3132" t="n">
        <v>16.7</v>
      </c>
      <c r="I3132" t="inlineStr">
        <is>
          <t>credit_card</t>
        </is>
      </c>
      <c r="J3132" t="n">
        <v>12</v>
      </c>
      <c r="K3132" t="inlineStr">
        <is>
          <t>On Time</t>
        </is>
      </c>
      <c r="L3132" t="n">
        <v>5</v>
      </c>
      <c r="M3132">
        <f>VLOOKUP(D3132,State_Lookup!$A$2:$B$28,2,FALSE)</f>
        <v/>
      </c>
    </row>
    <row r="3133">
      <c r="A3133" t="inlineStr">
        <is>
          <t>66dea50a8b16d9b4dee7af250b4be1a5</t>
        </is>
      </c>
      <c r="B3133" t="inlineStr">
        <is>
          <t>2018-03-08</t>
        </is>
      </c>
      <c r="C3133" t="inlineStr">
        <is>
          <t>2018-03</t>
        </is>
      </c>
      <c r="D3133" t="inlineStr">
        <is>
          <t>PR</t>
        </is>
      </c>
      <c r="E3133" t="inlineStr">
        <is>
          <t>health_beauty</t>
        </is>
      </c>
      <c r="F3133" t="n">
        <v>1</v>
      </c>
      <c r="G3133" t="n">
        <v>68.5</v>
      </c>
      <c r="H3133" t="n">
        <v>18.36</v>
      </c>
      <c r="I3133" t="inlineStr">
        <is>
          <t>debit_card</t>
        </is>
      </c>
      <c r="J3133" t="n">
        <v>7</v>
      </c>
      <c r="K3133" t="inlineStr">
        <is>
          <t>On Time</t>
        </is>
      </c>
      <c r="L3133" t="n">
        <v>5</v>
      </c>
      <c r="M3133">
        <f>VLOOKUP(D3133,State_Lookup!$A$2:$B$28,2,FALSE)</f>
        <v/>
      </c>
    </row>
    <row r="3134">
      <c r="A3134" t="inlineStr">
        <is>
          <t>43aeddd1834ad7f991a3653e797d7132</t>
        </is>
      </c>
      <c r="B3134" t="inlineStr">
        <is>
          <t>2018-03-08</t>
        </is>
      </c>
      <c r="C3134" t="inlineStr">
        <is>
          <t>2018-03</t>
        </is>
      </c>
      <c r="D3134" t="inlineStr">
        <is>
          <t>RJ</t>
        </is>
      </c>
      <c r="E3134" t="inlineStr">
        <is>
          <t>telephony</t>
        </is>
      </c>
      <c r="F3134" t="n">
        <v>1</v>
      </c>
      <c r="G3134" t="n">
        <v>24.99</v>
      </c>
      <c r="H3134" t="n">
        <v>15.23</v>
      </c>
      <c r="I3134" t="inlineStr">
        <is>
          <t>boleto</t>
        </is>
      </c>
      <c r="J3134" t="n">
        <v>41</v>
      </c>
      <c r="K3134" t="inlineStr">
        <is>
          <t>Late</t>
        </is>
      </c>
      <c r="L3134" t="n">
        <v>3</v>
      </c>
      <c r="M3134">
        <f>VLOOKUP(D3134,State_Lookup!$A$2:$B$28,2,FALSE)</f>
        <v/>
      </c>
    </row>
    <row r="3135">
      <c r="A3135" t="inlineStr">
        <is>
          <t>be39a554924306abfee91a4f38ac55bb</t>
        </is>
      </c>
      <c r="B3135" t="inlineStr">
        <is>
          <t>2018-03-08</t>
        </is>
      </c>
      <c r="C3135" t="inlineStr">
        <is>
          <t>2018-03</t>
        </is>
      </c>
      <c r="D3135" t="inlineStr">
        <is>
          <t>SP</t>
        </is>
      </c>
      <c r="E3135" t="inlineStr">
        <is>
          <t>health_beauty</t>
        </is>
      </c>
      <c r="F3135" t="n">
        <v>1</v>
      </c>
      <c r="G3135" t="n">
        <v>29.9</v>
      </c>
      <c r="H3135" t="n">
        <v>9.42</v>
      </c>
      <c r="I3135" t="inlineStr">
        <is>
          <t>voucher</t>
        </is>
      </c>
      <c r="J3135" t="n">
        <v>4</v>
      </c>
      <c r="K3135" t="inlineStr">
        <is>
          <t>On Time</t>
        </is>
      </c>
      <c r="L3135" t="n">
        <v>5</v>
      </c>
      <c r="M3135">
        <f>VLOOKUP(D3135,State_Lookup!$A$2:$B$28,2,FALSE)</f>
        <v/>
      </c>
    </row>
    <row r="3136">
      <c r="A3136" t="inlineStr">
        <is>
          <t>f5e9edb4041a4f6ddaac3851ae7992ee</t>
        </is>
      </c>
      <c r="B3136" t="inlineStr">
        <is>
          <t>2018-03-09</t>
        </is>
      </c>
      <c r="C3136" t="inlineStr">
        <is>
          <t>2018-03</t>
        </is>
      </c>
      <c r="D3136" t="inlineStr">
        <is>
          <t>SP</t>
        </is>
      </c>
      <c r="E3136" t="inlineStr">
        <is>
          <t>electronics</t>
        </is>
      </c>
      <c r="F3136" t="n">
        <v>1</v>
      </c>
      <c r="G3136" t="n">
        <v>19.9</v>
      </c>
      <c r="H3136" t="n">
        <v>13.47</v>
      </c>
      <c r="I3136" t="inlineStr">
        <is>
          <t>debit_card</t>
        </is>
      </c>
      <c r="J3136" t="n">
        <v>20</v>
      </c>
      <c r="K3136" t="inlineStr">
        <is>
          <t>On Time</t>
        </is>
      </c>
      <c r="L3136" t="n">
        <v>4</v>
      </c>
      <c r="M3136">
        <f>VLOOKUP(D3136,State_Lookup!$A$2:$B$28,2,FALSE)</f>
        <v/>
      </c>
    </row>
    <row r="3137">
      <c r="A3137" t="inlineStr">
        <is>
          <t>a859c431ae458dee74fe2e549bd8e287</t>
        </is>
      </c>
      <c r="B3137" t="inlineStr">
        <is>
          <t>2018-03-09</t>
        </is>
      </c>
      <c r="C3137" t="inlineStr">
        <is>
          <t>2018-03</t>
        </is>
      </c>
      <c r="D3137" t="inlineStr">
        <is>
          <t>SP</t>
        </is>
      </c>
      <c r="E3137" t="inlineStr">
        <is>
          <t>costruction_tools_garden</t>
        </is>
      </c>
      <c r="F3137" t="n">
        <v>1</v>
      </c>
      <c r="G3137" t="n">
        <v>410</v>
      </c>
      <c r="H3137" t="n">
        <v>16.96</v>
      </c>
      <c r="I3137" t="inlineStr">
        <is>
          <t>boleto</t>
        </is>
      </c>
      <c r="J3137" t="n">
        <v>6</v>
      </c>
      <c r="K3137" t="inlineStr">
        <is>
          <t>On Time</t>
        </is>
      </c>
      <c r="L3137" t="n">
        <v>5</v>
      </c>
      <c r="M3137">
        <f>VLOOKUP(D3137,State_Lookup!$A$2:$B$28,2,FALSE)</f>
        <v/>
      </c>
    </row>
    <row r="3138">
      <c r="A3138" t="inlineStr">
        <is>
          <t>3e87545e66b02b3858e6e252413b1b8f</t>
        </is>
      </c>
      <c r="B3138" t="inlineStr">
        <is>
          <t>2018-03-09</t>
        </is>
      </c>
      <c r="C3138" t="inlineStr">
        <is>
          <t>2018-03</t>
        </is>
      </c>
      <c r="D3138" t="inlineStr">
        <is>
          <t>RS</t>
        </is>
      </c>
      <c r="E3138" t="inlineStr">
        <is>
          <t>unknown</t>
        </is>
      </c>
      <c r="F3138" t="n">
        <v>1</v>
      </c>
      <c r="G3138" t="n">
        <v>79</v>
      </c>
      <c r="H3138" t="n">
        <v>18.13</v>
      </c>
      <c r="I3138" t="inlineStr">
        <is>
          <t>credit_card</t>
        </is>
      </c>
      <c r="J3138" t="n">
        <v>19</v>
      </c>
      <c r="K3138" t="inlineStr">
        <is>
          <t>On Time</t>
        </is>
      </c>
      <c r="L3138" t="n">
        <v>4</v>
      </c>
      <c r="M3138">
        <f>VLOOKUP(D3138,State_Lookup!$A$2:$B$28,2,FALSE)</f>
        <v/>
      </c>
    </row>
    <row r="3139">
      <c r="A3139" t="inlineStr">
        <is>
          <t>061e6ce7ec63fcace40d4ae11584763c</t>
        </is>
      </c>
      <c r="B3139" t="inlineStr">
        <is>
          <t>2018-03-09</t>
        </is>
      </c>
      <c r="C3139" t="inlineStr">
        <is>
          <t>2018-03</t>
        </is>
      </c>
      <c r="D3139" t="inlineStr">
        <is>
          <t>SP</t>
        </is>
      </c>
      <c r="E3139" t="inlineStr">
        <is>
          <t>cool_stuff</t>
        </is>
      </c>
      <c r="F3139" t="n">
        <v>1</v>
      </c>
      <c r="G3139" t="n">
        <v>210</v>
      </c>
      <c r="H3139" t="n">
        <v>18.38</v>
      </c>
      <c r="I3139" t="inlineStr">
        <is>
          <t>credit_card</t>
        </is>
      </c>
      <c r="J3139" t="n">
        <v>13</v>
      </c>
      <c r="K3139" t="inlineStr">
        <is>
          <t>On Time</t>
        </is>
      </c>
      <c r="L3139" t="n">
        <v>5</v>
      </c>
      <c r="M3139">
        <f>VLOOKUP(D3139,State_Lookup!$A$2:$B$28,2,FALSE)</f>
        <v/>
      </c>
    </row>
    <row r="3140">
      <c r="A3140" t="inlineStr">
        <is>
          <t>93a5d882408bb90dde6eaf5159ac5adb</t>
        </is>
      </c>
      <c r="B3140" t="inlineStr">
        <is>
          <t>2018-03-09</t>
        </is>
      </c>
      <c r="C3140" t="inlineStr">
        <is>
          <t>2018-03</t>
        </is>
      </c>
      <c r="D3140" t="inlineStr">
        <is>
          <t>PR</t>
        </is>
      </c>
      <c r="E3140" t="inlineStr">
        <is>
          <t>housewares</t>
        </is>
      </c>
      <c r="F3140" t="n">
        <v>1</v>
      </c>
      <c r="G3140" t="n">
        <v>39</v>
      </c>
      <c r="H3140" t="n">
        <v>19.32</v>
      </c>
      <c r="I3140" t="inlineStr">
        <is>
          <t>credit_card</t>
        </is>
      </c>
      <c r="J3140" t="n">
        <v>14</v>
      </c>
      <c r="K3140" t="inlineStr">
        <is>
          <t>On Time</t>
        </is>
      </c>
      <c r="L3140" t="n">
        <v>4</v>
      </c>
      <c r="M3140">
        <f>VLOOKUP(D3140,State_Lookup!$A$2:$B$28,2,FALSE)</f>
        <v/>
      </c>
    </row>
    <row r="3141">
      <c r="A3141" t="inlineStr">
        <is>
          <t>ca7176941d0e15c620cebcdcf36af650</t>
        </is>
      </c>
      <c r="B3141" t="inlineStr">
        <is>
          <t>2018-03-09</t>
        </is>
      </c>
      <c r="C3141" t="inlineStr">
        <is>
          <t>2018-03</t>
        </is>
      </c>
      <c r="D3141" t="inlineStr">
        <is>
          <t>SP</t>
        </is>
      </c>
      <c r="E3141" t="inlineStr">
        <is>
          <t>auto</t>
        </is>
      </c>
      <c r="F3141" t="n">
        <v>1</v>
      </c>
      <c r="G3141" t="n">
        <v>27.9</v>
      </c>
      <c r="H3141" t="n">
        <v>7.87</v>
      </c>
      <c r="I3141" t="inlineStr">
        <is>
          <t>boleto</t>
        </is>
      </c>
      <c r="J3141" t="n">
        <v>13</v>
      </c>
      <c r="K3141" t="inlineStr">
        <is>
          <t>Late</t>
        </is>
      </c>
      <c r="L3141" t="n">
        <v>5</v>
      </c>
      <c r="M3141">
        <f>VLOOKUP(D3141,State_Lookup!$A$2:$B$28,2,FALSE)</f>
        <v/>
      </c>
    </row>
    <row r="3142">
      <c r="A3142" t="inlineStr">
        <is>
          <t>0fcf164859b203af4b0811ccf70d1454</t>
        </is>
      </c>
      <c r="B3142" t="inlineStr">
        <is>
          <t>2018-03-09</t>
        </is>
      </c>
      <c r="C3142" t="inlineStr">
        <is>
          <t>2018-03</t>
        </is>
      </c>
      <c r="D3142" t="inlineStr">
        <is>
          <t>ES</t>
        </is>
      </c>
      <c r="E3142" t="inlineStr">
        <is>
          <t>watches_gifts</t>
        </is>
      </c>
      <c r="F3142" t="n">
        <v>1</v>
      </c>
      <c r="G3142" t="n">
        <v>274.9</v>
      </c>
      <c r="H3142" t="n">
        <v>19.8</v>
      </c>
      <c r="I3142" t="inlineStr">
        <is>
          <t>boleto</t>
        </is>
      </c>
      <c r="J3142" t="n">
        <v>33</v>
      </c>
      <c r="K3142" t="inlineStr">
        <is>
          <t>Late</t>
        </is>
      </c>
      <c r="L3142" t="n">
        <v>1</v>
      </c>
      <c r="M3142">
        <f>VLOOKUP(D3142,State_Lookup!$A$2:$B$28,2,FALSE)</f>
        <v/>
      </c>
    </row>
    <row r="3143">
      <c r="A3143" t="inlineStr">
        <is>
          <t>0af905b4a536b95528b4eb5dd2c192da</t>
        </is>
      </c>
      <c r="B3143" t="inlineStr">
        <is>
          <t>2018-03-09</t>
        </is>
      </c>
      <c r="C3143" t="inlineStr">
        <is>
          <t>2018-03</t>
        </is>
      </c>
      <c r="D3143" t="inlineStr">
        <is>
          <t>SC</t>
        </is>
      </c>
      <c r="E3143" t="inlineStr">
        <is>
          <t>cool_stuff</t>
        </is>
      </c>
      <c r="F3143" t="n">
        <v>1</v>
      </c>
      <c r="G3143" t="n">
        <v>199</v>
      </c>
      <c r="H3143" t="n">
        <v>23.9</v>
      </c>
      <c r="I3143" t="inlineStr">
        <is>
          <t>credit_card</t>
        </is>
      </c>
      <c r="J3143" t="n">
        <v>11</v>
      </c>
      <c r="K3143" t="inlineStr">
        <is>
          <t>On Time</t>
        </is>
      </c>
      <c r="L3143" t="n">
        <v>5</v>
      </c>
      <c r="M3143">
        <f>VLOOKUP(D3143,State_Lookup!$A$2:$B$28,2,FALSE)</f>
        <v/>
      </c>
    </row>
    <row r="3144">
      <c r="A3144" t="inlineStr">
        <is>
          <t>dd70a35befb65bab7a91010576b94951</t>
        </is>
      </c>
      <c r="B3144" t="inlineStr">
        <is>
          <t>2018-03-09</t>
        </is>
      </c>
      <c r="C3144" t="inlineStr">
        <is>
          <t>2018-03</t>
        </is>
      </c>
      <c r="D3144" t="inlineStr">
        <is>
          <t>PR</t>
        </is>
      </c>
      <c r="E3144" t="inlineStr">
        <is>
          <t>electronics</t>
        </is>
      </c>
      <c r="F3144" t="n">
        <v>1</v>
      </c>
      <c r="G3144" t="n">
        <v>109.9</v>
      </c>
      <c r="H3144" t="n">
        <v>18.65</v>
      </c>
      <c r="I3144" t="inlineStr">
        <is>
          <t>credit_card</t>
        </is>
      </c>
      <c r="J3144" t="n">
        <v>13</v>
      </c>
      <c r="K3144" t="inlineStr">
        <is>
          <t>On Time</t>
        </is>
      </c>
      <c r="L3144" t="n">
        <v>3</v>
      </c>
      <c r="M3144">
        <f>VLOOKUP(D3144,State_Lookup!$A$2:$B$28,2,FALSE)</f>
        <v/>
      </c>
    </row>
    <row r="3145">
      <c r="A3145" t="inlineStr">
        <is>
          <t>7a5d02d36c3933952297e3c01daa2e20</t>
        </is>
      </c>
      <c r="B3145" t="inlineStr">
        <is>
          <t>2018-03-09</t>
        </is>
      </c>
      <c r="C3145" t="inlineStr">
        <is>
          <t>2018-03</t>
        </is>
      </c>
      <c r="D3145" t="inlineStr">
        <is>
          <t>PR</t>
        </is>
      </c>
      <c r="E3145" t="inlineStr">
        <is>
          <t>home_appliances</t>
        </is>
      </c>
      <c r="F3145" t="n">
        <v>1</v>
      </c>
      <c r="G3145" t="n">
        <v>141</v>
      </c>
      <c r="H3145" t="n">
        <v>34.53</v>
      </c>
      <c r="I3145" t="inlineStr">
        <is>
          <t>credit_card</t>
        </is>
      </c>
      <c r="J3145" t="n">
        <v>12</v>
      </c>
      <c r="K3145" t="inlineStr">
        <is>
          <t>On Time</t>
        </is>
      </c>
      <c r="L3145" t="n">
        <v>5</v>
      </c>
      <c r="M3145">
        <f>VLOOKUP(D3145,State_Lookup!$A$2:$B$28,2,FALSE)</f>
        <v/>
      </c>
    </row>
    <row r="3146">
      <c r="A3146" t="inlineStr">
        <is>
          <t>7533fbd27a9bfcacc9cb7d7e1b95c30b</t>
        </is>
      </c>
      <c r="B3146" t="inlineStr">
        <is>
          <t>2018-03-09</t>
        </is>
      </c>
      <c r="C3146" t="inlineStr">
        <is>
          <t>2018-03</t>
        </is>
      </c>
      <c r="D3146" t="inlineStr">
        <is>
          <t>MG</t>
        </is>
      </c>
      <c r="E3146" t="inlineStr">
        <is>
          <t>health_beauty</t>
        </is>
      </c>
      <c r="F3146" t="n">
        <v>1</v>
      </c>
      <c r="G3146" t="n">
        <v>58.99</v>
      </c>
      <c r="H3146" t="n">
        <v>17.99</v>
      </c>
      <c r="I3146" t="inlineStr">
        <is>
          <t>credit_card</t>
        </is>
      </c>
      <c r="J3146" t="n">
        <v>12</v>
      </c>
      <c r="K3146" t="inlineStr">
        <is>
          <t>On Time</t>
        </is>
      </c>
      <c r="L3146" t="n">
        <v>5</v>
      </c>
      <c r="M3146">
        <f>VLOOKUP(D3146,State_Lookup!$A$2:$B$28,2,FALSE)</f>
        <v/>
      </c>
    </row>
    <row r="3147">
      <c r="A3147" t="inlineStr">
        <is>
          <t>bfd2ea548fb820f759a902c9b04415e3</t>
        </is>
      </c>
      <c r="B3147" t="inlineStr">
        <is>
          <t>2018-03-09</t>
        </is>
      </c>
      <c r="C3147" t="inlineStr">
        <is>
          <t>2018-03</t>
        </is>
      </c>
      <c r="D3147" t="inlineStr">
        <is>
          <t>SP</t>
        </is>
      </c>
      <c r="E3147" t="inlineStr">
        <is>
          <t>furniture_decor</t>
        </is>
      </c>
      <c r="F3147" t="n">
        <v>1</v>
      </c>
      <c r="G3147" t="n">
        <v>140</v>
      </c>
      <c r="H3147" t="n">
        <v>23.3</v>
      </c>
      <c r="I3147" t="inlineStr">
        <is>
          <t>credit_card</t>
        </is>
      </c>
      <c r="J3147" t="n">
        <v>4</v>
      </c>
      <c r="K3147" t="inlineStr">
        <is>
          <t>On Time</t>
        </is>
      </c>
      <c r="L3147" t="n">
        <v>5</v>
      </c>
      <c r="M3147">
        <f>VLOOKUP(D3147,State_Lookup!$A$2:$B$28,2,FALSE)</f>
        <v/>
      </c>
    </row>
    <row r="3148">
      <c r="A3148" t="inlineStr">
        <is>
          <t>19482dab7e55b687df4b2aec7bf23f55</t>
        </is>
      </c>
      <c r="B3148" t="inlineStr">
        <is>
          <t>2018-03-10</t>
        </is>
      </c>
      <c r="C3148" t="inlineStr">
        <is>
          <t>2018-03</t>
        </is>
      </c>
      <c r="D3148" t="inlineStr">
        <is>
          <t>SP</t>
        </is>
      </c>
      <c r="E3148" t="inlineStr">
        <is>
          <t>office_furniture</t>
        </is>
      </c>
      <c r="F3148" t="n">
        <v>1</v>
      </c>
      <c r="G3148" t="n">
        <v>169.99</v>
      </c>
      <c r="H3148" t="n">
        <v>28.05</v>
      </c>
      <c r="I3148" t="inlineStr">
        <is>
          <t>credit_card</t>
        </is>
      </c>
      <c r="J3148" t="n">
        <v>16</v>
      </c>
      <c r="K3148" t="inlineStr">
        <is>
          <t>On Time</t>
        </is>
      </c>
      <c r="L3148" t="n">
        <v>1</v>
      </c>
      <c r="M3148">
        <f>VLOOKUP(D3148,State_Lookup!$A$2:$B$28,2,FALSE)</f>
        <v/>
      </c>
    </row>
    <row r="3149">
      <c r="A3149" t="inlineStr">
        <is>
          <t>f28cf65c040ec0031234f04085debe30</t>
        </is>
      </c>
      <c r="B3149" t="inlineStr">
        <is>
          <t>2018-03-10</t>
        </is>
      </c>
      <c r="C3149" t="inlineStr">
        <is>
          <t>2018-03</t>
        </is>
      </c>
      <c r="D3149" t="inlineStr">
        <is>
          <t>MT</t>
        </is>
      </c>
      <c r="E3149" t="inlineStr">
        <is>
          <t>health_beauty</t>
        </is>
      </c>
      <c r="F3149" t="n">
        <v>1</v>
      </c>
      <c r="G3149" t="n">
        <v>190</v>
      </c>
      <c r="H3149" t="n">
        <v>28.06</v>
      </c>
      <c r="I3149" t="inlineStr">
        <is>
          <t>credit_card</t>
        </is>
      </c>
      <c r="J3149" t="n">
        <v>10</v>
      </c>
      <c r="K3149" t="inlineStr">
        <is>
          <t>On Time</t>
        </is>
      </c>
      <c r="L3149" t="n">
        <v>4</v>
      </c>
      <c r="M3149">
        <f>VLOOKUP(D3149,State_Lookup!$A$2:$B$28,2,FALSE)</f>
        <v/>
      </c>
    </row>
    <row r="3150">
      <c r="A3150" t="inlineStr">
        <is>
          <t>b3e86749e6dd7b4df4f345abbd329912</t>
        </is>
      </c>
      <c r="B3150" t="inlineStr">
        <is>
          <t>2018-03-10</t>
        </is>
      </c>
      <c r="C3150" t="inlineStr">
        <is>
          <t>2018-03</t>
        </is>
      </c>
      <c r="D3150" t="inlineStr">
        <is>
          <t>PA</t>
        </is>
      </c>
      <c r="E3150" t="inlineStr">
        <is>
          <t>auto</t>
        </is>
      </c>
      <c r="F3150" t="n">
        <v>2</v>
      </c>
      <c r="G3150" t="n">
        <v>70.8</v>
      </c>
      <c r="H3150" t="n">
        <v>93.65000000000001</v>
      </c>
      <c r="I3150" t="inlineStr">
        <is>
          <t>credit_card</t>
        </is>
      </c>
      <c r="J3150" t="n">
        <v>40</v>
      </c>
      <c r="K3150" t="inlineStr">
        <is>
          <t>Late</t>
        </is>
      </c>
      <c r="L3150" t="n">
        <v>4</v>
      </c>
      <c r="M3150">
        <f>VLOOKUP(D3150,State_Lookup!$A$2:$B$28,2,FALSE)</f>
        <v/>
      </c>
    </row>
    <row r="3151">
      <c r="A3151" t="inlineStr">
        <is>
          <t>3b3b650dac6b46fefb61189bb2e3c4e1</t>
        </is>
      </c>
      <c r="B3151" t="inlineStr">
        <is>
          <t>2018-03-10</t>
        </is>
      </c>
      <c r="C3151" t="inlineStr">
        <is>
          <t>2018-03</t>
        </is>
      </c>
      <c r="D3151" t="inlineStr">
        <is>
          <t>MG</t>
        </is>
      </c>
      <c r="E3151" t="inlineStr">
        <is>
          <t>bed_bath_table</t>
        </is>
      </c>
      <c r="F3151" t="n">
        <v>1</v>
      </c>
      <c r="G3151" t="n">
        <v>135</v>
      </c>
      <c r="H3151" t="n">
        <v>27.03</v>
      </c>
      <c r="I3151" t="inlineStr">
        <is>
          <t>boleto</t>
        </is>
      </c>
      <c r="J3151" t="n">
        <v>18</v>
      </c>
      <c r="K3151" t="inlineStr">
        <is>
          <t>On Time</t>
        </is>
      </c>
      <c r="L3151" t="n">
        <v>5</v>
      </c>
      <c r="M3151">
        <f>VLOOKUP(D3151,State_Lookup!$A$2:$B$28,2,FALSE)</f>
        <v/>
      </c>
    </row>
    <row r="3152">
      <c r="A3152" t="inlineStr">
        <is>
          <t>c9e3ce22e44e7fcdb3bbd8acff17c3a6</t>
        </is>
      </c>
      <c r="B3152" t="inlineStr">
        <is>
          <t>2018-03-10</t>
        </is>
      </c>
      <c r="C3152" t="inlineStr">
        <is>
          <t>2018-03</t>
        </is>
      </c>
      <c r="D3152" t="inlineStr">
        <is>
          <t>DF</t>
        </is>
      </c>
      <c r="E3152" t="inlineStr">
        <is>
          <t>baby</t>
        </is>
      </c>
      <c r="F3152" t="n">
        <v>1</v>
      </c>
      <c r="G3152" t="n">
        <v>39.9</v>
      </c>
      <c r="H3152" t="n">
        <v>15.23</v>
      </c>
      <c r="I3152" t="inlineStr">
        <is>
          <t>boleto</t>
        </is>
      </c>
      <c r="J3152" t="n">
        <v>17</v>
      </c>
      <c r="K3152" t="inlineStr">
        <is>
          <t>On Time</t>
        </is>
      </c>
      <c r="L3152" t="n">
        <v>1</v>
      </c>
      <c r="M3152">
        <f>VLOOKUP(D3152,State_Lookup!$A$2:$B$28,2,FALSE)</f>
        <v/>
      </c>
    </row>
    <row r="3153">
      <c r="A3153" t="inlineStr">
        <is>
          <t>81b6015857004cedcfbc04ae95d7bfe5</t>
        </is>
      </c>
      <c r="B3153" t="inlineStr">
        <is>
          <t>2018-03-10</t>
        </is>
      </c>
      <c r="C3153" t="inlineStr">
        <is>
          <t>2018-03</t>
        </is>
      </c>
      <c r="D3153" t="inlineStr">
        <is>
          <t>SP</t>
        </is>
      </c>
      <c r="E3153" t="inlineStr">
        <is>
          <t>bed_bath_table</t>
        </is>
      </c>
      <c r="F3153" t="n">
        <v>2</v>
      </c>
      <c r="G3153" t="n">
        <v>90.98</v>
      </c>
      <c r="H3153" t="n">
        <v>26.5</v>
      </c>
      <c r="I3153" t="inlineStr">
        <is>
          <t>credit_card</t>
        </is>
      </c>
      <c r="J3153" t="inlineStr"/>
      <c r="K3153" t="inlineStr">
        <is>
          <t>Not Delivered</t>
        </is>
      </c>
      <c r="L3153" t="n">
        <v>1</v>
      </c>
      <c r="M3153">
        <f>VLOOKUP(D3153,State_Lookup!$A$2:$B$28,2,FALSE)</f>
        <v/>
      </c>
    </row>
    <row r="3154">
      <c r="A3154" t="inlineStr">
        <is>
          <t>324bba1a05579faca9bea05049eda757</t>
        </is>
      </c>
      <c r="B3154" t="inlineStr">
        <is>
          <t>2018-03-10</t>
        </is>
      </c>
      <c r="C3154" t="inlineStr">
        <is>
          <t>2018-03</t>
        </is>
      </c>
      <c r="D3154" t="inlineStr">
        <is>
          <t>GO</t>
        </is>
      </c>
      <c r="E3154" t="inlineStr">
        <is>
          <t>watches_gifts</t>
        </is>
      </c>
      <c r="F3154" t="n">
        <v>1</v>
      </c>
      <c r="G3154" t="n">
        <v>151.9</v>
      </c>
      <c r="H3154" t="n">
        <v>27.14</v>
      </c>
      <c r="I3154" t="inlineStr">
        <is>
          <t>credit_card</t>
        </is>
      </c>
      <c r="J3154" t="n">
        <v>29</v>
      </c>
      <c r="K3154" t="inlineStr">
        <is>
          <t>Late</t>
        </is>
      </c>
      <c r="L3154" t="n">
        <v>3</v>
      </c>
      <c r="M3154">
        <f>VLOOKUP(D3154,State_Lookup!$A$2:$B$28,2,FALSE)</f>
        <v/>
      </c>
    </row>
    <row r="3155">
      <c r="A3155" t="inlineStr">
        <is>
          <t>de1f63780a06d4800d094e9875c89ac5</t>
        </is>
      </c>
      <c r="B3155" t="inlineStr">
        <is>
          <t>2018-03-10</t>
        </is>
      </c>
      <c r="C3155" t="inlineStr">
        <is>
          <t>2018-03</t>
        </is>
      </c>
      <c r="D3155" t="inlineStr">
        <is>
          <t>RJ</t>
        </is>
      </c>
      <c r="E3155" t="inlineStr">
        <is>
          <t>auto</t>
        </is>
      </c>
      <c r="F3155" t="n">
        <v>2</v>
      </c>
      <c r="G3155" t="n">
        <v>98</v>
      </c>
      <c r="H3155" t="n">
        <v>36.46</v>
      </c>
      <c r="I3155" t="inlineStr">
        <is>
          <t>credit_card</t>
        </is>
      </c>
      <c r="J3155" t="n">
        <v>11</v>
      </c>
      <c r="K3155" t="inlineStr">
        <is>
          <t>On Time</t>
        </is>
      </c>
      <c r="L3155" t="n">
        <v>1</v>
      </c>
      <c r="M3155">
        <f>VLOOKUP(D3155,State_Lookup!$A$2:$B$28,2,FALSE)</f>
        <v/>
      </c>
    </row>
    <row r="3156">
      <c r="A3156" t="inlineStr">
        <is>
          <t>c5b29432f1377aa97a3b0cbf9f62f960</t>
        </is>
      </c>
      <c r="B3156" t="inlineStr">
        <is>
          <t>2018-03-10</t>
        </is>
      </c>
      <c r="C3156" t="inlineStr">
        <is>
          <t>2018-03</t>
        </is>
      </c>
      <c r="D3156" t="inlineStr">
        <is>
          <t>SP</t>
        </is>
      </c>
      <c r="E3156" t="inlineStr">
        <is>
          <t>cool_stuff</t>
        </is>
      </c>
      <c r="F3156" t="n">
        <v>1</v>
      </c>
      <c r="G3156" t="n">
        <v>176.99</v>
      </c>
      <c r="H3156" t="n">
        <v>13.14</v>
      </c>
      <c r="I3156" t="inlineStr">
        <is>
          <t>credit_card</t>
        </is>
      </c>
      <c r="J3156" t="n">
        <v>5</v>
      </c>
      <c r="K3156" t="inlineStr">
        <is>
          <t>On Time</t>
        </is>
      </c>
      <c r="L3156" t="n">
        <v>5</v>
      </c>
      <c r="M3156">
        <f>VLOOKUP(D3156,State_Lookup!$A$2:$B$28,2,FALSE)</f>
        <v/>
      </c>
    </row>
    <row r="3157">
      <c r="A3157" t="inlineStr">
        <is>
          <t>f1462e755e6dad34d26392c0715bfdab</t>
        </is>
      </c>
      <c r="B3157" t="inlineStr">
        <is>
          <t>2018-03-10</t>
        </is>
      </c>
      <c r="C3157" t="inlineStr">
        <is>
          <t>2018-03</t>
        </is>
      </c>
      <c r="D3157" t="inlineStr">
        <is>
          <t>PR</t>
        </is>
      </c>
      <c r="E3157" t="inlineStr">
        <is>
          <t>books_general_interest</t>
        </is>
      </c>
      <c r="F3157" t="n">
        <v>1</v>
      </c>
      <c r="G3157" t="n">
        <v>39.9</v>
      </c>
      <c r="H3157" t="n">
        <v>18.23</v>
      </c>
      <c r="I3157" t="inlineStr">
        <is>
          <t>credit_card</t>
        </is>
      </c>
      <c r="J3157" t="n">
        <v>6</v>
      </c>
      <c r="K3157" t="inlineStr">
        <is>
          <t>On Time</t>
        </is>
      </c>
      <c r="L3157" t="n">
        <v>5</v>
      </c>
      <c r="M3157">
        <f>VLOOKUP(D3157,State_Lookup!$A$2:$B$28,2,FALSE)</f>
        <v/>
      </c>
    </row>
    <row r="3158">
      <c r="A3158" t="inlineStr">
        <is>
          <t>888dc2fb617ecbaa3f82d5ba4294a0d6</t>
        </is>
      </c>
      <c r="B3158" t="inlineStr">
        <is>
          <t>2018-03-11</t>
        </is>
      </c>
      <c r="C3158" t="inlineStr">
        <is>
          <t>2018-03</t>
        </is>
      </c>
      <c r="D3158" t="inlineStr">
        <is>
          <t>AL</t>
        </is>
      </c>
      <c r="E3158" t="inlineStr">
        <is>
          <t>telephony</t>
        </is>
      </c>
      <c r="F3158" t="n">
        <v>1</v>
      </c>
      <c r="G3158" t="n">
        <v>49.99</v>
      </c>
      <c r="H3158" t="n">
        <v>22.85</v>
      </c>
      <c r="I3158" t="inlineStr">
        <is>
          <t>credit_card</t>
        </is>
      </c>
      <c r="J3158" t="n">
        <v>37</v>
      </c>
      <c r="K3158" t="inlineStr">
        <is>
          <t>Late</t>
        </is>
      </c>
      <c r="L3158" t="n">
        <v>3</v>
      </c>
      <c r="M3158">
        <f>VLOOKUP(D3158,State_Lookup!$A$2:$B$28,2,FALSE)</f>
        <v/>
      </c>
    </row>
    <row r="3159">
      <c r="A3159" t="inlineStr">
        <is>
          <t>33caef2ad890ad9d024fb272d1b14bc5</t>
        </is>
      </c>
      <c r="B3159" t="inlineStr">
        <is>
          <t>2018-03-11</t>
        </is>
      </c>
      <c r="C3159" t="inlineStr">
        <is>
          <t>2018-03</t>
        </is>
      </c>
      <c r="D3159" t="inlineStr">
        <is>
          <t>SP</t>
        </is>
      </c>
      <c r="E3159" t="inlineStr">
        <is>
          <t>garden_tools</t>
        </is>
      </c>
      <c r="F3159" t="n">
        <v>3</v>
      </c>
      <c r="G3159" t="n">
        <v>161.7</v>
      </c>
      <c r="H3159" t="n">
        <v>43.41</v>
      </c>
      <c r="I3159" t="inlineStr">
        <is>
          <t>credit_card</t>
        </is>
      </c>
      <c r="J3159" t="n">
        <v>8</v>
      </c>
      <c r="K3159" t="inlineStr">
        <is>
          <t>On Time</t>
        </is>
      </c>
      <c r="L3159" t="n">
        <v>5</v>
      </c>
      <c r="M3159">
        <f>VLOOKUP(D3159,State_Lookup!$A$2:$B$28,2,FALSE)</f>
        <v/>
      </c>
    </row>
    <row r="3160">
      <c r="A3160" t="inlineStr">
        <is>
          <t>9c89421a3099d6b66cb2df1d2f1d3dab</t>
        </is>
      </c>
      <c r="B3160" t="inlineStr">
        <is>
          <t>2018-03-11</t>
        </is>
      </c>
      <c r="C3160" t="inlineStr">
        <is>
          <t>2018-03</t>
        </is>
      </c>
      <c r="D3160" t="inlineStr">
        <is>
          <t>SP</t>
        </is>
      </c>
      <c r="E3160" t="inlineStr">
        <is>
          <t>auto</t>
        </is>
      </c>
      <c r="F3160" t="n">
        <v>1</v>
      </c>
      <c r="G3160" t="n">
        <v>14.9</v>
      </c>
      <c r="H3160" t="n">
        <v>7.39</v>
      </c>
      <c r="I3160" t="inlineStr">
        <is>
          <t>credit_card</t>
        </is>
      </c>
      <c r="J3160" t="n">
        <v>3</v>
      </c>
      <c r="K3160" t="inlineStr">
        <is>
          <t>On Time</t>
        </is>
      </c>
      <c r="L3160" t="n">
        <v>4</v>
      </c>
      <c r="M3160">
        <f>VLOOKUP(D3160,State_Lookup!$A$2:$B$28,2,FALSE)</f>
        <v/>
      </c>
    </row>
    <row r="3161">
      <c r="A3161" t="inlineStr">
        <is>
          <t>e6f96e33b5d31862c79ab7b0eea58d25</t>
        </is>
      </c>
      <c r="B3161" t="inlineStr">
        <is>
          <t>2018-03-11</t>
        </is>
      </c>
      <c r="C3161" t="inlineStr">
        <is>
          <t>2018-03</t>
        </is>
      </c>
      <c r="D3161" t="inlineStr">
        <is>
          <t>MG</t>
        </is>
      </c>
      <c r="E3161" t="inlineStr">
        <is>
          <t>sports_leisure</t>
        </is>
      </c>
      <c r="F3161" t="n">
        <v>1</v>
      </c>
      <c r="G3161" t="n">
        <v>109.95</v>
      </c>
      <c r="H3161" t="n">
        <v>14.85</v>
      </c>
      <c r="I3161" t="inlineStr">
        <is>
          <t>credit_card</t>
        </is>
      </c>
      <c r="J3161" t="n">
        <v>8</v>
      </c>
      <c r="K3161" t="inlineStr">
        <is>
          <t>On Time</t>
        </is>
      </c>
      <c r="L3161" t="n">
        <v>5</v>
      </c>
      <c r="M3161">
        <f>VLOOKUP(D3161,State_Lookup!$A$2:$B$28,2,FALSE)</f>
        <v/>
      </c>
    </row>
    <row r="3162">
      <c r="A3162" t="inlineStr">
        <is>
          <t>0f9cc7808799d149c260814488be8e26</t>
        </is>
      </c>
      <c r="B3162" t="inlineStr">
        <is>
          <t>2018-03-11</t>
        </is>
      </c>
      <c r="C3162" t="inlineStr">
        <is>
          <t>2018-03</t>
        </is>
      </c>
      <c r="D3162" t="inlineStr">
        <is>
          <t>PR</t>
        </is>
      </c>
      <c r="E3162" t="inlineStr">
        <is>
          <t>sports_leisure</t>
        </is>
      </c>
      <c r="F3162" t="n">
        <v>1</v>
      </c>
      <c r="G3162" t="n">
        <v>49.9</v>
      </c>
      <c r="H3162" t="n">
        <v>18.23</v>
      </c>
      <c r="I3162" t="inlineStr">
        <is>
          <t>credit_card</t>
        </is>
      </c>
      <c r="J3162" t="n">
        <v>9</v>
      </c>
      <c r="K3162" t="inlineStr">
        <is>
          <t>On Time</t>
        </is>
      </c>
      <c r="L3162" t="n">
        <v>2</v>
      </c>
      <c r="M3162">
        <f>VLOOKUP(D3162,State_Lookup!$A$2:$B$28,2,FALSE)</f>
        <v/>
      </c>
    </row>
    <row r="3163">
      <c r="A3163" t="inlineStr">
        <is>
          <t>8acf6bb5ec0d534f95eb4048e9270f6e</t>
        </is>
      </c>
      <c r="B3163" t="inlineStr">
        <is>
          <t>2018-03-11</t>
        </is>
      </c>
      <c r="C3163" t="inlineStr">
        <is>
          <t>2018-03</t>
        </is>
      </c>
      <c r="D3163" t="inlineStr">
        <is>
          <t>SP</t>
        </is>
      </c>
      <c r="E3163" t="inlineStr">
        <is>
          <t>furniture_decor</t>
        </is>
      </c>
      <c r="F3163" t="n">
        <v>1</v>
      </c>
      <c r="G3163" t="n">
        <v>197.5</v>
      </c>
      <c r="H3163" t="n">
        <v>20.35</v>
      </c>
      <c r="I3163" t="inlineStr">
        <is>
          <t>credit_card</t>
        </is>
      </c>
      <c r="J3163" t="n">
        <v>4</v>
      </c>
      <c r="K3163" t="inlineStr">
        <is>
          <t>On Time</t>
        </is>
      </c>
      <c r="L3163" t="n">
        <v>5</v>
      </c>
      <c r="M3163">
        <f>VLOOKUP(D3163,State_Lookup!$A$2:$B$28,2,FALSE)</f>
        <v/>
      </c>
    </row>
    <row r="3164">
      <c r="A3164" t="inlineStr">
        <is>
          <t>26844c5a3b10d4ae5366ac6bfc55680a</t>
        </is>
      </c>
      <c r="B3164" t="inlineStr">
        <is>
          <t>2018-03-11</t>
        </is>
      </c>
      <c r="C3164" t="inlineStr">
        <is>
          <t>2018-03</t>
        </is>
      </c>
      <c r="D3164" t="inlineStr">
        <is>
          <t>SP</t>
        </is>
      </c>
      <c r="E3164" t="inlineStr">
        <is>
          <t>sports_leisure</t>
        </is>
      </c>
      <c r="F3164" t="n">
        <v>1</v>
      </c>
      <c r="G3164" t="n">
        <v>28</v>
      </c>
      <c r="H3164" t="n">
        <v>12.79</v>
      </c>
      <c r="I3164" t="inlineStr">
        <is>
          <t>credit_card</t>
        </is>
      </c>
      <c r="J3164" t="n">
        <v>26</v>
      </c>
      <c r="K3164" t="inlineStr">
        <is>
          <t>Late</t>
        </is>
      </c>
      <c r="L3164" t="n">
        <v>3</v>
      </c>
      <c r="M3164">
        <f>VLOOKUP(D3164,State_Lookup!$A$2:$B$28,2,FALSE)</f>
        <v/>
      </c>
    </row>
    <row r="3165">
      <c r="A3165" t="inlineStr">
        <is>
          <t>21f596bcb5e3700e518ed8ac55bb2766</t>
        </is>
      </c>
      <c r="B3165" t="inlineStr">
        <is>
          <t>2018-03-11</t>
        </is>
      </c>
      <c r="C3165" t="inlineStr">
        <is>
          <t>2018-03</t>
        </is>
      </c>
      <c r="D3165" t="inlineStr">
        <is>
          <t>PR</t>
        </is>
      </c>
      <c r="E3165" t="inlineStr">
        <is>
          <t>sports_leisure</t>
        </is>
      </c>
      <c r="F3165" t="n">
        <v>1</v>
      </c>
      <c r="G3165" t="n">
        <v>45</v>
      </c>
      <c r="H3165" t="n">
        <v>13.61</v>
      </c>
      <c r="I3165" t="inlineStr">
        <is>
          <t>credit_card</t>
        </is>
      </c>
      <c r="J3165" t="n">
        <v>9</v>
      </c>
      <c r="K3165" t="inlineStr">
        <is>
          <t>On Time</t>
        </is>
      </c>
      <c r="L3165" t="n">
        <v>4</v>
      </c>
      <c r="M3165">
        <f>VLOOKUP(D3165,State_Lookup!$A$2:$B$28,2,FALSE)</f>
        <v/>
      </c>
    </row>
    <row r="3166">
      <c r="A3166" t="inlineStr">
        <is>
          <t>973ca2839f11804b5118ce7368f188a3</t>
        </is>
      </c>
      <c r="B3166" t="inlineStr">
        <is>
          <t>2018-03-11</t>
        </is>
      </c>
      <c r="C3166" t="inlineStr">
        <is>
          <t>2018-03</t>
        </is>
      </c>
      <c r="D3166" t="inlineStr">
        <is>
          <t>RS</t>
        </is>
      </c>
      <c r="E3166" t="inlineStr">
        <is>
          <t>sports_leisure</t>
        </is>
      </c>
      <c r="F3166" t="n">
        <v>1</v>
      </c>
      <c r="G3166" t="n">
        <v>389</v>
      </c>
      <c r="H3166" t="n">
        <v>55.25</v>
      </c>
      <c r="I3166" t="inlineStr">
        <is>
          <t>credit_card</t>
        </is>
      </c>
      <c r="J3166" t="n">
        <v>30</v>
      </c>
      <c r="K3166" t="inlineStr">
        <is>
          <t>Late</t>
        </is>
      </c>
      <c r="L3166" t="n">
        <v>3</v>
      </c>
      <c r="M3166">
        <f>VLOOKUP(D3166,State_Lookup!$A$2:$B$28,2,FALSE)</f>
        <v/>
      </c>
    </row>
    <row r="3167">
      <c r="A3167" t="inlineStr">
        <is>
          <t>8ef3801f58da6b652a3082e1fa5b6589</t>
        </is>
      </c>
      <c r="B3167" t="inlineStr">
        <is>
          <t>2018-03-11</t>
        </is>
      </c>
      <c r="C3167" t="inlineStr">
        <is>
          <t>2018-03</t>
        </is>
      </c>
      <c r="D3167" t="inlineStr">
        <is>
          <t>SP</t>
        </is>
      </c>
      <c r="E3167" t="inlineStr">
        <is>
          <t>pet_shop</t>
        </is>
      </c>
      <c r="F3167" t="n">
        <v>1</v>
      </c>
      <c r="G3167" t="n">
        <v>115.9</v>
      </c>
      <c r="H3167" t="n">
        <v>13.25</v>
      </c>
      <c r="I3167" t="inlineStr">
        <is>
          <t>credit_card</t>
        </is>
      </c>
      <c r="J3167" t="n">
        <v>8</v>
      </c>
      <c r="K3167" t="inlineStr">
        <is>
          <t>On Time</t>
        </is>
      </c>
      <c r="L3167" t="n">
        <v>4</v>
      </c>
      <c r="M3167">
        <f>VLOOKUP(D3167,State_Lookup!$A$2:$B$28,2,FALSE)</f>
        <v/>
      </c>
    </row>
    <row r="3168">
      <c r="A3168" t="inlineStr">
        <is>
          <t>b456629690b371c6797ae5ff45d343b6</t>
        </is>
      </c>
      <c r="B3168" t="inlineStr">
        <is>
          <t>2018-03-12</t>
        </is>
      </c>
      <c r="C3168" t="inlineStr">
        <is>
          <t>2018-03</t>
        </is>
      </c>
      <c r="D3168" t="inlineStr">
        <is>
          <t>SP</t>
        </is>
      </c>
      <c r="E3168" t="inlineStr">
        <is>
          <t>telephony</t>
        </is>
      </c>
      <c r="F3168" t="n">
        <v>1</v>
      </c>
      <c r="G3168" t="n">
        <v>29.99</v>
      </c>
      <c r="H3168" t="n">
        <v>7.39</v>
      </c>
      <c r="I3168" t="inlineStr">
        <is>
          <t>credit_card</t>
        </is>
      </c>
      <c r="J3168" t="n">
        <v>4</v>
      </c>
      <c r="K3168" t="inlineStr">
        <is>
          <t>On Time</t>
        </is>
      </c>
      <c r="L3168" t="n">
        <v>4</v>
      </c>
      <c r="M3168">
        <f>VLOOKUP(D3168,State_Lookup!$A$2:$B$28,2,FALSE)</f>
        <v/>
      </c>
    </row>
    <row r="3169">
      <c r="A3169" t="inlineStr">
        <is>
          <t>b001d1893d61b0d3b035e0a05253eb43</t>
        </is>
      </c>
      <c r="B3169" t="inlineStr">
        <is>
          <t>2018-03-12</t>
        </is>
      </c>
      <c r="C3169" t="inlineStr">
        <is>
          <t>2018-03</t>
        </is>
      </c>
      <c r="D3169" t="inlineStr">
        <is>
          <t>MG</t>
        </is>
      </c>
      <c r="E3169" t="inlineStr">
        <is>
          <t>furniture_decor</t>
        </is>
      </c>
      <c r="F3169" t="n">
        <v>1</v>
      </c>
      <c r="G3169" t="n">
        <v>119.9</v>
      </c>
      <c r="H3169" t="n">
        <v>20.99</v>
      </c>
      <c r="I3169" t="inlineStr">
        <is>
          <t>credit_card</t>
        </is>
      </c>
      <c r="J3169" t="n">
        <v>30</v>
      </c>
      <c r="K3169" t="inlineStr">
        <is>
          <t>On Time</t>
        </is>
      </c>
      <c r="L3169" t="n">
        <v>4</v>
      </c>
      <c r="M3169">
        <f>VLOOKUP(D3169,State_Lookup!$A$2:$B$28,2,FALSE)</f>
        <v/>
      </c>
    </row>
    <row r="3170">
      <c r="A3170" t="inlineStr">
        <is>
          <t>45e5d1e609ed1cbc67ab89e5f817849c</t>
        </is>
      </c>
      <c r="B3170" t="inlineStr">
        <is>
          <t>2018-03-12</t>
        </is>
      </c>
      <c r="C3170" t="inlineStr">
        <is>
          <t>2018-03</t>
        </is>
      </c>
      <c r="D3170" t="inlineStr">
        <is>
          <t>SP</t>
        </is>
      </c>
      <c r="E3170" t="inlineStr">
        <is>
          <t>health_beauty</t>
        </is>
      </c>
      <c r="F3170" t="n">
        <v>1</v>
      </c>
      <c r="G3170" t="n">
        <v>503.34</v>
      </c>
      <c r="H3170" t="n">
        <v>24.88</v>
      </c>
      <c r="I3170" t="inlineStr">
        <is>
          <t>credit_card</t>
        </is>
      </c>
      <c r="J3170" t="n">
        <v>5</v>
      </c>
      <c r="K3170" t="inlineStr">
        <is>
          <t>On Time</t>
        </is>
      </c>
      <c r="L3170" t="n">
        <v>5</v>
      </c>
      <c r="M3170">
        <f>VLOOKUP(D3170,State_Lookup!$A$2:$B$28,2,FALSE)</f>
        <v/>
      </c>
    </row>
    <row r="3171">
      <c r="A3171" t="inlineStr">
        <is>
          <t>a92c33e0fb8e030045104ef9853b1d7c</t>
        </is>
      </c>
      <c r="B3171" t="inlineStr">
        <is>
          <t>2018-03-12</t>
        </is>
      </c>
      <c r="C3171" t="inlineStr">
        <is>
          <t>2018-03</t>
        </is>
      </c>
      <c r="D3171" t="inlineStr">
        <is>
          <t>SP</t>
        </is>
      </c>
      <c r="E3171" t="inlineStr">
        <is>
          <t>sports_leisure</t>
        </is>
      </c>
      <c r="F3171" t="n">
        <v>1</v>
      </c>
      <c r="G3171" t="n">
        <v>119.9</v>
      </c>
      <c r="H3171" t="n">
        <v>20.18</v>
      </c>
      <c r="I3171" t="inlineStr">
        <is>
          <t>boleto</t>
        </is>
      </c>
      <c r="J3171" t="n">
        <v>7</v>
      </c>
      <c r="K3171" t="inlineStr">
        <is>
          <t>On Time</t>
        </is>
      </c>
      <c r="L3171" t="n">
        <v>5</v>
      </c>
      <c r="M3171">
        <f>VLOOKUP(D3171,State_Lookup!$A$2:$B$28,2,FALSE)</f>
        <v/>
      </c>
    </row>
    <row r="3172">
      <c r="A3172" t="inlineStr">
        <is>
          <t>b97ba48cd74f9ae244f54338636046b3</t>
        </is>
      </c>
      <c r="B3172" t="inlineStr">
        <is>
          <t>2018-03-12</t>
        </is>
      </c>
      <c r="C3172" t="inlineStr">
        <is>
          <t>2018-03</t>
        </is>
      </c>
      <c r="D3172" t="inlineStr">
        <is>
          <t>RJ</t>
        </is>
      </c>
      <c r="E3172" t="inlineStr">
        <is>
          <t>toys</t>
        </is>
      </c>
      <c r="F3172" t="n">
        <v>1</v>
      </c>
      <c r="G3172" t="n">
        <v>59.9</v>
      </c>
      <c r="H3172" t="n">
        <v>18.3</v>
      </c>
      <c r="I3172" t="inlineStr">
        <is>
          <t>credit_card</t>
        </is>
      </c>
      <c r="J3172" t="n">
        <v>43</v>
      </c>
      <c r="K3172" t="inlineStr">
        <is>
          <t>Late</t>
        </is>
      </c>
      <c r="L3172" t="inlineStr"/>
      <c r="M3172">
        <f>VLOOKUP(D3172,State_Lookup!$A$2:$B$28,2,FALSE)</f>
        <v/>
      </c>
    </row>
    <row r="3173">
      <c r="A3173" t="inlineStr">
        <is>
          <t>329e18d5b045ab9481f0cfda10bece3a</t>
        </is>
      </c>
      <c r="B3173" t="inlineStr">
        <is>
          <t>2018-03-12</t>
        </is>
      </c>
      <c r="C3173" t="inlineStr">
        <is>
          <t>2018-03</t>
        </is>
      </c>
      <c r="D3173" t="inlineStr">
        <is>
          <t>RJ</t>
        </is>
      </c>
      <c r="E3173" t="inlineStr">
        <is>
          <t>furniture_living_room</t>
        </is>
      </c>
      <c r="F3173" t="n">
        <v>1</v>
      </c>
      <c r="G3173" t="n">
        <v>179.9</v>
      </c>
      <c r="H3173" t="n">
        <v>36.39</v>
      </c>
      <c r="I3173" t="inlineStr">
        <is>
          <t>credit_card</t>
        </is>
      </c>
      <c r="J3173" t="n">
        <v>8</v>
      </c>
      <c r="K3173" t="inlineStr">
        <is>
          <t>On Time</t>
        </is>
      </c>
      <c r="L3173" t="n">
        <v>5</v>
      </c>
      <c r="M3173">
        <f>VLOOKUP(D3173,State_Lookup!$A$2:$B$28,2,FALSE)</f>
        <v/>
      </c>
    </row>
    <row r="3174">
      <c r="A3174" t="inlineStr">
        <is>
          <t>773f515d33d86f596ef646f6864670c0</t>
        </is>
      </c>
      <c r="B3174" t="inlineStr">
        <is>
          <t>2018-03-12</t>
        </is>
      </c>
      <c r="C3174" t="inlineStr">
        <is>
          <t>2018-03</t>
        </is>
      </c>
      <c r="D3174" t="inlineStr">
        <is>
          <t>MS</t>
        </is>
      </c>
      <c r="E3174" t="inlineStr">
        <is>
          <t>watches_gifts</t>
        </is>
      </c>
      <c r="F3174" t="n">
        <v>1</v>
      </c>
      <c r="G3174" t="n">
        <v>194.9</v>
      </c>
      <c r="H3174" t="n">
        <v>19.24</v>
      </c>
      <c r="I3174" t="inlineStr">
        <is>
          <t>credit_card</t>
        </is>
      </c>
      <c r="J3174" t="n">
        <v>29</v>
      </c>
      <c r="K3174" t="inlineStr">
        <is>
          <t>Late</t>
        </is>
      </c>
      <c r="L3174" t="n">
        <v>1</v>
      </c>
      <c r="M3174">
        <f>VLOOKUP(D3174,State_Lookup!$A$2:$B$28,2,FALSE)</f>
        <v/>
      </c>
    </row>
    <row r="3175">
      <c r="A3175" t="inlineStr">
        <is>
          <t>b85cdbd154ac1e60a0e2228705294c54</t>
        </is>
      </c>
      <c r="B3175" t="inlineStr">
        <is>
          <t>2018-03-12</t>
        </is>
      </c>
      <c r="C3175" t="inlineStr">
        <is>
          <t>2018-03</t>
        </is>
      </c>
      <c r="D3175" t="inlineStr">
        <is>
          <t>SP</t>
        </is>
      </c>
      <c r="E3175" t="inlineStr">
        <is>
          <t>electronics</t>
        </is>
      </c>
      <c r="F3175" t="n">
        <v>1</v>
      </c>
      <c r="G3175" t="n">
        <v>12.25</v>
      </c>
      <c r="H3175" t="n">
        <v>7.39</v>
      </c>
      <c r="I3175" t="inlineStr">
        <is>
          <t>credit_card</t>
        </is>
      </c>
      <c r="J3175" t="n">
        <v>2</v>
      </c>
      <c r="K3175" t="inlineStr">
        <is>
          <t>On Time</t>
        </is>
      </c>
      <c r="L3175" t="n">
        <v>5</v>
      </c>
      <c r="M3175">
        <f>VLOOKUP(D3175,State_Lookup!$A$2:$B$28,2,FALSE)</f>
        <v/>
      </c>
    </row>
    <row r="3176">
      <c r="A3176" t="inlineStr">
        <is>
          <t>e0a50ed7a5ce30e34da29ca222748a5c</t>
        </is>
      </c>
      <c r="B3176" t="inlineStr">
        <is>
          <t>2018-03-12</t>
        </is>
      </c>
      <c r="C3176" t="inlineStr">
        <is>
          <t>2018-03</t>
        </is>
      </c>
      <c r="D3176" t="inlineStr">
        <is>
          <t>SP</t>
        </is>
      </c>
      <c r="E3176" t="inlineStr">
        <is>
          <t>pet_shop</t>
        </is>
      </c>
      <c r="F3176" t="n">
        <v>1</v>
      </c>
      <c r="G3176" t="n">
        <v>32.9</v>
      </c>
      <c r="H3176" t="n">
        <v>14.44</v>
      </c>
      <c r="I3176" t="inlineStr">
        <is>
          <t>credit_card</t>
        </is>
      </c>
      <c r="J3176" t="n">
        <v>22</v>
      </c>
      <c r="K3176" t="inlineStr">
        <is>
          <t>Late</t>
        </is>
      </c>
      <c r="L3176" t="n">
        <v>1</v>
      </c>
      <c r="M3176">
        <f>VLOOKUP(D3176,State_Lookup!$A$2:$B$28,2,FALSE)</f>
        <v/>
      </c>
    </row>
    <row r="3177">
      <c r="A3177" t="inlineStr">
        <is>
          <t>32c49c2531dd2c94af0c74906c13abcd</t>
        </is>
      </c>
      <c r="B3177" t="inlineStr">
        <is>
          <t>2018-03-12</t>
        </is>
      </c>
      <c r="C3177" t="inlineStr">
        <is>
          <t>2018-03</t>
        </is>
      </c>
      <c r="D3177" t="inlineStr">
        <is>
          <t>MG</t>
        </is>
      </c>
      <c r="E3177" t="inlineStr">
        <is>
          <t>computers_accessories</t>
        </is>
      </c>
      <c r="F3177" t="n">
        <v>1</v>
      </c>
      <c r="G3177" t="n">
        <v>95</v>
      </c>
      <c r="H3177" t="n">
        <v>22.38</v>
      </c>
      <c r="I3177" t="inlineStr">
        <is>
          <t>credit_card</t>
        </is>
      </c>
      <c r="J3177" t="n">
        <v>27</v>
      </c>
      <c r="K3177" t="inlineStr">
        <is>
          <t>On Time</t>
        </is>
      </c>
      <c r="L3177" t="n">
        <v>2</v>
      </c>
      <c r="M3177">
        <f>VLOOKUP(D3177,State_Lookup!$A$2:$B$28,2,FALSE)</f>
        <v/>
      </c>
    </row>
    <row r="3178">
      <c r="A3178" t="inlineStr">
        <is>
          <t>660cb47a0b4b671c86901a47f7dbc91c</t>
        </is>
      </c>
      <c r="B3178" t="inlineStr">
        <is>
          <t>2018-03-12</t>
        </is>
      </c>
      <c r="C3178" t="inlineStr">
        <is>
          <t>2018-03</t>
        </is>
      </c>
      <c r="D3178" t="inlineStr">
        <is>
          <t>MG</t>
        </is>
      </c>
      <c r="E3178" t="inlineStr">
        <is>
          <t>watches_gifts</t>
        </is>
      </c>
      <c r="F3178" t="n">
        <v>1</v>
      </c>
      <c r="G3178" t="n">
        <v>179</v>
      </c>
      <c r="H3178" t="n">
        <v>19.13</v>
      </c>
      <c r="I3178" t="inlineStr">
        <is>
          <t>credit_card</t>
        </is>
      </c>
      <c r="J3178" t="n">
        <v>16</v>
      </c>
      <c r="K3178" t="inlineStr">
        <is>
          <t>On Time</t>
        </is>
      </c>
      <c r="L3178" t="n">
        <v>5</v>
      </c>
      <c r="M3178">
        <f>VLOOKUP(D3178,State_Lookup!$A$2:$B$28,2,FALSE)</f>
        <v/>
      </c>
    </row>
    <row r="3179">
      <c r="A3179" t="inlineStr">
        <is>
          <t>3cb3f6f3260322db164ba9b44b6a07af</t>
        </is>
      </c>
      <c r="B3179" t="inlineStr">
        <is>
          <t>2018-03-12</t>
        </is>
      </c>
      <c r="C3179" t="inlineStr">
        <is>
          <t>2018-03</t>
        </is>
      </c>
      <c r="D3179" t="inlineStr">
        <is>
          <t>BA</t>
        </is>
      </c>
      <c r="E3179" t="inlineStr">
        <is>
          <t>bed_bath_table</t>
        </is>
      </c>
      <c r="F3179" t="n">
        <v>1</v>
      </c>
      <c r="G3179" t="n">
        <v>122.9</v>
      </c>
      <c r="H3179" t="n">
        <v>23.79</v>
      </c>
      <c r="I3179" t="inlineStr">
        <is>
          <t>credit_card</t>
        </is>
      </c>
      <c r="J3179" t="n">
        <v>37</v>
      </c>
      <c r="K3179" t="inlineStr">
        <is>
          <t>Late</t>
        </is>
      </c>
      <c r="L3179" t="n">
        <v>1</v>
      </c>
      <c r="M3179">
        <f>VLOOKUP(D3179,State_Lookup!$A$2:$B$28,2,FALSE)</f>
        <v/>
      </c>
    </row>
    <row r="3180">
      <c r="A3180" t="inlineStr">
        <is>
          <t>3e1a73eb054c586cb259149ffdfd13ba</t>
        </is>
      </c>
      <c r="B3180" t="inlineStr">
        <is>
          <t>2018-03-12</t>
        </is>
      </c>
      <c r="C3180" t="inlineStr">
        <is>
          <t>2018-03</t>
        </is>
      </c>
      <c r="D3180" t="inlineStr">
        <is>
          <t>SP</t>
        </is>
      </c>
      <c r="E3180" t="inlineStr">
        <is>
          <t>fashion_bags_accessories</t>
        </is>
      </c>
      <c r="F3180" t="n">
        <v>2</v>
      </c>
      <c r="G3180" t="n">
        <v>75.8</v>
      </c>
      <c r="H3180" t="n">
        <v>17.76</v>
      </c>
      <c r="I3180" t="inlineStr">
        <is>
          <t>credit_card</t>
        </is>
      </c>
      <c r="J3180" t="n">
        <v>2</v>
      </c>
      <c r="K3180" t="inlineStr">
        <is>
          <t>On Time</t>
        </is>
      </c>
      <c r="L3180" t="n">
        <v>5</v>
      </c>
      <c r="M3180">
        <f>VLOOKUP(D3180,State_Lookup!$A$2:$B$28,2,FALSE)</f>
        <v/>
      </c>
    </row>
    <row r="3181">
      <c r="A3181" t="inlineStr">
        <is>
          <t>f0fd20d755f9483ae15892625f3e603d</t>
        </is>
      </c>
      <c r="B3181" t="inlineStr">
        <is>
          <t>2018-03-12</t>
        </is>
      </c>
      <c r="C3181" t="inlineStr">
        <is>
          <t>2018-03</t>
        </is>
      </c>
      <c r="D3181" t="inlineStr">
        <is>
          <t>SP</t>
        </is>
      </c>
      <c r="E3181" t="inlineStr">
        <is>
          <t>housewares</t>
        </is>
      </c>
      <c r="F3181" t="n">
        <v>1</v>
      </c>
      <c r="G3181" t="n">
        <v>89.90000000000001</v>
      </c>
      <c r="H3181" t="n">
        <v>7.49</v>
      </c>
      <c r="I3181" t="inlineStr">
        <is>
          <t>credit_card</t>
        </is>
      </c>
      <c r="J3181" t="n">
        <v>6</v>
      </c>
      <c r="K3181" t="inlineStr">
        <is>
          <t>On Time</t>
        </is>
      </c>
      <c r="L3181" t="n">
        <v>5</v>
      </c>
      <c r="M3181">
        <f>VLOOKUP(D3181,State_Lookup!$A$2:$B$28,2,FALSE)</f>
        <v/>
      </c>
    </row>
    <row r="3182">
      <c r="A3182" t="inlineStr">
        <is>
          <t>bdeeea2fc303da3546a2ed06740d57f9</t>
        </is>
      </c>
      <c r="B3182" t="inlineStr">
        <is>
          <t>2018-03-13</t>
        </is>
      </c>
      <c r="C3182" t="inlineStr">
        <is>
          <t>2018-03</t>
        </is>
      </c>
      <c r="D3182" t="inlineStr">
        <is>
          <t>RJ</t>
        </is>
      </c>
      <c r="E3182" t="inlineStr">
        <is>
          <t>bed_bath_table</t>
        </is>
      </c>
      <c r="F3182" t="n">
        <v>2</v>
      </c>
      <c r="G3182" t="n">
        <v>200</v>
      </c>
      <c r="H3182" t="n">
        <v>33.93</v>
      </c>
      <c r="I3182" t="inlineStr">
        <is>
          <t>credit_card</t>
        </is>
      </c>
      <c r="J3182" t="n">
        <v>21</v>
      </c>
      <c r="K3182" t="inlineStr">
        <is>
          <t>On Time</t>
        </is>
      </c>
      <c r="L3182" t="n">
        <v>5</v>
      </c>
      <c r="M3182">
        <f>VLOOKUP(D3182,State_Lookup!$A$2:$B$28,2,FALSE)</f>
        <v/>
      </c>
    </row>
    <row r="3183">
      <c r="A3183" t="inlineStr">
        <is>
          <t>630d50b3a0f69b6ee270ae91d0594969</t>
        </is>
      </c>
      <c r="B3183" t="inlineStr">
        <is>
          <t>2018-03-13</t>
        </is>
      </c>
      <c r="C3183" t="inlineStr">
        <is>
          <t>2018-03</t>
        </is>
      </c>
      <c r="D3183" t="inlineStr">
        <is>
          <t>GO</t>
        </is>
      </c>
      <c r="E3183" t="inlineStr">
        <is>
          <t>watches_gifts</t>
        </is>
      </c>
      <c r="F3183" t="n">
        <v>1</v>
      </c>
      <c r="G3183" t="n">
        <v>110.4</v>
      </c>
      <c r="H3183" t="n">
        <v>15.65</v>
      </c>
      <c r="I3183" t="inlineStr">
        <is>
          <t>credit_card</t>
        </is>
      </c>
      <c r="J3183" t="n">
        <v>14</v>
      </c>
      <c r="K3183" t="inlineStr">
        <is>
          <t>On Time</t>
        </is>
      </c>
      <c r="L3183" t="n">
        <v>4</v>
      </c>
      <c r="M3183">
        <f>VLOOKUP(D3183,State_Lookup!$A$2:$B$28,2,FALSE)</f>
        <v/>
      </c>
    </row>
    <row r="3184">
      <c r="A3184" t="inlineStr">
        <is>
          <t>515c252d5e8d998ccbabee187e40d8ce</t>
        </is>
      </c>
      <c r="B3184" t="inlineStr">
        <is>
          <t>2018-03-13</t>
        </is>
      </c>
      <c r="C3184" t="inlineStr">
        <is>
          <t>2018-03</t>
        </is>
      </c>
      <c r="D3184" t="inlineStr">
        <is>
          <t>RS</t>
        </is>
      </c>
      <c r="E3184" t="inlineStr">
        <is>
          <t>furniture_decor</t>
        </is>
      </c>
      <c r="F3184" t="n">
        <v>3</v>
      </c>
      <c r="G3184" t="n">
        <v>225</v>
      </c>
      <c r="H3184" t="n">
        <v>55.23</v>
      </c>
      <c r="I3184" t="inlineStr">
        <is>
          <t>credit_card</t>
        </is>
      </c>
      <c r="J3184" t="n">
        <v>21</v>
      </c>
      <c r="K3184" t="inlineStr">
        <is>
          <t>On Time</t>
        </is>
      </c>
      <c r="L3184" t="n">
        <v>3</v>
      </c>
      <c r="M3184">
        <f>VLOOKUP(D3184,State_Lookup!$A$2:$B$28,2,FALSE)</f>
        <v/>
      </c>
    </row>
    <row r="3185">
      <c r="A3185" t="inlineStr">
        <is>
          <t>0fa1fab1d7c1211c824596ed5e111e3c</t>
        </is>
      </c>
      <c r="B3185" t="inlineStr">
        <is>
          <t>2018-03-13</t>
        </is>
      </c>
      <c r="C3185" t="inlineStr">
        <is>
          <t>2018-03</t>
        </is>
      </c>
      <c r="D3185" t="inlineStr">
        <is>
          <t>SP</t>
        </is>
      </c>
      <c r="E3185" t="inlineStr">
        <is>
          <t>health_beauty</t>
        </is>
      </c>
      <c r="F3185" t="n">
        <v>1</v>
      </c>
      <c r="G3185" t="n">
        <v>249.9</v>
      </c>
      <c r="H3185" t="n">
        <v>19.63</v>
      </c>
      <c r="I3185" t="inlineStr">
        <is>
          <t>credit_card</t>
        </is>
      </c>
      <c r="J3185" t="n">
        <v>22</v>
      </c>
      <c r="K3185" t="inlineStr">
        <is>
          <t>Late</t>
        </is>
      </c>
      <c r="L3185" t="n">
        <v>1</v>
      </c>
      <c r="M3185">
        <f>VLOOKUP(D3185,State_Lookup!$A$2:$B$28,2,FALSE)</f>
        <v/>
      </c>
    </row>
    <row r="3186">
      <c r="A3186" t="inlineStr">
        <is>
          <t>3786374eb6f56d00e96bf7511002cd00</t>
        </is>
      </c>
      <c r="B3186" t="inlineStr">
        <is>
          <t>2018-03-13</t>
        </is>
      </c>
      <c r="C3186" t="inlineStr">
        <is>
          <t>2018-03</t>
        </is>
      </c>
      <c r="D3186" t="inlineStr">
        <is>
          <t>RJ</t>
        </is>
      </c>
      <c r="E3186" t="inlineStr">
        <is>
          <t>auto</t>
        </is>
      </c>
      <c r="F3186" t="n">
        <v>1</v>
      </c>
      <c r="G3186" t="n">
        <v>589</v>
      </c>
      <c r="H3186" t="n">
        <v>54.19</v>
      </c>
      <c r="I3186" t="inlineStr">
        <is>
          <t>credit_card</t>
        </is>
      </c>
      <c r="J3186" t="n">
        <v>64</v>
      </c>
      <c r="K3186" t="inlineStr">
        <is>
          <t>Late</t>
        </is>
      </c>
      <c r="L3186" t="inlineStr"/>
      <c r="M3186">
        <f>VLOOKUP(D3186,State_Lookup!$A$2:$B$28,2,FALSE)</f>
        <v/>
      </c>
    </row>
    <row r="3187">
      <c r="A3187" t="inlineStr">
        <is>
          <t>84b9c4e0d6fa518c27bacb0b602b028c</t>
        </is>
      </c>
      <c r="B3187" t="inlineStr">
        <is>
          <t>2018-03-13</t>
        </is>
      </c>
      <c r="C3187" t="inlineStr">
        <is>
          <t>2018-03</t>
        </is>
      </c>
      <c r="D3187" t="inlineStr">
        <is>
          <t>BA</t>
        </is>
      </c>
      <c r="E3187" t="inlineStr">
        <is>
          <t>cool_stuff</t>
        </is>
      </c>
      <c r="F3187" t="n">
        <v>1</v>
      </c>
      <c r="G3187" t="n">
        <v>99.98999999999999</v>
      </c>
      <c r="H3187" t="n">
        <v>27.43</v>
      </c>
      <c r="I3187" t="inlineStr">
        <is>
          <t>boleto</t>
        </is>
      </c>
      <c r="J3187" t="n">
        <v>31</v>
      </c>
      <c r="K3187" t="inlineStr">
        <is>
          <t>Late</t>
        </is>
      </c>
      <c r="L3187" t="n">
        <v>3</v>
      </c>
      <c r="M3187">
        <f>VLOOKUP(D3187,State_Lookup!$A$2:$B$28,2,FALSE)</f>
        <v/>
      </c>
    </row>
    <row r="3188">
      <c r="A3188" t="inlineStr">
        <is>
          <t>e3306fba117e962347dff8dfd6887ca3</t>
        </is>
      </c>
      <c r="B3188" t="inlineStr">
        <is>
          <t>2018-03-13</t>
        </is>
      </c>
      <c r="C3188" t="inlineStr">
        <is>
          <t>2018-03</t>
        </is>
      </c>
      <c r="D3188" t="inlineStr">
        <is>
          <t>RJ</t>
        </is>
      </c>
      <c r="E3188" t="inlineStr">
        <is>
          <t>housewares</t>
        </is>
      </c>
      <c r="F3188" t="n">
        <v>1</v>
      </c>
      <c r="G3188" t="n">
        <v>180</v>
      </c>
      <c r="H3188" t="n">
        <v>57.52</v>
      </c>
      <c r="I3188" t="inlineStr">
        <is>
          <t>credit_card</t>
        </is>
      </c>
      <c r="J3188" t="n">
        <v>9</v>
      </c>
      <c r="K3188" t="inlineStr">
        <is>
          <t>On Time</t>
        </is>
      </c>
      <c r="L3188" t="n">
        <v>4</v>
      </c>
      <c r="M3188">
        <f>VLOOKUP(D3188,State_Lookup!$A$2:$B$28,2,FALSE)</f>
        <v/>
      </c>
    </row>
    <row r="3189">
      <c r="A3189" t="inlineStr">
        <is>
          <t>4d7d8049db0c317e48f8e971de737dac</t>
        </is>
      </c>
      <c r="B3189" t="inlineStr">
        <is>
          <t>2018-03-13</t>
        </is>
      </c>
      <c r="C3189" t="inlineStr">
        <is>
          <t>2018-03</t>
        </is>
      </c>
      <c r="D3189" t="inlineStr">
        <is>
          <t>SP</t>
        </is>
      </c>
      <c r="E3189" t="inlineStr">
        <is>
          <t>perfumery</t>
        </is>
      </c>
      <c r="F3189" t="n">
        <v>1</v>
      </c>
      <c r="G3189" t="n">
        <v>199</v>
      </c>
      <c r="H3189" t="n">
        <v>14.75</v>
      </c>
      <c r="I3189" t="inlineStr">
        <is>
          <t>credit_card</t>
        </is>
      </c>
      <c r="J3189" t="n">
        <v>6</v>
      </c>
      <c r="K3189" t="inlineStr">
        <is>
          <t>On Time</t>
        </is>
      </c>
      <c r="L3189" t="n">
        <v>4</v>
      </c>
      <c r="M3189">
        <f>VLOOKUP(D3189,State_Lookup!$A$2:$B$28,2,FALSE)</f>
        <v/>
      </c>
    </row>
    <row r="3190">
      <c r="A3190" t="inlineStr">
        <is>
          <t>8796f3e2ab6a3baee74225a78c550c0a</t>
        </is>
      </c>
      <c r="B3190" t="inlineStr">
        <is>
          <t>2018-03-13</t>
        </is>
      </c>
      <c r="C3190" t="inlineStr">
        <is>
          <t>2018-03</t>
        </is>
      </c>
      <c r="D3190" t="inlineStr">
        <is>
          <t>SP</t>
        </is>
      </c>
      <c r="E3190" t="inlineStr">
        <is>
          <t>housewares</t>
        </is>
      </c>
      <c r="F3190" t="n">
        <v>2</v>
      </c>
      <c r="G3190" t="n">
        <v>176</v>
      </c>
      <c r="H3190" t="n">
        <v>36.4</v>
      </c>
      <c r="I3190" t="inlineStr">
        <is>
          <t>boleto</t>
        </is>
      </c>
      <c r="J3190" t="n">
        <v>24</v>
      </c>
      <c r="K3190" t="inlineStr">
        <is>
          <t>On Time</t>
        </is>
      </c>
      <c r="L3190" t="n">
        <v>2</v>
      </c>
      <c r="M3190">
        <f>VLOOKUP(D3190,State_Lookup!$A$2:$B$28,2,FALSE)</f>
        <v/>
      </c>
    </row>
    <row r="3191">
      <c r="A3191" t="inlineStr">
        <is>
          <t>0fb3b7bbfc3693b115aa62a83fad2714</t>
        </is>
      </c>
      <c r="B3191" t="inlineStr">
        <is>
          <t>2018-03-13</t>
        </is>
      </c>
      <c r="C3191" t="inlineStr">
        <is>
          <t>2018-03</t>
        </is>
      </c>
      <c r="D3191" t="inlineStr">
        <is>
          <t>SP</t>
        </is>
      </c>
      <c r="E3191" t="inlineStr">
        <is>
          <t>construction_tools_construction</t>
        </is>
      </c>
      <c r="F3191" t="n">
        <v>2</v>
      </c>
      <c r="G3191" t="n">
        <v>599.8</v>
      </c>
      <c r="H3191" t="n">
        <v>56.36</v>
      </c>
      <c r="I3191" t="inlineStr">
        <is>
          <t>credit_card</t>
        </is>
      </c>
      <c r="J3191" t="inlineStr"/>
      <c r="K3191" t="inlineStr">
        <is>
          <t>Not Delivered</t>
        </is>
      </c>
      <c r="L3191" t="n">
        <v>1</v>
      </c>
      <c r="M3191">
        <f>VLOOKUP(D3191,State_Lookup!$A$2:$B$28,2,FALSE)</f>
        <v/>
      </c>
    </row>
    <row r="3192">
      <c r="A3192" t="inlineStr">
        <is>
          <t>0ec73995908cf00519d1da725119d114</t>
        </is>
      </c>
      <c r="B3192" t="inlineStr">
        <is>
          <t>2018-03-13</t>
        </is>
      </c>
      <c r="C3192" t="inlineStr">
        <is>
          <t>2018-03</t>
        </is>
      </c>
      <c r="D3192" t="inlineStr">
        <is>
          <t>RS</t>
        </is>
      </c>
      <c r="E3192" t="inlineStr">
        <is>
          <t>furniture_decor</t>
        </is>
      </c>
      <c r="F3192" t="n">
        <v>1</v>
      </c>
      <c r="G3192" t="n">
        <v>790</v>
      </c>
      <c r="H3192" t="n">
        <v>52.8</v>
      </c>
      <c r="I3192" t="inlineStr">
        <is>
          <t>credit_card</t>
        </is>
      </c>
      <c r="J3192" t="n">
        <v>12</v>
      </c>
      <c r="K3192" t="inlineStr">
        <is>
          <t>On Time</t>
        </is>
      </c>
      <c r="L3192" t="n">
        <v>5</v>
      </c>
      <c r="M3192">
        <f>VLOOKUP(D3192,State_Lookup!$A$2:$B$28,2,FALSE)</f>
        <v/>
      </c>
    </row>
    <row r="3193">
      <c r="A3193" t="inlineStr">
        <is>
          <t>183e1cca7e6e1aa97b65598a1b2fe6ea</t>
        </is>
      </c>
      <c r="B3193" t="inlineStr">
        <is>
          <t>2018-03-14</t>
        </is>
      </c>
      <c r="C3193" t="inlineStr">
        <is>
          <t>2018-03</t>
        </is>
      </c>
      <c r="D3193" t="inlineStr">
        <is>
          <t>MG</t>
        </is>
      </c>
      <c r="E3193" t="inlineStr">
        <is>
          <t>baby</t>
        </is>
      </c>
      <c r="F3193" t="n">
        <v>1</v>
      </c>
      <c r="G3193" t="n">
        <v>39.99</v>
      </c>
      <c r="H3193" t="n">
        <v>17.06</v>
      </c>
      <c r="I3193" t="inlineStr">
        <is>
          <t>boleto</t>
        </is>
      </c>
      <c r="J3193" t="n">
        <v>12</v>
      </c>
      <c r="K3193" t="inlineStr">
        <is>
          <t>On Time</t>
        </is>
      </c>
      <c r="L3193" t="n">
        <v>1</v>
      </c>
      <c r="M3193">
        <f>VLOOKUP(D3193,State_Lookup!$A$2:$B$28,2,FALSE)</f>
        <v/>
      </c>
    </row>
    <row r="3194">
      <c r="A3194" t="inlineStr">
        <is>
          <t>3181b28c176033ffaf02f2dc62b1db89</t>
        </is>
      </c>
      <c r="B3194" t="inlineStr">
        <is>
          <t>2018-03-14</t>
        </is>
      </c>
      <c r="C3194" t="inlineStr">
        <is>
          <t>2018-03</t>
        </is>
      </c>
      <c r="D3194" t="inlineStr">
        <is>
          <t>SP</t>
        </is>
      </c>
      <c r="E3194" t="inlineStr">
        <is>
          <t>computers_accessories</t>
        </is>
      </c>
      <c r="F3194" t="n">
        <v>1</v>
      </c>
      <c r="G3194" t="n">
        <v>29.99</v>
      </c>
      <c r="H3194" t="n">
        <v>7.71</v>
      </c>
      <c r="I3194" t="inlineStr">
        <is>
          <t>boleto</t>
        </is>
      </c>
      <c r="J3194" t="n">
        <v>2</v>
      </c>
      <c r="K3194" t="inlineStr">
        <is>
          <t>On Time</t>
        </is>
      </c>
      <c r="L3194" t="n">
        <v>5</v>
      </c>
      <c r="M3194">
        <f>VLOOKUP(D3194,State_Lookup!$A$2:$B$28,2,FALSE)</f>
        <v/>
      </c>
    </row>
    <row r="3195">
      <c r="A3195" t="inlineStr">
        <is>
          <t>e0b5327e615585edf5ac1051a466172d</t>
        </is>
      </c>
      <c r="B3195" t="inlineStr">
        <is>
          <t>2018-03-14</t>
        </is>
      </c>
      <c r="C3195" t="inlineStr">
        <is>
          <t>2018-03</t>
        </is>
      </c>
      <c r="D3195" t="inlineStr">
        <is>
          <t>MA</t>
        </is>
      </c>
      <c r="E3195" t="inlineStr">
        <is>
          <t>computers_accessories</t>
        </is>
      </c>
      <c r="F3195" t="n">
        <v>1</v>
      </c>
      <c r="G3195" t="n">
        <v>99</v>
      </c>
      <c r="H3195" t="n">
        <v>23.19</v>
      </c>
      <c r="I3195" t="inlineStr">
        <is>
          <t>voucher</t>
        </is>
      </c>
      <c r="J3195" t="inlineStr"/>
      <c r="K3195" t="inlineStr">
        <is>
          <t>Not Delivered</t>
        </is>
      </c>
      <c r="L3195" t="n">
        <v>3</v>
      </c>
      <c r="M3195">
        <f>VLOOKUP(D3195,State_Lookup!$A$2:$B$28,2,FALSE)</f>
        <v/>
      </c>
    </row>
    <row r="3196">
      <c r="A3196" t="inlineStr">
        <is>
          <t>a60d97427c94f3cf9e9c338ac3e9aa14</t>
        </is>
      </c>
      <c r="B3196" t="inlineStr">
        <is>
          <t>2018-03-14</t>
        </is>
      </c>
      <c r="C3196" t="inlineStr">
        <is>
          <t>2018-03</t>
        </is>
      </c>
      <c r="D3196" t="inlineStr">
        <is>
          <t>SP</t>
        </is>
      </c>
      <c r="E3196" t="inlineStr">
        <is>
          <t>bed_bath_table</t>
        </is>
      </c>
      <c r="F3196" t="n">
        <v>1</v>
      </c>
      <c r="G3196" t="n">
        <v>139.89</v>
      </c>
      <c r="H3196" t="n">
        <v>34.52</v>
      </c>
      <c r="I3196" t="inlineStr">
        <is>
          <t>boleto</t>
        </is>
      </c>
      <c r="J3196" t="n">
        <v>21</v>
      </c>
      <c r="K3196" t="inlineStr">
        <is>
          <t>On Time</t>
        </is>
      </c>
      <c r="L3196" t="n">
        <v>3</v>
      </c>
      <c r="M3196">
        <f>VLOOKUP(D3196,State_Lookup!$A$2:$B$28,2,FALSE)</f>
        <v/>
      </c>
    </row>
    <row r="3197">
      <c r="A3197" t="inlineStr">
        <is>
          <t>ced0e946ad5799158b4bebd93c91a100</t>
        </is>
      </c>
      <c r="B3197" t="inlineStr">
        <is>
          <t>2018-03-14</t>
        </is>
      </c>
      <c r="C3197" t="inlineStr">
        <is>
          <t>2018-03</t>
        </is>
      </c>
      <c r="D3197" t="inlineStr">
        <is>
          <t>SP</t>
        </is>
      </c>
      <c r="E3197" t="inlineStr">
        <is>
          <t>office_furniture</t>
        </is>
      </c>
      <c r="F3197" t="n">
        <v>1</v>
      </c>
      <c r="G3197" t="n">
        <v>149.99</v>
      </c>
      <c r="H3197" t="n">
        <v>16.92</v>
      </c>
      <c r="I3197" t="inlineStr">
        <is>
          <t>credit_card</t>
        </is>
      </c>
      <c r="J3197" t="n">
        <v>19</v>
      </c>
      <c r="K3197" t="inlineStr">
        <is>
          <t>On Time</t>
        </is>
      </c>
      <c r="L3197" t="n">
        <v>3</v>
      </c>
      <c r="M3197">
        <f>VLOOKUP(D3197,State_Lookup!$A$2:$B$28,2,FALSE)</f>
        <v/>
      </c>
    </row>
    <row r="3198">
      <c r="A3198" t="inlineStr">
        <is>
          <t>bdd49e833a618b2e10096e4bd5725977</t>
        </is>
      </c>
      <c r="B3198" t="inlineStr">
        <is>
          <t>2018-03-14</t>
        </is>
      </c>
      <c r="C3198" t="inlineStr">
        <is>
          <t>2018-03</t>
        </is>
      </c>
      <c r="D3198" t="inlineStr">
        <is>
          <t>MG</t>
        </is>
      </c>
      <c r="E3198" t="inlineStr">
        <is>
          <t>sports_leisure</t>
        </is>
      </c>
      <c r="F3198" t="n">
        <v>1</v>
      </c>
      <c r="G3198" t="n">
        <v>39.9</v>
      </c>
      <c r="H3198" t="n">
        <v>15.23</v>
      </c>
      <c r="I3198" t="inlineStr">
        <is>
          <t>boleto</t>
        </is>
      </c>
      <c r="J3198" t="n">
        <v>22</v>
      </c>
      <c r="K3198" t="inlineStr">
        <is>
          <t>Late</t>
        </is>
      </c>
      <c r="L3198" t="n">
        <v>5</v>
      </c>
      <c r="M3198">
        <f>VLOOKUP(D3198,State_Lookup!$A$2:$B$28,2,FALSE)</f>
        <v/>
      </c>
    </row>
    <row r="3199">
      <c r="A3199" t="inlineStr">
        <is>
          <t>0fee1078d20817986a6a94360d415a37</t>
        </is>
      </c>
      <c r="B3199" t="inlineStr">
        <is>
          <t>2018-03-14</t>
        </is>
      </c>
      <c r="C3199" t="inlineStr">
        <is>
          <t>2018-03</t>
        </is>
      </c>
      <c r="D3199" t="inlineStr">
        <is>
          <t>MG</t>
        </is>
      </c>
      <c r="E3199" t="inlineStr">
        <is>
          <t>housewares</t>
        </is>
      </c>
      <c r="F3199" t="n">
        <v>1</v>
      </c>
      <c r="G3199" t="n">
        <v>21</v>
      </c>
      <c r="H3199" t="n">
        <v>19.32</v>
      </c>
      <c r="I3199" t="inlineStr">
        <is>
          <t>credit_card</t>
        </is>
      </c>
      <c r="J3199" t="n">
        <v>28</v>
      </c>
      <c r="K3199" t="inlineStr">
        <is>
          <t>On Time</t>
        </is>
      </c>
      <c r="L3199" t="n">
        <v>5</v>
      </c>
      <c r="M3199">
        <f>VLOOKUP(D3199,State_Lookup!$A$2:$B$28,2,FALSE)</f>
        <v/>
      </c>
    </row>
    <row r="3200">
      <c r="A3200" t="inlineStr">
        <is>
          <t>9abd4434524a2140bc9418988f93b4c8</t>
        </is>
      </c>
      <c r="B3200" t="inlineStr">
        <is>
          <t>2018-03-14</t>
        </is>
      </c>
      <c r="C3200" t="inlineStr">
        <is>
          <t>2018-03</t>
        </is>
      </c>
      <c r="D3200" t="inlineStr">
        <is>
          <t>SP</t>
        </is>
      </c>
      <c r="E3200" t="inlineStr">
        <is>
          <t>bed_bath_table</t>
        </is>
      </c>
      <c r="F3200" t="n">
        <v>1</v>
      </c>
      <c r="G3200" t="n">
        <v>79.90000000000001</v>
      </c>
      <c r="H3200" t="n">
        <v>13.92</v>
      </c>
      <c r="I3200" t="inlineStr">
        <is>
          <t>boleto</t>
        </is>
      </c>
      <c r="J3200" t="n">
        <v>7</v>
      </c>
      <c r="K3200" t="inlineStr">
        <is>
          <t>On Time</t>
        </is>
      </c>
      <c r="L3200" t="n">
        <v>5</v>
      </c>
      <c r="M3200">
        <f>VLOOKUP(D3200,State_Lookup!$A$2:$B$28,2,FALSE)</f>
        <v/>
      </c>
    </row>
    <row r="3201">
      <c r="A3201" t="inlineStr">
        <is>
          <t>8aad27637248090b933a0697be57c443</t>
        </is>
      </c>
      <c r="B3201" t="inlineStr">
        <is>
          <t>2018-03-15</t>
        </is>
      </c>
      <c r="C3201" t="inlineStr">
        <is>
          <t>2018-03</t>
        </is>
      </c>
      <c r="D3201" t="inlineStr">
        <is>
          <t>BA</t>
        </is>
      </c>
      <c r="E3201" t="inlineStr">
        <is>
          <t>sports_leisure</t>
        </is>
      </c>
      <c r="F3201" t="n">
        <v>2</v>
      </c>
      <c r="G3201" t="n">
        <v>215.8</v>
      </c>
      <c r="H3201" t="n">
        <v>34.94</v>
      </c>
      <c r="I3201" t="inlineStr">
        <is>
          <t>credit_card</t>
        </is>
      </c>
      <c r="J3201" t="n">
        <v>13</v>
      </c>
      <c r="K3201" t="inlineStr">
        <is>
          <t>On Time</t>
        </is>
      </c>
      <c r="L3201" t="n">
        <v>4</v>
      </c>
      <c r="M3201">
        <f>VLOOKUP(D3201,State_Lookup!$A$2:$B$28,2,FALSE)</f>
        <v/>
      </c>
    </row>
    <row r="3202">
      <c r="A3202" t="inlineStr">
        <is>
          <t>6d20c5b5d74d900b45b27fd6e6e01089</t>
        </is>
      </c>
      <c r="B3202" t="inlineStr">
        <is>
          <t>2018-03-15</t>
        </is>
      </c>
      <c r="C3202" t="inlineStr">
        <is>
          <t>2018-03</t>
        </is>
      </c>
      <c r="D3202" t="inlineStr">
        <is>
          <t>SP</t>
        </is>
      </c>
      <c r="E3202" t="inlineStr">
        <is>
          <t>home_appliances</t>
        </is>
      </c>
      <c r="F3202" t="n">
        <v>1</v>
      </c>
      <c r="G3202" t="n">
        <v>69.90000000000001</v>
      </c>
      <c r="H3202" t="n">
        <v>14.58</v>
      </c>
      <c r="I3202" t="inlineStr">
        <is>
          <t>credit_card</t>
        </is>
      </c>
      <c r="J3202" t="n">
        <v>6</v>
      </c>
      <c r="K3202" t="inlineStr">
        <is>
          <t>On Time</t>
        </is>
      </c>
      <c r="L3202" t="n">
        <v>2</v>
      </c>
      <c r="M3202">
        <f>VLOOKUP(D3202,State_Lookup!$A$2:$B$28,2,FALSE)</f>
        <v/>
      </c>
    </row>
    <row r="3203">
      <c r="A3203" t="inlineStr">
        <is>
          <t>00d1289d5125017a90e528b5a7cee91f</t>
        </is>
      </c>
      <c r="B3203" t="inlineStr">
        <is>
          <t>2018-03-15</t>
        </is>
      </c>
      <c r="C3203" t="inlineStr">
        <is>
          <t>2018-03</t>
        </is>
      </c>
      <c r="D3203" t="inlineStr">
        <is>
          <t>RJ</t>
        </is>
      </c>
      <c r="E3203" t="inlineStr">
        <is>
          <t>health_beauty</t>
        </is>
      </c>
      <c r="F3203" t="n">
        <v>1</v>
      </c>
      <c r="G3203" t="n">
        <v>160</v>
      </c>
      <c r="H3203" t="n">
        <v>19</v>
      </c>
      <c r="I3203" t="inlineStr">
        <is>
          <t>credit_card</t>
        </is>
      </c>
      <c r="J3203" t="n">
        <v>96</v>
      </c>
      <c r="K3203" t="inlineStr">
        <is>
          <t>Late</t>
        </is>
      </c>
      <c r="L3203" t="n">
        <v>1</v>
      </c>
      <c r="M3203">
        <f>VLOOKUP(D3203,State_Lookup!$A$2:$B$28,2,FALSE)</f>
        <v/>
      </c>
    </row>
    <row r="3204">
      <c r="A3204" t="inlineStr">
        <is>
          <t>5b57f1611ce8186213ff0f850df43fc3</t>
        </is>
      </c>
      <c r="B3204" t="inlineStr">
        <is>
          <t>2018-03-15</t>
        </is>
      </c>
      <c r="C3204" t="inlineStr">
        <is>
          <t>2018-03</t>
        </is>
      </c>
      <c r="D3204" t="inlineStr">
        <is>
          <t>MG</t>
        </is>
      </c>
      <c r="E3204" t="inlineStr">
        <is>
          <t>sports_leisure</t>
        </is>
      </c>
      <c r="F3204" t="n">
        <v>1</v>
      </c>
      <c r="G3204" t="n">
        <v>28</v>
      </c>
      <c r="H3204" t="n">
        <v>18.23</v>
      </c>
      <c r="I3204" t="inlineStr">
        <is>
          <t>credit_card</t>
        </is>
      </c>
      <c r="J3204" t="n">
        <v>12</v>
      </c>
      <c r="K3204" t="inlineStr">
        <is>
          <t>On Time</t>
        </is>
      </c>
      <c r="L3204" t="n">
        <v>5</v>
      </c>
      <c r="M3204">
        <f>VLOOKUP(D3204,State_Lookup!$A$2:$B$28,2,FALSE)</f>
        <v/>
      </c>
    </row>
    <row r="3205">
      <c r="A3205" t="inlineStr">
        <is>
          <t>19d3baace748a12b60b7c0901b11a285</t>
        </is>
      </c>
      <c r="B3205" t="inlineStr">
        <is>
          <t>2018-03-15</t>
        </is>
      </c>
      <c r="C3205" t="inlineStr">
        <is>
          <t>2018-03</t>
        </is>
      </c>
      <c r="D3205" t="inlineStr">
        <is>
          <t>RJ</t>
        </is>
      </c>
      <c r="E3205" t="inlineStr">
        <is>
          <t>books_technical</t>
        </is>
      </c>
      <c r="F3205" t="n">
        <v>1</v>
      </c>
      <c r="G3205" t="n">
        <v>78</v>
      </c>
      <c r="H3205" t="n">
        <v>18.43</v>
      </c>
      <c r="I3205" t="inlineStr">
        <is>
          <t>boleto</t>
        </is>
      </c>
      <c r="J3205" t="n">
        <v>25</v>
      </c>
      <c r="K3205" t="inlineStr">
        <is>
          <t>Late</t>
        </is>
      </c>
      <c r="L3205" t="n">
        <v>5</v>
      </c>
      <c r="M3205">
        <f>VLOOKUP(D3205,State_Lookup!$A$2:$B$28,2,FALSE)</f>
        <v/>
      </c>
    </row>
    <row r="3206">
      <c r="A3206" t="inlineStr">
        <is>
          <t>5140caed9ffab688aa2e67074d65befd</t>
        </is>
      </c>
      <c r="B3206" t="inlineStr">
        <is>
          <t>2018-03-15</t>
        </is>
      </c>
      <c r="C3206" t="inlineStr">
        <is>
          <t>2018-03</t>
        </is>
      </c>
      <c r="D3206" t="inlineStr">
        <is>
          <t>RJ</t>
        </is>
      </c>
      <c r="E3206" t="inlineStr">
        <is>
          <t>health_beauty</t>
        </is>
      </c>
      <c r="F3206" t="n">
        <v>1</v>
      </c>
      <c r="G3206" t="n">
        <v>529.9</v>
      </c>
      <c r="H3206" t="n">
        <v>25.42</v>
      </c>
      <c r="I3206" t="inlineStr">
        <is>
          <t>credit_card</t>
        </is>
      </c>
      <c r="J3206" t="n">
        <v>19</v>
      </c>
      <c r="K3206" t="inlineStr">
        <is>
          <t>On Time</t>
        </is>
      </c>
      <c r="L3206" t="n">
        <v>2</v>
      </c>
      <c r="M3206">
        <f>VLOOKUP(D3206,State_Lookup!$A$2:$B$28,2,FALSE)</f>
        <v/>
      </c>
    </row>
    <row r="3207">
      <c r="A3207" t="inlineStr">
        <is>
          <t>c96bb2323dfac3672b0a52e5add6b1f8</t>
        </is>
      </c>
      <c r="B3207" t="inlineStr">
        <is>
          <t>2018-03-15</t>
        </is>
      </c>
      <c r="C3207" t="inlineStr">
        <is>
          <t>2018-03</t>
        </is>
      </c>
      <c r="D3207" t="inlineStr">
        <is>
          <t>MG</t>
        </is>
      </c>
      <c r="E3207" t="inlineStr">
        <is>
          <t>electronics</t>
        </is>
      </c>
      <c r="F3207" t="n">
        <v>1</v>
      </c>
      <c r="G3207" t="n">
        <v>15</v>
      </c>
      <c r="H3207" t="n">
        <v>18.23</v>
      </c>
      <c r="I3207" t="inlineStr">
        <is>
          <t>credit_card</t>
        </is>
      </c>
      <c r="J3207" t="n">
        <v>10</v>
      </c>
      <c r="K3207" t="inlineStr">
        <is>
          <t>On Time</t>
        </is>
      </c>
      <c r="L3207" t="n">
        <v>5</v>
      </c>
      <c r="M3207">
        <f>VLOOKUP(D3207,State_Lookup!$A$2:$B$28,2,FALSE)</f>
        <v/>
      </c>
    </row>
    <row r="3208">
      <c r="A3208" t="inlineStr">
        <is>
          <t>5fd0d1844c46d95e756c563bf148d01d</t>
        </is>
      </c>
      <c r="B3208" t="inlineStr">
        <is>
          <t>2018-03-15</t>
        </is>
      </c>
      <c r="C3208" t="inlineStr">
        <is>
          <t>2018-03</t>
        </is>
      </c>
      <c r="D3208" t="inlineStr">
        <is>
          <t>SP</t>
        </is>
      </c>
      <c r="E3208" t="inlineStr">
        <is>
          <t>sports_leisure</t>
        </is>
      </c>
      <c r="F3208" t="n">
        <v>1</v>
      </c>
      <c r="G3208" t="n">
        <v>92</v>
      </c>
      <c r="H3208" t="n">
        <v>13.08</v>
      </c>
      <c r="I3208" t="inlineStr">
        <is>
          <t>boleto</t>
        </is>
      </c>
      <c r="J3208" t="n">
        <v>6</v>
      </c>
      <c r="K3208" t="inlineStr">
        <is>
          <t>On Time</t>
        </is>
      </c>
      <c r="L3208" t="n">
        <v>5</v>
      </c>
      <c r="M3208">
        <f>VLOOKUP(D3208,State_Lookup!$A$2:$B$28,2,FALSE)</f>
        <v/>
      </c>
    </row>
    <row r="3209">
      <c r="A3209" t="inlineStr">
        <is>
          <t>b290e4dd94ec1715d29cc7d82dcf4d2f</t>
        </is>
      </c>
      <c r="B3209" t="inlineStr">
        <is>
          <t>2018-03-15</t>
        </is>
      </c>
      <c r="C3209" t="inlineStr">
        <is>
          <t>2018-03</t>
        </is>
      </c>
      <c r="D3209" t="inlineStr">
        <is>
          <t>PE</t>
        </is>
      </c>
      <c r="E3209" t="inlineStr">
        <is>
          <t>bed_bath_table</t>
        </is>
      </c>
      <c r="F3209" t="n">
        <v>1</v>
      </c>
      <c r="G3209" t="n">
        <v>59</v>
      </c>
      <c r="H3209" t="n">
        <v>19.1</v>
      </c>
      <c r="I3209" t="inlineStr">
        <is>
          <t>boleto</t>
        </is>
      </c>
      <c r="J3209" t="n">
        <v>7</v>
      </c>
      <c r="K3209" t="inlineStr">
        <is>
          <t>On Time</t>
        </is>
      </c>
      <c r="L3209" t="n">
        <v>5</v>
      </c>
      <c r="M3209">
        <f>VLOOKUP(D3209,State_Lookup!$A$2:$B$28,2,FALSE)</f>
        <v/>
      </c>
    </row>
    <row r="3210">
      <c r="A3210" t="inlineStr">
        <is>
          <t>247e66ec0e4b810c6acabe6f698cc62a</t>
        </is>
      </c>
      <c r="B3210" t="inlineStr">
        <is>
          <t>2018-03-15</t>
        </is>
      </c>
      <c r="C3210" t="inlineStr">
        <is>
          <t>2018-03</t>
        </is>
      </c>
      <c r="D3210" t="inlineStr">
        <is>
          <t>RS</t>
        </is>
      </c>
      <c r="E3210" t="inlineStr">
        <is>
          <t>furniture_decor</t>
        </is>
      </c>
      <c r="F3210" t="n">
        <v>1</v>
      </c>
      <c r="G3210" t="n">
        <v>37</v>
      </c>
      <c r="H3210" t="n">
        <v>16.32</v>
      </c>
      <c r="I3210" t="inlineStr">
        <is>
          <t>credit_card</t>
        </is>
      </c>
      <c r="J3210" t="inlineStr"/>
      <c r="K3210" t="inlineStr">
        <is>
          <t>Not Delivered</t>
        </is>
      </c>
      <c r="L3210" t="n">
        <v>3</v>
      </c>
      <c r="M3210">
        <f>VLOOKUP(D3210,State_Lookup!$A$2:$B$28,2,FALSE)</f>
        <v/>
      </c>
    </row>
    <row r="3211">
      <c r="A3211" t="inlineStr">
        <is>
          <t>c1dfbe8a3ce81f3fd38d2d5f50e84be6</t>
        </is>
      </c>
      <c r="B3211" t="inlineStr">
        <is>
          <t>2018-03-15</t>
        </is>
      </c>
      <c r="C3211" t="inlineStr">
        <is>
          <t>2018-03</t>
        </is>
      </c>
      <c r="D3211" t="inlineStr">
        <is>
          <t>CE</t>
        </is>
      </c>
      <c r="E3211" t="inlineStr">
        <is>
          <t>toys</t>
        </is>
      </c>
      <c r="F3211" t="n">
        <v>1</v>
      </c>
      <c r="G3211" t="n">
        <v>45.99</v>
      </c>
      <c r="H3211" t="n">
        <v>19.04</v>
      </c>
      <c r="I3211" t="inlineStr">
        <is>
          <t>boleto</t>
        </is>
      </c>
      <c r="J3211" t="inlineStr"/>
      <c r="K3211" t="inlineStr">
        <is>
          <t>Not Delivered</t>
        </is>
      </c>
      <c r="L3211" t="n">
        <v>1</v>
      </c>
      <c r="M3211">
        <f>VLOOKUP(D3211,State_Lookup!$A$2:$B$28,2,FALSE)</f>
        <v/>
      </c>
    </row>
    <row r="3212">
      <c r="A3212" t="inlineStr">
        <is>
          <t>06ec25371486403c9aa7249f067fc5aa</t>
        </is>
      </c>
      <c r="B3212" t="inlineStr">
        <is>
          <t>2018-03-16</t>
        </is>
      </c>
      <c r="C3212" t="inlineStr">
        <is>
          <t>2018-03</t>
        </is>
      </c>
      <c r="D3212" t="inlineStr">
        <is>
          <t>RJ</t>
        </is>
      </c>
      <c r="E3212" t="inlineStr">
        <is>
          <t>toys</t>
        </is>
      </c>
      <c r="F3212" t="n">
        <v>1</v>
      </c>
      <c r="G3212" t="n">
        <v>119.99</v>
      </c>
      <c r="H3212" t="n">
        <v>26.92</v>
      </c>
      <c r="I3212" t="inlineStr">
        <is>
          <t>credit_card</t>
        </is>
      </c>
      <c r="J3212" t="n">
        <v>5</v>
      </c>
      <c r="K3212" t="inlineStr">
        <is>
          <t>On Time</t>
        </is>
      </c>
      <c r="L3212" t="n">
        <v>5</v>
      </c>
      <c r="M3212">
        <f>VLOOKUP(D3212,State_Lookup!$A$2:$B$28,2,FALSE)</f>
        <v/>
      </c>
    </row>
    <row r="3213">
      <c r="A3213" t="inlineStr">
        <is>
          <t>1594af7e73f90ad0bc2e6d7549ac2da5</t>
        </is>
      </c>
      <c r="B3213" t="inlineStr">
        <is>
          <t>2018-03-16</t>
        </is>
      </c>
      <c r="C3213" t="inlineStr">
        <is>
          <t>2018-03</t>
        </is>
      </c>
      <c r="D3213" t="inlineStr">
        <is>
          <t>RJ</t>
        </is>
      </c>
      <c r="E3213" t="inlineStr">
        <is>
          <t>musical_instruments</t>
        </is>
      </c>
      <c r="F3213" t="n">
        <v>1</v>
      </c>
      <c r="G3213" t="n">
        <v>88.90000000000001</v>
      </c>
      <c r="H3213" t="n">
        <v>18.2</v>
      </c>
      <c r="I3213" t="inlineStr">
        <is>
          <t>credit_card</t>
        </is>
      </c>
      <c r="J3213" t="n">
        <v>25</v>
      </c>
      <c r="K3213" t="inlineStr">
        <is>
          <t>On Time</t>
        </is>
      </c>
      <c r="L3213" t="n">
        <v>4</v>
      </c>
      <c r="M3213">
        <f>VLOOKUP(D3213,State_Lookup!$A$2:$B$28,2,FALSE)</f>
        <v/>
      </c>
    </row>
    <row r="3214">
      <c r="A3214" t="inlineStr">
        <is>
          <t>4bbf3cd0e516cad47209a71b4ed02f94</t>
        </is>
      </c>
      <c r="B3214" t="inlineStr">
        <is>
          <t>2018-03-16</t>
        </is>
      </c>
      <c r="C3214" t="inlineStr">
        <is>
          <t>2018-03</t>
        </is>
      </c>
      <c r="D3214" t="inlineStr">
        <is>
          <t>BA</t>
        </is>
      </c>
      <c r="E3214" t="inlineStr">
        <is>
          <t>musical_instruments</t>
        </is>
      </c>
      <c r="F3214" t="n">
        <v>1</v>
      </c>
      <c r="G3214" t="n">
        <v>285</v>
      </c>
      <c r="H3214" t="n">
        <v>28.72</v>
      </c>
      <c r="I3214" t="inlineStr">
        <is>
          <t>credit_card</t>
        </is>
      </c>
      <c r="J3214" t="n">
        <v>10</v>
      </c>
      <c r="K3214" t="inlineStr">
        <is>
          <t>On Time</t>
        </is>
      </c>
      <c r="L3214" t="n">
        <v>4</v>
      </c>
      <c r="M3214">
        <f>VLOOKUP(D3214,State_Lookup!$A$2:$B$28,2,FALSE)</f>
        <v/>
      </c>
    </row>
    <row r="3215">
      <c r="A3215" t="inlineStr">
        <is>
          <t>d764dbf4808e4b71b8602d2c1655767e</t>
        </is>
      </c>
      <c r="B3215" t="inlineStr">
        <is>
          <t>2018-03-16</t>
        </is>
      </c>
      <c r="C3215" t="inlineStr">
        <is>
          <t>2018-03</t>
        </is>
      </c>
      <c r="D3215" t="inlineStr">
        <is>
          <t>SP</t>
        </is>
      </c>
      <c r="E3215" t="inlineStr">
        <is>
          <t>electronics</t>
        </is>
      </c>
      <c r="F3215" t="n">
        <v>1</v>
      </c>
      <c r="G3215" t="n">
        <v>12.9</v>
      </c>
      <c r="H3215" t="n">
        <v>7.39</v>
      </c>
      <c r="I3215" t="inlineStr">
        <is>
          <t>credit_card</t>
        </is>
      </c>
      <c r="J3215" t="n">
        <v>3</v>
      </c>
      <c r="K3215" t="inlineStr">
        <is>
          <t>On Time</t>
        </is>
      </c>
      <c r="L3215" t="n">
        <v>4</v>
      </c>
      <c r="M3215">
        <f>VLOOKUP(D3215,State_Lookup!$A$2:$B$28,2,FALSE)</f>
        <v/>
      </c>
    </row>
    <row r="3216">
      <c r="A3216" t="inlineStr">
        <is>
          <t>53b3fc5e3b224d01407dd5acefd75a53</t>
        </is>
      </c>
      <c r="B3216" t="inlineStr">
        <is>
          <t>2018-03-16</t>
        </is>
      </c>
      <c r="C3216" t="inlineStr">
        <is>
          <t>2018-03</t>
        </is>
      </c>
      <c r="D3216" t="inlineStr">
        <is>
          <t>PR</t>
        </is>
      </c>
      <c r="E3216" t="inlineStr">
        <is>
          <t>bed_bath_table</t>
        </is>
      </c>
      <c r="F3216" t="n">
        <v>1</v>
      </c>
      <c r="G3216" t="n">
        <v>148.9</v>
      </c>
      <c r="H3216" t="n">
        <v>23.58</v>
      </c>
      <c r="I3216" t="inlineStr">
        <is>
          <t>credit_card</t>
        </is>
      </c>
      <c r="J3216" t="n">
        <v>7</v>
      </c>
      <c r="K3216" t="inlineStr">
        <is>
          <t>On Time</t>
        </is>
      </c>
      <c r="L3216" t="n">
        <v>4</v>
      </c>
      <c r="M3216">
        <f>VLOOKUP(D3216,State_Lookup!$A$2:$B$28,2,FALSE)</f>
        <v/>
      </c>
    </row>
    <row r="3217">
      <c r="A3217" t="inlineStr">
        <is>
          <t>6f88df04acbbbb0f5c98ef28271d27ea</t>
        </is>
      </c>
      <c r="B3217" t="inlineStr">
        <is>
          <t>2018-03-16</t>
        </is>
      </c>
      <c r="C3217" t="inlineStr">
        <is>
          <t>2018-03</t>
        </is>
      </c>
      <c r="D3217" t="inlineStr">
        <is>
          <t>PR</t>
        </is>
      </c>
      <c r="E3217" t="inlineStr">
        <is>
          <t>toys</t>
        </is>
      </c>
      <c r="F3217" t="n">
        <v>1</v>
      </c>
      <c r="G3217" t="n">
        <v>45.99</v>
      </c>
      <c r="H3217" t="n">
        <v>18.23</v>
      </c>
      <c r="I3217" t="inlineStr">
        <is>
          <t>credit_card</t>
        </is>
      </c>
      <c r="J3217" t="n">
        <v>16</v>
      </c>
      <c r="K3217" t="inlineStr">
        <is>
          <t>On Time</t>
        </is>
      </c>
      <c r="L3217" t="n">
        <v>1</v>
      </c>
      <c r="M3217">
        <f>VLOOKUP(D3217,State_Lookup!$A$2:$B$28,2,FALSE)</f>
        <v/>
      </c>
    </row>
    <row r="3218">
      <c r="A3218" t="inlineStr">
        <is>
          <t>ca5b72f1f41040f1639938311a47dafe</t>
        </is>
      </c>
      <c r="B3218" t="inlineStr">
        <is>
          <t>2018-03-16</t>
        </is>
      </c>
      <c r="C3218" t="inlineStr">
        <is>
          <t>2018-03</t>
        </is>
      </c>
      <c r="D3218" t="inlineStr">
        <is>
          <t>SP</t>
        </is>
      </c>
      <c r="E3218" t="inlineStr">
        <is>
          <t>baby</t>
        </is>
      </c>
      <c r="F3218" t="n">
        <v>1</v>
      </c>
      <c r="G3218" t="n">
        <v>52</v>
      </c>
      <c r="H3218" t="n">
        <v>11.15</v>
      </c>
      <c r="I3218" t="inlineStr">
        <is>
          <t>credit_card</t>
        </is>
      </c>
      <c r="J3218" t="n">
        <v>4</v>
      </c>
      <c r="K3218" t="inlineStr">
        <is>
          <t>On Time</t>
        </is>
      </c>
      <c r="L3218" t="n">
        <v>5</v>
      </c>
      <c r="M3218">
        <f>VLOOKUP(D3218,State_Lookup!$A$2:$B$28,2,FALSE)</f>
        <v/>
      </c>
    </row>
    <row r="3219">
      <c r="A3219" t="inlineStr">
        <is>
          <t>98c960af25c3341860e320f6780f28ce</t>
        </is>
      </c>
      <c r="B3219" t="inlineStr">
        <is>
          <t>2018-03-16</t>
        </is>
      </c>
      <c r="C3219" t="inlineStr">
        <is>
          <t>2018-03</t>
        </is>
      </c>
      <c r="D3219" t="inlineStr">
        <is>
          <t>DF</t>
        </is>
      </c>
      <c r="E3219" t="inlineStr">
        <is>
          <t>health_beauty</t>
        </is>
      </c>
      <c r="F3219" t="n">
        <v>1</v>
      </c>
      <c r="G3219" t="n">
        <v>88.89</v>
      </c>
      <c r="H3219" t="n">
        <v>37.31</v>
      </c>
      <c r="I3219" t="inlineStr">
        <is>
          <t>boleto</t>
        </is>
      </c>
      <c r="J3219" t="n">
        <v>13</v>
      </c>
      <c r="K3219" t="inlineStr">
        <is>
          <t>On Time</t>
        </is>
      </c>
      <c r="L3219" t="n">
        <v>5</v>
      </c>
      <c r="M3219">
        <f>VLOOKUP(D3219,State_Lookup!$A$2:$B$28,2,FALSE)</f>
        <v/>
      </c>
    </row>
    <row r="3220">
      <c r="A3220" t="inlineStr">
        <is>
          <t>46b06fc4d4a2d4e9645f19e1a689e543</t>
        </is>
      </c>
      <c r="B3220" t="inlineStr">
        <is>
          <t>2018-03-16</t>
        </is>
      </c>
      <c r="C3220" t="inlineStr">
        <is>
          <t>2018-03</t>
        </is>
      </c>
      <c r="D3220" t="inlineStr">
        <is>
          <t>MG</t>
        </is>
      </c>
      <c r="E3220" t="inlineStr">
        <is>
          <t>health_beauty</t>
        </is>
      </c>
      <c r="F3220" t="n">
        <v>1</v>
      </c>
      <c r="G3220" t="n">
        <v>79.98999999999999</v>
      </c>
      <c r="H3220" t="n">
        <v>16.53</v>
      </c>
      <c r="I3220" t="inlineStr">
        <is>
          <t>boleto</t>
        </is>
      </c>
      <c r="J3220" t="n">
        <v>13</v>
      </c>
      <c r="K3220" t="inlineStr">
        <is>
          <t>On Time</t>
        </is>
      </c>
      <c r="L3220" t="n">
        <v>3</v>
      </c>
      <c r="M3220">
        <f>VLOOKUP(D3220,State_Lookup!$A$2:$B$28,2,FALSE)</f>
        <v/>
      </c>
    </row>
    <row r="3221">
      <c r="A3221" t="inlineStr">
        <is>
          <t>bcc93ae5358fc8dbcbcb60fbcfff8f41</t>
        </is>
      </c>
      <c r="B3221" t="inlineStr">
        <is>
          <t>2018-03-16</t>
        </is>
      </c>
      <c r="C3221" t="inlineStr">
        <is>
          <t>2018-03</t>
        </is>
      </c>
      <c r="D3221" t="inlineStr">
        <is>
          <t>RS</t>
        </is>
      </c>
      <c r="E3221" t="inlineStr">
        <is>
          <t>bed_bath_table</t>
        </is>
      </c>
      <c r="F3221" t="n">
        <v>1</v>
      </c>
      <c r="G3221" t="n">
        <v>24.9</v>
      </c>
      <c r="H3221" t="n">
        <v>18.23</v>
      </c>
      <c r="I3221" t="inlineStr">
        <is>
          <t>credit_card</t>
        </is>
      </c>
      <c r="J3221" t="n">
        <v>26</v>
      </c>
      <c r="K3221" t="inlineStr">
        <is>
          <t>On Time</t>
        </is>
      </c>
      <c r="L3221" t="n">
        <v>1</v>
      </c>
      <c r="M3221">
        <f>VLOOKUP(D3221,State_Lookup!$A$2:$B$28,2,FALSE)</f>
        <v/>
      </c>
    </row>
    <row r="3222">
      <c r="A3222" t="inlineStr">
        <is>
          <t>094067c0f56b5d0a4dbad0aa60bd26a6</t>
        </is>
      </c>
      <c r="B3222" t="inlineStr">
        <is>
          <t>2018-03-16</t>
        </is>
      </c>
      <c r="C3222" t="inlineStr">
        <is>
          <t>2018-03</t>
        </is>
      </c>
      <c r="D3222" t="inlineStr">
        <is>
          <t>SP</t>
        </is>
      </c>
      <c r="E3222" t="inlineStr">
        <is>
          <t>sports_leisure</t>
        </is>
      </c>
      <c r="F3222" t="n">
        <v>2</v>
      </c>
      <c r="G3222" t="n">
        <v>107.36</v>
      </c>
      <c r="H3222" t="n">
        <v>14.78</v>
      </c>
      <c r="I3222" t="inlineStr">
        <is>
          <t>credit_card</t>
        </is>
      </c>
      <c r="J3222" t="n">
        <v>1</v>
      </c>
      <c r="K3222" t="inlineStr">
        <is>
          <t>On Time</t>
        </is>
      </c>
      <c r="L3222" t="n">
        <v>5</v>
      </c>
      <c r="M3222">
        <f>VLOOKUP(D3222,State_Lookup!$A$2:$B$28,2,FALSE)</f>
        <v/>
      </c>
    </row>
    <row r="3223">
      <c r="A3223" t="inlineStr">
        <is>
          <t>e0a98f9b707c33a4c46e02a530c3419b</t>
        </is>
      </c>
      <c r="B3223" t="inlineStr">
        <is>
          <t>2018-03-17</t>
        </is>
      </c>
      <c r="C3223" t="inlineStr">
        <is>
          <t>2018-03</t>
        </is>
      </c>
      <c r="D3223" t="inlineStr">
        <is>
          <t>RS</t>
        </is>
      </c>
      <c r="E3223" t="inlineStr">
        <is>
          <t>electronics</t>
        </is>
      </c>
      <c r="F3223" t="n">
        <v>1</v>
      </c>
      <c r="G3223" t="n">
        <v>19.9</v>
      </c>
      <c r="H3223" t="n">
        <v>16.95</v>
      </c>
      <c r="I3223" t="inlineStr">
        <is>
          <t>credit_card</t>
        </is>
      </c>
      <c r="J3223" t="n">
        <v>11</v>
      </c>
      <c r="K3223" t="inlineStr">
        <is>
          <t>On Time</t>
        </is>
      </c>
      <c r="L3223" t="n">
        <v>5</v>
      </c>
      <c r="M3223">
        <f>VLOOKUP(D3223,State_Lookup!$A$2:$B$28,2,FALSE)</f>
        <v/>
      </c>
    </row>
    <row r="3224">
      <c r="A3224" t="inlineStr">
        <is>
          <t>2bc23fea2d23b5e157fea231d05ccc28</t>
        </is>
      </c>
      <c r="B3224" t="inlineStr">
        <is>
          <t>2018-03-17</t>
        </is>
      </c>
      <c r="C3224" t="inlineStr">
        <is>
          <t>2018-03</t>
        </is>
      </c>
      <c r="D3224" t="inlineStr">
        <is>
          <t>MG</t>
        </is>
      </c>
      <c r="E3224" t="inlineStr">
        <is>
          <t>musical_instruments</t>
        </is>
      </c>
      <c r="F3224" t="n">
        <v>1</v>
      </c>
      <c r="G3224" t="n">
        <v>83.90000000000001</v>
      </c>
      <c r="H3224" t="n">
        <v>23.17</v>
      </c>
      <c r="I3224" t="inlineStr">
        <is>
          <t>credit_card</t>
        </is>
      </c>
      <c r="J3224" t="n">
        <v>17</v>
      </c>
      <c r="K3224" t="inlineStr">
        <is>
          <t>On Time</t>
        </is>
      </c>
      <c r="L3224" t="n">
        <v>5</v>
      </c>
      <c r="M3224">
        <f>VLOOKUP(D3224,State_Lookup!$A$2:$B$28,2,FALSE)</f>
        <v/>
      </c>
    </row>
    <row r="3225">
      <c r="A3225" t="inlineStr">
        <is>
          <t>8339f788dad4ceb81447efc8dc3ee269</t>
        </is>
      </c>
      <c r="B3225" t="inlineStr">
        <is>
          <t>2018-03-17</t>
        </is>
      </c>
      <c r="C3225" t="inlineStr">
        <is>
          <t>2018-03</t>
        </is>
      </c>
      <c r="D3225" t="inlineStr">
        <is>
          <t>SP</t>
        </is>
      </c>
      <c r="E3225" t="inlineStr">
        <is>
          <t>telephony</t>
        </is>
      </c>
      <c r="F3225" t="n">
        <v>1</v>
      </c>
      <c r="G3225" t="n">
        <v>28.99</v>
      </c>
      <c r="H3225" t="n">
        <v>12.79</v>
      </c>
      <c r="I3225" t="inlineStr">
        <is>
          <t>credit_card</t>
        </is>
      </c>
      <c r="J3225" t="n">
        <v>18</v>
      </c>
      <c r="K3225" t="inlineStr">
        <is>
          <t>On Time</t>
        </is>
      </c>
      <c r="L3225" t="n">
        <v>3</v>
      </c>
      <c r="M3225">
        <f>VLOOKUP(D3225,State_Lookup!$A$2:$B$28,2,FALSE)</f>
        <v/>
      </c>
    </row>
    <row r="3226">
      <c r="A3226" t="inlineStr">
        <is>
          <t>1c36473b9a0db63449081c0408a96dc8</t>
        </is>
      </c>
      <c r="B3226" t="inlineStr">
        <is>
          <t>2018-03-17</t>
        </is>
      </c>
      <c r="C3226" t="inlineStr">
        <is>
          <t>2018-03</t>
        </is>
      </c>
      <c r="D3226" t="inlineStr">
        <is>
          <t>SC</t>
        </is>
      </c>
      <c r="E3226" t="inlineStr">
        <is>
          <t>electronics</t>
        </is>
      </c>
      <c r="F3226" t="n">
        <v>1</v>
      </c>
      <c r="G3226" t="n">
        <v>15.12</v>
      </c>
      <c r="H3226" t="n">
        <v>16.95</v>
      </c>
      <c r="I3226" t="inlineStr">
        <is>
          <t>credit_card</t>
        </is>
      </c>
      <c r="J3226" t="n">
        <v>11</v>
      </c>
      <c r="K3226" t="inlineStr">
        <is>
          <t>On Time</t>
        </is>
      </c>
      <c r="L3226" t="n">
        <v>5</v>
      </c>
      <c r="M3226">
        <f>VLOOKUP(D3226,State_Lookup!$A$2:$B$28,2,FALSE)</f>
        <v/>
      </c>
    </row>
    <row r="3227">
      <c r="A3227" t="inlineStr">
        <is>
          <t>b26eb89dfb4e2d970274ef0c668fd43a</t>
        </is>
      </c>
      <c r="B3227" t="inlineStr">
        <is>
          <t>2018-03-17</t>
        </is>
      </c>
      <c r="C3227" t="inlineStr">
        <is>
          <t>2018-03</t>
        </is>
      </c>
      <c r="D3227" t="inlineStr">
        <is>
          <t>SP</t>
        </is>
      </c>
      <c r="E3227" t="inlineStr">
        <is>
          <t>sports_leisure</t>
        </is>
      </c>
      <c r="F3227" t="n">
        <v>1</v>
      </c>
      <c r="G3227" t="n">
        <v>55.9</v>
      </c>
      <c r="H3227" t="n">
        <v>13.51</v>
      </c>
      <c r="I3227" t="inlineStr">
        <is>
          <t>credit_card</t>
        </is>
      </c>
      <c r="J3227" t="n">
        <v>5</v>
      </c>
      <c r="K3227" t="inlineStr">
        <is>
          <t>On Time</t>
        </is>
      </c>
      <c r="L3227" t="n">
        <v>5</v>
      </c>
      <c r="M3227">
        <f>VLOOKUP(D3227,State_Lookup!$A$2:$B$28,2,FALSE)</f>
        <v/>
      </c>
    </row>
    <row r="3228">
      <c r="A3228" t="inlineStr">
        <is>
          <t>81643a310d1fa764a5097fa3545d4a90</t>
        </is>
      </c>
      <c r="B3228" t="inlineStr">
        <is>
          <t>2018-03-17</t>
        </is>
      </c>
      <c r="C3228" t="inlineStr">
        <is>
          <t>2018-03</t>
        </is>
      </c>
      <c r="D3228" t="inlineStr">
        <is>
          <t>BA</t>
        </is>
      </c>
      <c r="E3228" t="inlineStr">
        <is>
          <t>auto</t>
        </is>
      </c>
      <c r="F3228" t="n">
        <v>1</v>
      </c>
      <c r="G3228" t="n">
        <v>234.9</v>
      </c>
      <c r="H3228" t="n">
        <v>23.35</v>
      </c>
      <c r="I3228" t="inlineStr">
        <is>
          <t>credit_card</t>
        </is>
      </c>
      <c r="J3228" t="inlineStr"/>
      <c r="K3228" t="inlineStr">
        <is>
          <t>Not Delivered</t>
        </is>
      </c>
      <c r="L3228" t="n">
        <v>1</v>
      </c>
      <c r="M3228">
        <f>VLOOKUP(D3228,State_Lookup!$A$2:$B$28,2,FALSE)</f>
        <v/>
      </c>
    </row>
    <row r="3229">
      <c r="A3229" t="inlineStr">
        <is>
          <t>9de639fbe29fc86910cece0466b7b2d0</t>
        </is>
      </c>
      <c r="B3229" t="inlineStr">
        <is>
          <t>2018-03-17</t>
        </is>
      </c>
      <c r="C3229" t="inlineStr">
        <is>
          <t>2018-03</t>
        </is>
      </c>
      <c r="D3229" t="inlineStr">
        <is>
          <t>SC</t>
        </is>
      </c>
      <c r="E3229" t="inlineStr">
        <is>
          <t>watches_gifts</t>
        </is>
      </c>
      <c r="F3229" t="n">
        <v>1</v>
      </c>
      <c r="G3229" t="n">
        <v>97.90000000000001</v>
      </c>
      <c r="H3229" t="n">
        <v>22.4</v>
      </c>
      <c r="I3229" t="inlineStr">
        <is>
          <t>boleto</t>
        </is>
      </c>
      <c r="J3229" t="n">
        <v>10</v>
      </c>
      <c r="K3229" t="inlineStr">
        <is>
          <t>On Time</t>
        </is>
      </c>
      <c r="L3229" t="n">
        <v>4</v>
      </c>
      <c r="M3229">
        <f>VLOOKUP(D3229,State_Lookup!$A$2:$B$28,2,FALSE)</f>
        <v/>
      </c>
    </row>
    <row r="3230">
      <c r="A3230" t="inlineStr">
        <is>
          <t>aafaeffc1b29306122a30a238e6446d8</t>
        </is>
      </c>
      <c r="B3230" t="inlineStr">
        <is>
          <t>2018-03-17</t>
        </is>
      </c>
      <c r="C3230" t="inlineStr">
        <is>
          <t>2018-03</t>
        </is>
      </c>
      <c r="D3230" t="inlineStr">
        <is>
          <t>RS</t>
        </is>
      </c>
      <c r="E3230" t="inlineStr">
        <is>
          <t>telephony</t>
        </is>
      </c>
      <c r="F3230" t="n">
        <v>1</v>
      </c>
      <c r="G3230" t="n">
        <v>24.07</v>
      </c>
      <c r="H3230" t="n">
        <v>15.23</v>
      </c>
      <c r="I3230" t="inlineStr">
        <is>
          <t>credit_card</t>
        </is>
      </c>
      <c r="J3230" t="n">
        <v>16</v>
      </c>
      <c r="K3230" t="inlineStr">
        <is>
          <t>On Time</t>
        </is>
      </c>
      <c r="L3230" t="n">
        <v>5</v>
      </c>
      <c r="M3230">
        <f>VLOOKUP(D3230,State_Lookup!$A$2:$B$28,2,FALSE)</f>
        <v/>
      </c>
    </row>
    <row r="3231">
      <c r="A3231" t="inlineStr">
        <is>
          <t>02e7b3980e9984556bb3a764306f3e31</t>
        </is>
      </c>
      <c r="B3231" t="inlineStr">
        <is>
          <t>2018-03-18</t>
        </is>
      </c>
      <c r="C3231" t="inlineStr">
        <is>
          <t>2018-03</t>
        </is>
      </c>
      <c r="D3231" t="inlineStr">
        <is>
          <t>SC</t>
        </is>
      </c>
      <c r="E3231" t="inlineStr">
        <is>
          <t>housewares</t>
        </is>
      </c>
      <c r="F3231" t="n">
        <v>1</v>
      </c>
      <c r="G3231" t="n">
        <v>89.90000000000001</v>
      </c>
      <c r="H3231" t="n">
        <v>23.56</v>
      </c>
      <c r="I3231" t="inlineStr">
        <is>
          <t>credit_card</t>
        </is>
      </c>
      <c r="J3231" t="n">
        <v>16</v>
      </c>
      <c r="K3231" t="inlineStr">
        <is>
          <t>On Time</t>
        </is>
      </c>
      <c r="L3231" t="n">
        <v>4</v>
      </c>
      <c r="M3231">
        <f>VLOOKUP(D3231,State_Lookup!$A$2:$B$28,2,FALSE)</f>
        <v/>
      </c>
    </row>
    <row r="3232">
      <c r="A3232" t="inlineStr">
        <is>
          <t>fa0d6d911b362948d8f86f9a703c268b</t>
        </is>
      </c>
      <c r="B3232" t="inlineStr">
        <is>
          <t>2018-03-18</t>
        </is>
      </c>
      <c r="C3232" t="inlineStr">
        <is>
          <t>2018-03</t>
        </is>
      </c>
      <c r="D3232" t="inlineStr">
        <is>
          <t>SP</t>
        </is>
      </c>
      <c r="E3232" t="inlineStr">
        <is>
          <t>auto</t>
        </is>
      </c>
      <c r="F3232" t="n">
        <v>1</v>
      </c>
      <c r="G3232" t="n">
        <v>69.90000000000001</v>
      </c>
      <c r="H3232" t="n">
        <v>14.58</v>
      </c>
      <c r="I3232" t="inlineStr">
        <is>
          <t>boleto</t>
        </is>
      </c>
      <c r="J3232" t="n">
        <v>19</v>
      </c>
      <c r="K3232" t="inlineStr">
        <is>
          <t>Late</t>
        </is>
      </c>
      <c r="L3232" t="n">
        <v>4</v>
      </c>
      <c r="M3232">
        <f>VLOOKUP(D3232,State_Lookup!$A$2:$B$28,2,FALSE)</f>
        <v/>
      </c>
    </row>
    <row r="3233">
      <c r="A3233" t="inlineStr">
        <is>
          <t>ffe5736050c2890fa51a28942820258a</t>
        </is>
      </c>
      <c r="B3233" t="inlineStr">
        <is>
          <t>2018-03-18</t>
        </is>
      </c>
      <c r="C3233" t="inlineStr">
        <is>
          <t>2018-03</t>
        </is>
      </c>
      <c r="D3233" t="inlineStr">
        <is>
          <t>SP</t>
        </is>
      </c>
      <c r="E3233" t="inlineStr">
        <is>
          <t>office_furniture</t>
        </is>
      </c>
      <c r="F3233" t="n">
        <v>1</v>
      </c>
      <c r="G3233" t="n">
        <v>79.98999999999999</v>
      </c>
      <c r="H3233" t="n">
        <v>14.55</v>
      </c>
      <c r="I3233" t="inlineStr">
        <is>
          <t>credit_card</t>
        </is>
      </c>
      <c r="J3233" t="n">
        <v>12</v>
      </c>
      <c r="K3233" t="inlineStr">
        <is>
          <t>On Time</t>
        </is>
      </c>
      <c r="L3233" t="n">
        <v>1</v>
      </c>
      <c r="M3233">
        <f>VLOOKUP(D3233,State_Lookup!$A$2:$B$28,2,FALSE)</f>
        <v/>
      </c>
    </row>
    <row r="3234">
      <c r="A3234" t="inlineStr">
        <is>
          <t>aca1243538a8bc195f2f017f8ea2456f</t>
        </is>
      </c>
      <c r="B3234" t="inlineStr">
        <is>
          <t>2018-03-18</t>
        </is>
      </c>
      <c r="C3234" t="inlineStr">
        <is>
          <t>2018-03</t>
        </is>
      </c>
      <c r="D3234" t="inlineStr">
        <is>
          <t>SP</t>
        </is>
      </c>
      <c r="E3234" t="inlineStr">
        <is>
          <t>bed_bath_table</t>
        </is>
      </c>
      <c r="F3234" t="n">
        <v>2</v>
      </c>
      <c r="G3234" t="n">
        <v>65.8</v>
      </c>
      <c r="H3234" t="n">
        <v>14.78</v>
      </c>
      <c r="I3234" t="inlineStr">
        <is>
          <t>voucher</t>
        </is>
      </c>
      <c r="J3234" t="n">
        <v>8</v>
      </c>
      <c r="K3234" t="inlineStr">
        <is>
          <t>On Time</t>
        </is>
      </c>
      <c r="L3234" t="n">
        <v>4</v>
      </c>
      <c r="M3234">
        <f>VLOOKUP(D3234,State_Lookup!$A$2:$B$28,2,FALSE)</f>
        <v/>
      </c>
    </row>
    <row r="3235">
      <c r="A3235" t="inlineStr">
        <is>
          <t>5fd71cc4eb69ae6f65ac3acfcbc17ab5</t>
        </is>
      </c>
      <c r="B3235" t="inlineStr">
        <is>
          <t>2018-03-18</t>
        </is>
      </c>
      <c r="C3235" t="inlineStr">
        <is>
          <t>2018-03</t>
        </is>
      </c>
      <c r="D3235" t="inlineStr">
        <is>
          <t>RJ</t>
        </is>
      </c>
      <c r="E3235" t="inlineStr">
        <is>
          <t>signaling_and_security</t>
        </is>
      </c>
      <c r="F3235" t="n">
        <v>1</v>
      </c>
      <c r="G3235" t="n">
        <v>79.90000000000001</v>
      </c>
      <c r="H3235" t="n">
        <v>18.44</v>
      </c>
      <c r="I3235" t="inlineStr">
        <is>
          <t>credit_card</t>
        </is>
      </c>
      <c r="J3235" t="n">
        <v>10</v>
      </c>
      <c r="K3235" t="inlineStr">
        <is>
          <t>On Time</t>
        </is>
      </c>
      <c r="L3235" t="n">
        <v>5</v>
      </c>
      <c r="M3235">
        <f>VLOOKUP(D3235,State_Lookup!$A$2:$B$28,2,FALSE)</f>
        <v/>
      </c>
    </row>
    <row r="3236">
      <c r="A3236" t="inlineStr">
        <is>
          <t>21cd0176d6da15971444fa43f4e02137</t>
        </is>
      </c>
      <c r="B3236" t="inlineStr">
        <is>
          <t>2018-03-18</t>
        </is>
      </c>
      <c r="C3236" t="inlineStr">
        <is>
          <t>2018-03</t>
        </is>
      </c>
      <c r="D3236" t="inlineStr">
        <is>
          <t>SP</t>
        </is>
      </c>
      <c r="E3236" t="inlineStr">
        <is>
          <t>housewares</t>
        </is>
      </c>
      <c r="F3236" t="n">
        <v>1</v>
      </c>
      <c r="G3236" t="n">
        <v>62.9</v>
      </c>
      <c r="H3236" t="n">
        <v>8.880000000000001</v>
      </c>
      <c r="I3236" t="inlineStr">
        <is>
          <t>credit_card</t>
        </is>
      </c>
      <c r="J3236" t="n">
        <v>4</v>
      </c>
      <c r="K3236" t="inlineStr">
        <is>
          <t>On Time</t>
        </is>
      </c>
      <c r="L3236" t="n">
        <v>5</v>
      </c>
      <c r="M3236">
        <f>VLOOKUP(D3236,State_Lookup!$A$2:$B$28,2,FALSE)</f>
        <v/>
      </c>
    </row>
    <row r="3237">
      <c r="A3237" t="inlineStr">
        <is>
          <t>fad4c51261e06a0f8a2309ee81747628</t>
        </is>
      </c>
      <c r="B3237" t="inlineStr">
        <is>
          <t>2018-03-19</t>
        </is>
      </c>
      <c r="C3237" t="inlineStr">
        <is>
          <t>2018-03</t>
        </is>
      </c>
      <c r="D3237" t="inlineStr">
        <is>
          <t>SP</t>
        </is>
      </c>
      <c r="E3237" t="inlineStr">
        <is>
          <t>health_beauty</t>
        </is>
      </c>
      <c r="F3237" t="n">
        <v>1</v>
      </c>
      <c r="G3237" t="n">
        <v>9.800000000000001</v>
      </c>
      <c r="H3237" t="n">
        <v>15.23</v>
      </c>
      <c r="I3237" t="inlineStr">
        <is>
          <t>credit_card</t>
        </is>
      </c>
      <c r="J3237" t="n">
        <v>21</v>
      </c>
      <c r="K3237" t="inlineStr">
        <is>
          <t>Late</t>
        </is>
      </c>
      <c r="L3237" t="n">
        <v>1</v>
      </c>
      <c r="M3237">
        <f>VLOOKUP(D3237,State_Lookup!$A$2:$B$28,2,FALSE)</f>
        <v/>
      </c>
    </row>
    <row r="3238">
      <c r="A3238" t="inlineStr">
        <is>
          <t>e9a673444938dfb3ee73bc31383f2921</t>
        </is>
      </c>
      <c r="B3238" t="inlineStr">
        <is>
          <t>2018-03-19</t>
        </is>
      </c>
      <c r="C3238" t="inlineStr">
        <is>
          <t>2018-03</t>
        </is>
      </c>
      <c r="D3238" t="inlineStr">
        <is>
          <t>MG</t>
        </is>
      </c>
      <c r="E3238" t="inlineStr">
        <is>
          <t>health_beauty</t>
        </is>
      </c>
      <c r="F3238" t="n">
        <v>1</v>
      </c>
      <c r="G3238" t="n">
        <v>108.99</v>
      </c>
      <c r="H3238" t="n">
        <v>24.89</v>
      </c>
      <c r="I3238" t="inlineStr">
        <is>
          <t>credit_card</t>
        </is>
      </c>
      <c r="J3238" t="n">
        <v>20</v>
      </c>
      <c r="K3238" t="inlineStr">
        <is>
          <t>On Time</t>
        </is>
      </c>
      <c r="L3238" t="n">
        <v>5</v>
      </c>
      <c r="M3238">
        <f>VLOOKUP(D3238,State_Lookup!$A$2:$B$28,2,FALSE)</f>
        <v/>
      </c>
    </row>
    <row r="3239">
      <c r="A3239" t="inlineStr">
        <is>
          <t>7049ca1ff975d9decf0802e3cb983e40</t>
        </is>
      </c>
      <c r="B3239" t="inlineStr">
        <is>
          <t>2018-03-19</t>
        </is>
      </c>
      <c r="C3239" t="inlineStr">
        <is>
          <t>2018-03</t>
        </is>
      </c>
      <c r="D3239" t="inlineStr">
        <is>
          <t>SP</t>
        </is>
      </c>
      <c r="E3239" t="inlineStr">
        <is>
          <t>food</t>
        </is>
      </c>
      <c r="F3239" t="n">
        <v>1</v>
      </c>
      <c r="G3239" t="n">
        <v>70.47</v>
      </c>
      <c r="H3239" t="n">
        <v>13.85</v>
      </c>
      <c r="I3239" t="inlineStr">
        <is>
          <t>credit_card</t>
        </is>
      </c>
      <c r="J3239" t="n">
        <v>9</v>
      </c>
      <c r="K3239" t="inlineStr">
        <is>
          <t>On Time</t>
        </is>
      </c>
      <c r="L3239" t="n">
        <v>4</v>
      </c>
      <c r="M3239">
        <f>VLOOKUP(D3239,State_Lookup!$A$2:$B$28,2,FALSE)</f>
        <v/>
      </c>
    </row>
    <row r="3240">
      <c r="A3240" t="inlineStr">
        <is>
          <t>7770f0fa803309f7765d9c449f1a7db4</t>
        </is>
      </c>
      <c r="B3240" t="inlineStr">
        <is>
          <t>2018-03-19</t>
        </is>
      </c>
      <c r="C3240" t="inlineStr">
        <is>
          <t>2018-03</t>
        </is>
      </c>
      <c r="D3240" t="inlineStr">
        <is>
          <t>SP</t>
        </is>
      </c>
      <c r="E3240" t="inlineStr">
        <is>
          <t>furniture_living_room</t>
        </is>
      </c>
      <c r="F3240" t="n">
        <v>1</v>
      </c>
      <c r="G3240" t="n">
        <v>139.9</v>
      </c>
      <c r="H3240" t="n">
        <v>25.63</v>
      </c>
      <c r="I3240" t="inlineStr">
        <is>
          <t>boleto</t>
        </is>
      </c>
      <c r="J3240" t="n">
        <v>10</v>
      </c>
      <c r="K3240" t="inlineStr">
        <is>
          <t>On Time</t>
        </is>
      </c>
      <c r="L3240" t="n">
        <v>5</v>
      </c>
      <c r="M3240">
        <f>VLOOKUP(D3240,State_Lookup!$A$2:$B$28,2,FALSE)</f>
        <v/>
      </c>
    </row>
    <row r="3241">
      <c r="A3241" t="inlineStr">
        <is>
          <t>bcbc99c5380b420c2e5924342197a166</t>
        </is>
      </c>
      <c r="B3241" t="inlineStr">
        <is>
          <t>2018-03-19</t>
        </is>
      </c>
      <c r="C3241" t="inlineStr">
        <is>
          <t>2018-03</t>
        </is>
      </c>
      <c r="D3241" t="inlineStr">
        <is>
          <t>RJ</t>
        </is>
      </c>
      <c r="E3241" t="inlineStr">
        <is>
          <t>computers_accessories</t>
        </is>
      </c>
      <c r="F3241" t="n">
        <v>1</v>
      </c>
      <c r="G3241" t="n">
        <v>129</v>
      </c>
      <c r="H3241" t="n">
        <v>54.65</v>
      </c>
      <c r="I3241" t="inlineStr">
        <is>
          <t>credit_card</t>
        </is>
      </c>
      <c r="J3241" t="n">
        <v>8</v>
      </c>
      <c r="K3241" t="inlineStr">
        <is>
          <t>On Time</t>
        </is>
      </c>
      <c r="L3241" t="n">
        <v>5</v>
      </c>
      <c r="M3241">
        <f>VLOOKUP(D3241,State_Lookup!$A$2:$B$28,2,FALSE)</f>
        <v/>
      </c>
    </row>
    <row r="3242">
      <c r="A3242" t="inlineStr">
        <is>
          <t>75ce76d60bf52b60e058e5d03571b145</t>
        </is>
      </c>
      <c r="B3242" t="inlineStr">
        <is>
          <t>2018-03-19</t>
        </is>
      </c>
      <c r="C3242" t="inlineStr">
        <is>
          <t>2018-03</t>
        </is>
      </c>
      <c r="D3242" t="inlineStr">
        <is>
          <t>MG</t>
        </is>
      </c>
      <c r="E3242" t="inlineStr">
        <is>
          <t>furniture_decor</t>
        </is>
      </c>
      <c r="F3242" t="n">
        <v>2</v>
      </c>
      <c r="G3242" t="n">
        <v>33.8</v>
      </c>
      <c r="H3242" t="n">
        <v>44.12</v>
      </c>
      <c r="I3242" t="inlineStr">
        <is>
          <t>credit_card</t>
        </is>
      </c>
      <c r="J3242" t="n">
        <v>14</v>
      </c>
      <c r="K3242" t="inlineStr">
        <is>
          <t>On Time</t>
        </is>
      </c>
      <c r="L3242" t="n">
        <v>4</v>
      </c>
      <c r="M3242">
        <f>VLOOKUP(D3242,State_Lookup!$A$2:$B$28,2,FALSE)</f>
        <v/>
      </c>
    </row>
    <row r="3243">
      <c r="A3243" t="inlineStr">
        <is>
          <t>26330ea8daec86890eecd63e62f17c01</t>
        </is>
      </c>
      <c r="B3243" t="inlineStr">
        <is>
          <t>2018-03-19</t>
        </is>
      </c>
      <c r="C3243" t="inlineStr">
        <is>
          <t>2018-03</t>
        </is>
      </c>
      <c r="D3243" t="inlineStr">
        <is>
          <t>PR</t>
        </is>
      </c>
      <c r="E3243" t="inlineStr">
        <is>
          <t>bed_bath_table</t>
        </is>
      </c>
      <c r="F3243" t="n">
        <v>1</v>
      </c>
      <c r="G3243" t="n">
        <v>52.9</v>
      </c>
      <c r="H3243" t="n">
        <v>22.95</v>
      </c>
      <c r="I3243" t="inlineStr">
        <is>
          <t>boleto</t>
        </is>
      </c>
      <c r="J3243" t="n">
        <v>26</v>
      </c>
      <c r="K3243" t="inlineStr">
        <is>
          <t>Late</t>
        </is>
      </c>
      <c r="L3243" t="n">
        <v>2</v>
      </c>
      <c r="M3243">
        <f>VLOOKUP(D3243,State_Lookup!$A$2:$B$28,2,FALSE)</f>
        <v/>
      </c>
    </row>
    <row r="3244">
      <c r="A3244" t="inlineStr">
        <is>
          <t>a54407e6b6cce226cc1386982ca8a2b5</t>
        </is>
      </c>
      <c r="B3244" t="inlineStr">
        <is>
          <t>2018-03-19</t>
        </is>
      </c>
      <c r="C3244" t="inlineStr">
        <is>
          <t>2018-03</t>
        </is>
      </c>
      <c r="D3244" t="inlineStr">
        <is>
          <t>MG</t>
        </is>
      </c>
      <c r="E3244" t="inlineStr">
        <is>
          <t>computers_accessories</t>
        </is>
      </c>
      <c r="F3244" t="n">
        <v>1</v>
      </c>
      <c r="G3244" t="n">
        <v>51.99</v>
      </c>
      <c r="H3244" t="n">
        <v>13.48</v>
      </c>
      <c r="I3244" t="inlineStr">
        <is>
          <t>credit_card</t>
        </is>
      </c>
      <c r="J3244" t="n">
        <v>4</v>
      </c>
      <c r="K3244" t="inlineStr">
        <is>
          <t>On Time</t>
        </is>
      </c>
      <c r="L3244" t="n">
        <v>3</v>
      </c>
      <c r="M3244">
        <f>VLOOKUP(D3244,State_Lookup!$A$2:$B$28,2,FALSE)</f>
        <v/>
      </c>
    </row>
    <row r="3245">
      <c r="A3245" t="inlineStr">
        <is>
          <t>ad01d61ec53a43d200f359c11347316f</t>
        </is>
      </c>
      <c r="B3245" t="inlineStr">
        <is>
          <t>2018-03-19</t>
        </is>
      </c>
      <c r="C3245" t="inlineStr">
        <is>
          <t>2018-03</t>
        </is>
      </c>
      <c r="D3245" t="inlineStr">
        <is>
          <t>RJ</t>
        </is>
      </c>
      <c r="E3245" t="inlineStr">
        <is>
          <t>telephony</t>
        </is>
      </c>
      <c r="F3245" t="n">
        <v>1</v>
      </c>
      <c r="G3245" t="n">
        <v>24.98</v>
      </c>
      <c r="H3245" t="n">
        <v>15.23</v>
      </c>
      <c r="I3245" t="inlineStr">
        <is>
          <t>boleto</t>
        </is>
      </c>
      <c r="J3245" t="n">
        <v>8</v>
      </c>
      <c r="K3245" t="inlineStr">
        <is>
          <t>On Time</t>
        </is>
      </c>
      <c r="L3245" t="n">
        <v>5</v>
      </c>
      <c r="M3245">
        <f>VLOOKUP(D3245,State_Lookup!$A$2:$B$28,2,FALSE)</f>
        <v/>
      </c>
    </row>
    <row r="3246">
      <c r="A3246" t="inlineStr">
        <is>
          <t>01721e0729fcb75ab238248fdbb48eeb</t>
        </is>
      </c>
      <c r="B3246" t="inlineStr">
        <is>
          <t>2018-03-19</t>
        </is>
      </c>
      <c r="C3246" t="inlineStr">
        <is>
          <t>2018-03</t>
        </is>
      </c>
      <c r="D3246" t="inlineStr">
        <is>
          <t>SC</t>
        </is>
      </c>
      <c r="E3246" t="inlineStr">
        <is>
          <t>watches_gifts</t>
        </is>
      </c>
      <c r="F3246" t="n">
        <v>1</v>
      </c>
      <c r="G3246" t="n">
        <v>219</v>
      </c>
      <c r="H3246" t="n">
        <v>24.11</v>
      </c>
      <c r="I3246" t="inlineStr">
        <is>
          <t>credit_card</t>
        </is>
      </c>
      <c r="J3246" t="n">
        <v>21</v>
      </c>
      <c r="K3246" t="inlineStr">
        <is>
          <t>On Time</t>
        </is>
      </c>
      <c r="L3246" t="n">
        <v>3</v>
      </c>
      <c r="M3246">
        <f>VLOOKUP(D3246,State_Lookup!$A$2:$B$28,2,FALSE)</f>
        <v/>
      </c>
    </row>
    <row r="3247">
      <c r="A3247" t="inlineStr">
        <is>
          <t>8ff625fadffb2448ac1d434dffb4d52c</t>
        </is>
      </c>
      <c r="B3247" t="inlineStr">
        <is>
          <t>2018-03-19</t>
        </is>
      </c>
      <c r="C3247" t="inlineStr">
        <is>
          <t>2018-03</t>
        </is>
      </c>
      <c r="D3247" t="inlineStr">
        <is>
          <t>SP</t>
        </is>
      </c>
      <c r="E3247" t="inlineStr">
        <is>
          <t>housewares</t>
        </is>
      </c>
      <c r="F3247" t="n">
        <v>1</v>
      </c>
      <c r="G3247" t="n">
        <v>47.19</v>
      </c>
      <c r="H3247" t="n">
        <v>11.15</v>
      </c>
      <c r="I3247" t="inlineStr">
        <is>
          <t>credit_card</t>
        </is>
      </c>
      <c r="J3247" t="n">
        <v>6</v>
      </c>
      <c r="K3247" t="inlineStr">
        <is>
          <t>On Time</t>
        </is>
      </c>
      <c r="L3247" t="n">
        <v>5</v>
      </c>
      <c r="M3247">
        <f>VLOOKUP(D3247,State_Lookup!$A$2:$B$28,2,FALSE)</f>
        <v/>
      </c>
    </row>
    <row r="3248">
      <c r="A3248" t="inlineStr">
        <is>
          <t>35f069c19a16b1ef6a4c4fda664db415</t>
        </is>
      </c>
      <c r="B3248" t="inlineStr">
        <is>
          <t>2018-03-19</t>
        </is>
      </c>
      <c r="C3248" t="inlineStr">
        <is>
          <t>2018-03</t>
        </is>
      </c>
      <c r="D3248" t="inlineStr">
        <is>
          <t>PE</t>
        </is>
      </c>
      <c r="E3248" t="inlineStr">
        <is>
          <t>sports_leisure</t>
        </is>
      </c>
      <c r="F3248" t="n">
        <v>1</v>
      </c>
      <c r="G3248" t="n">
        <v>255</v>
      </c>
      <c r="H3248" t="n">
        <v>40.01</v>
      </c>
      <c r="I3248" t="inlineStr">
        <is>
          <t>credit_card</t>
        </is>
      </c>
      <c r="J3248" t="n">
        <v>15</v>
      </c>
      <c r="K3248" t="inlineStr">
        <is>
          <t>On Time</t>
        </is>
      </c>
      <c r="L3248" t="n">
        <v>5</v>
      </c>
      <c r="M3248">
        <f>VLOOKUP(D3248,State_Lookup!$A$2:$B$28,2,FALSE)</f>
        <v/>
      </c>
    </row>
    <row r="3249">
      <c r="A3249" t="inlineStr">
        <is>
          <t>42ac49d6394099d7c2a5d2d7fd813bd8</t>
        </is>
      </c>
      <c r="B3249" t="inlineStr">
        <is>
          <t>2018-03-19</t>
        </is>
      </c>
      <c r="C3249" t="inlineStr">
        <is>
          <t>2018-03</t>
        </is>
      </c>
      <c r="D3249" t="inlineStr">
        <is>
          <t>SP</t>
        </is>
      </c>
      <c r="E3249" t="inlineStr">
        <is>
          <t>sports_leisure</t>
        </is>
      </c>
      <c r="F3249" t="n">
        <v>1</v>
      </c>
      <c r="G3249" t="n">
        <v>59.9</v>
      </c>
      <c r="H3249" t="n">
        <v>13.78</v>
      </c>
      <c r="I3249" t="inlineStr">
        <is>
          <t>credit_card</t>
        </is>
      </c>
      <c r="J3249" t="n">
        <v>17</v>
      </c>
      <c r="K3249" t="inlineStr">
        <is>
          <t>On Time</t>
        </is>
      </c>
      <c r="L3249" t="n">
        <v>4</v>
      </c>
      <c r="M3249">
        <f>VLOOKUP(D3249,State_Lookup!$A$2:$B$28,2,FALSE)</f>
        <v/>
      </c>
    </row>
    <row r="3250">
      <c r="A3250" t="inlineStr">
        <is>
          <t>be97eee4de1bfb3280324360aafea3cb</t>
        </is>
      </c>
      <c r="B3250" t="inlineStr">
        <is>
          <t>2018-03-19</t>
        </is>
      </c>
      <c r="C3250" t="inlineStr">
        <is>
          <t>2018-03</t>
        </is>
      </c>
      <c r="D3250" t="inlineStr">
        <is>
          <t>ES</t>
        </is>
      </c>
      <c r="E3250" t="inlineStr">
        <is>
          <t>watches_gifts</t>
        </is>
      </c>
      <c r="F3250" t="n">
        <v>1</v>
      </c>
      <c r="G3250" t="n">
        <v>115</v>
      </c>
      <c r="H3250" t="n">
        <v>18.69</v>
      </c>
      <c r="I3250" t="inlineStr">
        <is>
          <t>voucher</t>
        </is>
      </c>
      <c r="J3250" t="n">
        <v>19</v>
      </c>
      <c r="K3250" t="inlineStr">
        <is>
          <t>On Time</t>
        </is>
      </c>
      <c r="L3250" t="n">
        <v>5</v>
      </c>
      <c r="M3250">
        <f>VLOOKUP(D3250,State_Lookup!$A$2:$B$28,2,FALSE)</f>
        <v/>
      </c>
    </row>
    <row r="3251">
      <c r="A3251" t="inlineStr">
        <is>
          <t>6289102facc42d587c415f1ac8df5b2d</t>
        </is>
      </c>
      <c r="B3251" t="inlineStr">
        <is>
          <t>2018-03-19</t>
        </is>
      </c>
      <c r="C3251" t="inlineStr">
        <is>
          <t>2018-03</t>
        </is>
      </c>
      <c r="D3251" t="inlineStr">
        <is>
          <t>SP</t>
        </is>
      </c>
      <c r="E3251" t="inlineStr">
        <is>
          <t>watches_gifts</t>
        </is>
      </c>
      <c r="F3251" t="n">
        <v>2</v>
      </c>
      <c r="G3251" t="n">
        <v>78.90000000000001</v>
      </c>
      <c r="H3251" t="n">
        <v>24.64</v>
      </c>
      <c r="I3251" t="inlineStr">
        <is>
          <t>boleto</t>
        </is>
      </c>
      <c r="J3251" t="n">
        <v>3</v>
      </c>
      <c r="K3251" t="inlineStr">
        <is>
          <t>On Time</t>
        </is>
      </c>
      <c r="L3251" t="n">
        <v>1</v>
      </c>
      <c r="M3251">
        <f>VLOOKUP(D3251,State_Lookup!$A$2:$B$28,2,FALSE)</f>
        <v/>
      </c>
    </row>
    <row r="3252">
      <c r="A3252" t="inlineStr">
        <is>
          <t>f67f9e00c6535a03d484ba5bcd5227c9</t>
        </is>
      </c>
      <c r="B3252" t="inlineStr">
        <is>
          <t>2018-03-19</t>
        </is>
      </c>
      <c r="C3252" t="inlineStr">
        <is>
          <t>2018-03</t>
        </is>
      </c>
      <c r="D3252" t="inlineStr">
        <is>
          <t>RS</t>
        </is>
      </c>
      <c r="E3252" t="inlineStr">
        <is>
          <t>computers_accessories</t>
        </is>
      </c>
      <c r="F3252" t="n">
        <v>1</v>
      </c>
      <c r="G3252" t="n">
        <v>84.89</v>
      </c>
      <c r="H3252" t="n">
        <v>18.47</v>
      </c>
      <c r="I3252" t="inlineStr">
        <is>
          <t>boleto</t>
        </is>
      </c>
      <c r="J3252" t="n">
        <v>18</v>
      </c>
      <c r="K3252" t="inlineStr">
        <is>
          <t>On Time</t>
        </is>
      </c>
      <c r="L3252" t="n">
        <v>5</v>
      </c>
      <c r="M3252">
        <f>VLOOKUP(D3252,State_Lookup!$A$2:$B$28,2,FALSE)</f>
        <v/>
      </c>
    </row>
    <row r="3253">
      <c r="A3253" t="inlineStr">
        <is>
          <t>6e0b28c14e19f98166a6c136548dab7b</t>
        </is>
      </c>
      <c r="B3253" t="inlineStr">
        <is>
          <t>2018-03-19</t>
        </is>
      </c>
      <c r="C3253" t="inlineStr">
        <is>
          <t>2018-03</t>
        </is>
      </c>
      <c r="D3253" t="inlineStr">
        <is>
          <t>SP</t>
        </is>
      </c>
      <c r="E3253" t="inlineStr">
        <is>
          <t>housewares</t>
        </is>
      </c>
      <c r="F3253" t="n">
        <v>4</v>
      </c>
      <c r="G3253" t="n">
        <v>139.6</v>
      </c>
      <c r="H3253" t="n">
        <v>51.84</v>
      </c>
      <c r="I3253" t="inlineStr">
        <is>
          <t>boleto</t>
        </is>
      </c>
      <c r="J3253" t="n">
        <v>3</v>
      </c>
      <c r="K3253" t="inlineStr">
        <is>
          <t>On Time</t>
        </is>
      </c>
      <c r="L3253" t="n">
        <v>5</v>
      </c>
      <c r="M3253">
        <f>VLOOKUP(D3253,State_Lookup!$A$2:$B$28,2,FALSE)</f>
        <v/>
      </c>
    </row>
    <row r="3254">
      <c r="A3254" t="inlineStr">
        <is>
          <t>ddb34cd42a4f007c29595d7d57caac94</t>
        </is>
      </c>
      <c r="B3254" t="inlineStr">
        <is>
          <t>2018-03-19</t>
        </is>
      </c>
      <c r="C3254" t="inlineStr">
        <is>
          <t>2018-03</t>
        </is>
      </c>
      <c r="D3254" t="inlineStr">
        <is>
          <t>SP</t>
        </is>
      </c>
      <c r="E3254" t="inlineStr">
        <is>
          <t>pet_shop</t>
        </is>
      </c>
      <c r="F3254" t="n">
        <v>1</v>
      </c>
      <c r="G3254" t="n">
        <v>46.9</v>
      </c>
      <c r="H3254" t="n">
        <v>12.79</v>
      </c>
      <c r="I3254" t="inlineStr">
        <is>
          <t>credit_card</t>
        </is>
      </c>
      <c r="J3254" t="n">
        <v>8</v>
      </c>
      <c r="K3254" t="inlineStr">
        <is>
          <t>On Time</t>
        </is>
      </c>
      <c r="L3254" t="n">
        <v>5</v>
      </c>
      <c r="M3254">
        <f>VLOOKUP(D3254,State_Lookup!$A$2:$B$28,2,FALSE)</f>
        <v/>
      </c>
    </row>
    <row r="3255">
      <c r="A3255" t="inlineStr">
        <is>
          <t>933b44007775d08defe992a330429cbb</t>
        </is>
      </c>
      <c r="B3255" t="inlineStr">
        <is>
          <t>2018-03-19</t>
        </is>
      </c>
      <c r="C3255" t="inlineStr">
        <is>
          <t>2018-03</t>
        </is>
      </c>
      <c r="D3255" t="inlineStr">
        <is>
          <t>RJ</t>
        </is>
      </c>
      <c r="E3255" t="inlineStr">
        <is>
          <t>perfumery</t>
        </is>
      </c>
      <c r="F3255" t="n">
        <v>1</v>
      </c>
      <c r="G3255" t="n">
        <v>8.9</v>
      </c>
      <c r="H3255" t="n">
        <v>18.23</v>
      </c>
      <c r="I3255" t="inlineStr">
        <is>
          <t>credit_card</t>
        </is>
      </c>
      <c r="J3255" t="n">
        <v>17</v>
      </c>
      <c r="K3255" t="inlineStr">
        <is>
          <t>On Time</t>
        </is>
      </c>
      <c r="L3255" t="n">
        <v>5</v>
      </c>
      <c r="M3255">
        <f>VLOOKUP(D3255,State_Lookup!$A$2:$B$28,2,FALSE)</f>
        <v/>
      </c>
    </row>
    <row r="3256">
      <c r="A3256" t="inlineStr">
        <is>
          <t>5ea857730c2e2b2c0eb0cf640d586126</t>
        </is>
      </c>
      <c r="B3256" t="inlineStr">
        <is>
          <t>2018-03-20</t>
        </is>
      </c>
      <c r="C3256" t="inlineStr">
        <is>
          <t>2018-03</t>
        </is>
      </c>
      <c r="D3256" t="inlineStr">
        <is>
          <t>SP</t>
        </is>
      </c>
      <c r="E3256" t="inlineStr">
        <is>
          <t>home_appliances</t>
        </is>
      </c>
      <c r="F3256" t="n">
        <v>1</v>
      </c>
      <c r="G3256" t="n">
        <v>157.5</v>
      </c>
      <c r="H3256" t="n">
        <v>9.4</v>
      </c>
      <c r="I3256" t="inlineStr">
        <is>
          <t>credit_card</t>
        </is>
      </c>
      <c r="J3256" t="n">
        <v>3</v>
      </c>
      <c r="K3256" t="inlineStr">
        <is>
          <t>On Time</t>
        </is>
      </c>
      <c r="L3256" t="n">
        <v>5</v>
      </c>
      <c r="M3256">
        <f>VLOOKUP(D3256,State_Lookup!$A$2:$B$28,2,FALSE)</f>
        <v/>
      </c>
    </row>
    <row r="3257">
      <c r="A3257" t="inlineStr">
        <is>
          <t>8c026d542e6e6803115061acaed02330</t>
        </is>
      </c>
      <c r="B3257" t="inlineStr">
        <is>
          <t>2018-03-20</t>
        </is>
      </c>
      <c r="C3257" t="inlineStr">
        <is>
          <t>2018-03</t>
        </is>
      </c>
      <c r="D3257" t="inlineStr">
        <is>
          <t>MG</t>
        </is>
      </c>
      <c r="E3257" t="inlineStr">
        <is>
          <t>sports_leisure</t>
        </is>
      </c>
      <c r="F3257" t="n">
        <v>1</v>
      </c>
      <c r="G3257" t="n">
        <v>59.99</v>
      </c>
      <c r="H3257" t="n">
        <v>16.39</v>
      </c>
      <c r="I3257" t="inlineStr">
        <is>
          <t>boleto</t>
        </is>
      </c>
      <c r="J3257" t="n">
        <v>23</v>
      </c>
      <c r="K3257" t="inlineStr">
        <is>
          <t>Late</t>
        </is>
      </c>
      <c r="L3257" t="n">
        <v>4</v>
      </c>
      <c r="M3257">
        <f>VLOOKUP(D3257,State_Lookup!$A$2:$B$28,2,FALSE)</f>
        <v/>
      </c>
    </row>
    <row r="3258">
      <c r="A3258" t="inlineStr">
        <is>
          <t>ca23ddf87cf569c651185e5ad2628e2d</t>
        </is>
      </c>
      <c r="B3258" t="inlineStr">
        <is>
          <t>2018-03-20</t>
        </is>
      </c>
      <c r="C3258" t="inlineStr">
        <is>
          <t>2018-03</t>
        </is>
      </c>
      <c r="D3258" t="inlineStr">
        <is>
          <t>RS</t>
        </is>
      </c>
      <c r="E3258" t="inlineStr">
        <is>
          <t>furniture_decor</t>
        </is>
      </c>
      <c r="F3258" t="n">
        <v>1</v>
      </c>
      <c r="G3258" t="n">
        <v>70</v>
      </c>
      <c r="H3258" t="n">
        <v>23.07</v>
      </c>
      <c r="I3258" t="inlineStr">
        <is>
          <t>boleto</t>
        </is>
      </c>
      <c r="J3258" t="n">
        <v>13</v>
      </c>
      <c r="K3258" t="inlineStr">
        <is>
          <t>On Time</t>
        </is>
      </c>
      <c r="L3258" t="n">
        <v>5</v>
      </c>
      <c r="M3258">
        <f>VLOOKUP(D3258,State_Lookup!$A$2:$B$28,2,FALSE)</f>
        <v/>
      </c>
    </row>
    <row r="3259">
      <c r="A3259" t="inlineStr">
        <is>
          <t>537f17846f5373310e18e7bcc734c39d</t>
        </is>
      </c>
      <c r="B3259" t="inlineStr">
        <is>
          <t>2018-03-20</t>
        </is>
      </c>
      <c r="C3259" t="inlineStr">
        <is>
          <t>2018-03</t>
        </is>
      </c>
      <c r="D3259" t="inlineStr">
        <is>
          <t>SP</t>
        </is>
      </c>
      <c r="E3259" t="inlineStr">
        <is>
          <t>computers_accessories</t>
        </is>
      </c>
      <c r="F3259" t="n">
        <v>1</v>
      </c>
      <c r="G3259" t="n">
        <v>299.99</v>
      </c>
      <c r="H3259" t="n">
        <v>28.96</v>
      </c>
      <c r="I3259" t="inlineStr">
        <is>
          <t>boleto</t>
        </is>
      </c>
      <c r="J3259" t="n">
        <v>8</v>
      </c>
      <c r="K3259" t="inlineStr">
        <is>
          <t>On Time</t>
        </is>
      </c>
      <c r="L3259" t="n">
        <v>4</v>
      </c>
      <c r="M3259">
        <f>VLOOKUP(D3259,State_Lookup!$A$2:$B$28,2,FALSE)</f>
        <v/>
      </c>
    </row>
    <row r="3260">
      <c r="A3260" t="inlineStr">
        <is>
          <t>82a6ea37c0c3ed2f6fe3a6029adbc589</t>
        </is>
      </c>
      <c r="B3260" t="inlineStr">
        <is>
          <t>2018-03-20</t>
        </is>
      </c>
      <c r="C3260" t="inlineStr">
        <is>
          <t>2018-03</t>
        </is>
      </c>
      <c r="D3260" t="inlineStr">
        <is>
          <t>RJ</t>
        </is>
      </c>
      <c r="E3260" t="inlineStr">
        <is>
          <t>health_beauty</t>
        </is>
      </c>
      <c r="F3260" t="n">
        <v>1</v>
      </c>
      <c r="G3260" t="n">
        <v>19.9</v>
      </c>
      <c r="H3260" t="n">
        <v>17.06</v>
      </c>
      <c r="I3260" t="inlineStr">
        <is>
          <t>credit_card</t>
        </is>
      </c>
      <c r="J3260" t="n">
        <v>9</v>
      </c>
      <c r="K3260" t="inlineStr">
        <is>
          <t>On Time</t>
        </is>
      </c>
      <c r="L3260" t="n">
        <v>5</v>
      </c>
      <c r="M3260">
        <f>VLOOKUP(D3260,State_Lookup!$A$2:$B$28,2,FALSE)</f>
        <v/>
      </c>
    </row>
    <row r="3261">
      <c r="A3261" t="inlineStr">
        <is>
          <t>2fa04cf2e7effc77c6c4355cd4401bcc</t>
        </is>
      </c>
      <c r="B3261" t="inlineStr">
        <is>
          <t>2018-03-20</t>
        </is>
      </c>
      <c r="C3261" t="inlineStr">
        <is>
          <t>2018-03</t>
        </is>
      </c>
      <c r="D3261" t="inlineStr">
        <is>
          <t>MG</t>
        </is>
      </c>
      <c r="E3261" t="inlineStr">
        <is>
          <t>furniture_decor</t>
        </is>
      </c>
      <c r="F3261" t="n">
        <v>1</v>
      </c>
      <c r="G3261" t="n">
        <v>79.98999999999999</v>
      </c>
      <c r="H3261" t="n">
        <v>23.14</v>
      </c>
      <c r="I3261" t="inlineStr">
        <is>
          <t>credit_card</t>
        </is>
      </c>
      <c r="J3261" t="n">
        <v>16</v>
      </c>
      <c r="K3261" t="inlineStr">
        <is>
          <t>On Time</t>
        </is>
      </c>
      <c r="L3261" t="n">
        <v>5</v>
      </c>
      <c r="M3261">
        <f>VLOOKUP(D3261,State_Lookup!$A$2:$B$28,2,FALSE)</f>
        <v/>
      </c>
    </row>
    <row r="3262">
      <c r="A3262" t="inlineStr">
        <is>
          <t>96ba203b82627b53d6797d030b330274</t>
        </is>
      </c>
      <c r="B3262" t="inlineStr">
        <is>
          <t>2018-03-20</t>
        </is>
      </c>
      <c r="C3262" t="inlineStr">
        <is>
          <t>2018-03</t>
        </is>
      </c>
      <c r="D3262" t="inlineStr">
        <is>
          <t>SP</t>
        </is>
      </c>
      <c r="E3262" t="inlineStr">
        <is>
          <t>perfumery</t>
        </is>
      </c>
      <c r="F3262" t="n">
        <v>2</v>
      </c>
      <c r="G3262" t="n">
        <v>67.59999999999999</v>
      </c>
      <c r="H3262" t="n">
        <v>25.57</v>
      </c>
      <c r="I3262" t="inlineStr">
        <is>
          <t>credit_card</t>
        </is>
      </c>
      <c r="J3262" t="n">
        <v>6</v>
      </c>
      <c r="K3262" t="inlineStr">
        <is>
          <t>On Time</t>
        </is>
      </c>
      <c r="L3262" t="n">
        <v>5</v>
      </c>
      <c r="M3262">
        <f>VLOOKUP(D3262,State_Lookup!$A$2:$B$28,2,FALSE)</f>
        <v/>
      </c>
    </row>
    <row r="3263">
      <c r="A3263" t="inlineStr">
        <is>
          <t>679b2d97d9e7a6d014bb71bc4d7beeae</t>
        </is>
      </c>
      <c r="B3263" t="inlineStr">
        <is>
          <t>2018-03-20</t>
        </is>
      </c>
      <c r="C3263" t="inlineStr">
        <is>
          <t>2018-03</t>
        </is>
      </c>
      <c r="D3263" t="inlineStr">
        <is>
          <t>SP</t>
        </is>
      </c>
      <c r="E3263" t="inlineStr">
        <is>
          <t>auto</t>
        </is>
      </c>
      <c r="F3263" t="n">
        <v>1</v>
      </c>
      <c r="G3263" t="n">
        <v>17</v>
      </c>
      <c r="H3263" t="n">
        <v>8.880000000000001</v>
      </c>
      <c r="I3263" t="inlineStr">
        <is>
          <t>boleto</t>
        </is>
      </c>
      <c r="J3263" t="n">
        <v>3</v>
      </c>
      <c r="K3263" t="inlineStr">
        <is>
          <t>On Time</t>
        </is>
      </c>
      <c r="L3263" t="n">
        <v>5</v>
      </c>
      <c r="M3263">
        <f>VLOOKUP(D3263,State_Lookup!$A$2:$B$28,2,FALSE)</f>
        <v/>
      </c>
    </row>
    <row r="3264">
      <c r="A3264" t="inlineStr">
        <is>
          <t>38559c61343c85697de47177896737e6</t>
        </is>
      </c>
      <c r="B3264" t="inlineStr">
        <is>
          <t>2018-03-20</t>
        </is>
      </c>
      <c r="C3264" t="inlineStr">
        <is>
          <t>2018-03</t>
        </is>
      </c>
      <c r="D3264" t="inlineStr">
        <is>
          <t>SC</t>
        </is>
      </c>
      <c r="E3264" t="inlineStr">
        <is>
          <t>computers_accessories</t>
        </is>
      </c>
      <c r="F3264" t="n">
        <v>1</v>
      </c>
      <c r="G3264" t="n">
        <v>50.99</v>
      </c>
      <c r="H3264" t="n">
        <v>22.07</v>
      </c>
      <c r="I3264" t="inlineStr">
        <is>
          <t>credit_card</t>
        </is>
      </c>
      <c r="J3264" t="n">
        <v>7</v>
      </c>
      <c r="K3264" t="inlineStr">
        <is>
          <t>On Time</t>
        </is>
      </c>
      <c r="L3264" t="n">
        <v>5</v>
      </c>
      <c r="M3264">
        <f>VLOOKUP(D3264,State_Lookup!$A$2:$B$28,2,FALSE)</f>
        <v/>
      </c>
    </row>
    <row r="3265">
      <c r="A3265" t="inlineStr">
        <is>
          <t>b408f4a2019ebaf05a37c861b4c611bc</t>
        </is>
      </c>
      <c r="B3265" t="inlineStr">
        <is>
          <t>2018-03-21</t>
        </is>
      </c>
      <c r="C3265" t="inlineStr">
        <is>
          <t>2018-03</t>
        </is>
      </c>
      <c r="D3265" t="inlineStr">
        <is>
          <t>RJ</t>
        </is>
      </c>
      <c r="E3265" t="inlineStr">
        <is>
          <t>musical_instruments</t>
        </is>
      </c>
      <c r="F3265" t="n">
        <v>1</v>
      </c>
      <c r="G3265" t="n">
        <v>59</v>
      </c>
      <c r="H3265" t="n">
        <v>15.29</v>
      </c>
      <c r="I3265" t="inlineStr">
        <is>
          <t>credit_card</t>
        </is>
      </c>
      <c r="J3265" t="n">
        <v>35</v>
      </c>
      <c r="K3265" t="inlineStr">
        <is>
          <t>On Time</t>
        </is>
      </c>
      <c r="L3265" t="n">
        <v>4</v>
      </c>
      <c r="M3265">
        <f>VLOOKUP(D3265,State_Lookup!$A$2:$B$28,2,FALSE)</f>
        <v/>
      </c>
    </row>
    <row r="3266">
      <c r="A3266" t="inlineStr">
        <is>
          <t>fa794cef99ed64f42ebb766a8af51c64</t>
        </is>
      </c>
      <c r="B3266" t="inlineStr">
        <is>
          <t>2018-03-21</t>
        </is>
      </c>
      <c r="C3266" t="inlineStr">
        <is>
          <t>2018-03</t>
        </is>
      </c>
      <c r="D3266" t="inlineStr">
        <is>
          <t>SP</t>
        </is>
      </c>
      <c r="E3266" t="inlineStr">
        <is>
          <t>telephony</t>
        </is>
      </c>
      <c r="F3266" t="n">
        <v>1</v>
      </c>
      <c r="G3266" t="n">
        <v>989</v>
      </c>
      <c r="H3266" t="n">
        <v>13.79</v>
      </c>
      <c r="I3266" t="inlineStr">
        <is>
          <t>credit_card</t>
        </is>
      </c>
      <c r="J3266" t="n">
        <v>33</v>
      </c>
      <c r="K3266" t="inlineStr">
        <is>
          <t>Late</t>
        </is>
      </c>
      <c r="L3266" t="n">
        <v>1</v>
      </c>
      <c r="M3266">
        <f>VLOOKUP(D3266,State_Lookup!$A$2:$B$28,2,FALSE)</f>
        <v/>
      </c>
    </row>
    <row r="3267">
      <c r="A3267" t="inlineStr">
        <is>
          <t>49a8037eb392560be2070774d0eb046b</t>
        </is>
      </c>
      <c r="B3267" t="inlineStr">
        <is>
          <t>2018-03-21</t>
        </is>
      </c>
      <c r="C3267" t="inlineStr">
        <is>
          <t>2018-03</t>
        </is>
      </c>
      <c r="D3267" t="inlineStr">
        <is>
          <t>SP</t>
        </is>
      </c>
      <c r="E3267" t="inlineStr">
        <is>
          <t>furniture_decor</t>
        </is>
      </c>
      <c r="F3267" t="n">
        <v>1</v>
      </c>
      <c r="G3267" t="n">
        <v>17.9</v>
      </c>
      <c r="H3267" t="n">
        <v>15.23</v>
      </c>
      <c r="I3267" t="inlineStr">
        <is>
          <t>voucher</t>
        </is>
      </c>
      <c r="J3267" t="n">
        <v>7</v>
      </c>
      <c r="K3267" t="inlineStr">
        <is>
          <t>On Time</t>
        </is>
      </c>
      <c r="L3267" t="n">
        <v>4</v>
      </c>
      <c r="M3267">
        <f>VLOOKUP(D3267,State_Lookup!$A$2:$B$28,2,FALSE)</f>
        <v/>
      </c>
    </row>
    <row r="3268">
      <c r="A3268" t="inlineStr">
        <is>
          <t>6b6291ce14ed6c6cd2df883635e6c704</t>
        </is>
      </c>
      <c r="B3268" t="inlineStr">
        <is>
          <t>2018-03-21</t>
        </is>
      </c>
      <c r="C3268" t="inlineStr">
        <is>
          <t>2018-03</t>
        </is>
      </c>
      <c r="D3268" t="inlineStr">
        <is>
          <t>RJ</t>
        </is>
      </c>
      <c r="E3268" t="inlineStr">
        <is>
          <t>kitchen_dining_laundry_garden_furniture</t>
        </is>
      </c>
      <c r="F3268" t="n">
        <v>1</v>
      </c>
      <c r="G3268" t="n">
        <v>119</v>
      </c>
      <c r="H3268" t="n">
        <v>40.9</v>
      </c>
      <c r="I3268" t="inlineStr">
        <is>
          <t>credit_card</t>
        </is>
      </c>
      <c r="J3268" t="n">
        <v>46</v>
      </c>
      <c r="K3268" t="inlineStr">
        <is>
          <t>Late</t>
        </is>
      </c>
      <c r="L3268" t="n">
        <v>1</v>
      </c>
      <c r="M3268">
        <f>VLOOKUP(D3268,State_Lookup!$A$2:$B$28,2,FALSE)</f>
        <v/>
      </c>
    </row>
    <row r="3269">
      <c r="A3269" t="inlineStr">
        <is>
          <t>339889810ba75dd015439b4ec6c33a5b</t>
        </is>
      </c>
      <c r="B3269" t="inlineStr">
        <is>
          <t>2018-03-21</t>
        </is>
      </c>
      <c r="C3269" t="inlineStr">
        <is>
          <t>2018-03</t>
        </is>
      </c>
      <c r="D3269" t="inlineStr">
        <is>
          <t>SP</t>
        </is>
      </c>
      <c r="E3269" t="inlineStr">
        <is>
          <t>office_furniture</t>
        </is>
      </c>
      <c r="F3269" t="n">
        <v>1</v>
      </c>
      <c r="G3269" t="n">
        <v>179.9</v>
      </c>
      <c r="H3269" t="n">
        <v>30.38</v>
      </c>
      <c r="I3269" t="inlineStr">
        <is>
          <t>credit_card</t>
        </is>
      </c>
      <c r="J3269" t="n">
        <v>23</v>
      </c>
      <c r="K3269" t="inlineStr">
        <is>
          <t>On Time</t>
        </is>
      </c>
      <c r="L3269" t="n">
        <v>4</v>
      </c>
      <c r="M3269">
        <f>VLOOKUP(D3269,State_Lookup!$A$2:$B$28,2,FALSE)</f>
        <v/>
      </c>
    </row>
    <row r="3270">
      <c r="A3270" t="inlineStr">
        <is>
          <t>5e1452bdf1c8fcf2b69f810cf9374a8e</t>
        </is>
      </c>
      <c r="B3270" t="inlineStr">
        <is>
          <t>2018-03-21</t>
        </is>
      </c>
      <c r="C3270" t="inlineStr">
        <is>
          <t>2018-03</t>
        </is>
      </c>
      <c r="D3270" t="inlineStr">
        <is>
          <t>MG</t>
        </is>
      </c>
      <c r="E3270" t="inlineStr">
        <is>
          <t>garden_tools</t>
        </is>
      </c>
      <c r="F3270" t="n">
        <v>1</v>
      </c>
      <c r="G3270" t="n">
        <v>55</v>
      </c>
      <c r="H3270" t="n">
        <v>19.36</v>
      </c>
      <c r="I3270" t="inlineStr">
        <is>
          <t>boleto</t>
        </is>
      </c>
      <c r="J3270" t="n">
        <v>14</v>
      </c>
      <c r="K3270" t="inlineStr">
        <is>
          <t>On Time</t>
        </is>
      </c>
      <c r="L3270" t="n">
        <v>5</v>
      </c>
      <c r="M3270">
        <f>VLOOKUP(D3270,State_Lookup!$A$2:$B$28,2,FALSE)</f>
        <v/>
      </c>
    </row>
    <row r="3271">
      <c r="A3271" t="inlineStr">
        <is>
          <t>c9ebb7aedaf396f225f85df6735dd67e</t>
        </is>
      </c>
      <c r="B3271" t="inlineStr">
        <is>
          <t>2018-03-21</t>
        </is>
      </c>
      <c r="C3271" t="inlineStr">
        <is>
          <t>2018-03</t>
        </is>
      </c>
      <c r="D3271" t="inlineStr">
        <is>
          <t>RS</t>
        </is>
      </c>
      <c r="E3271" t="inlineStr">
        <is>
          <t>sports_leisure</t>
        </is>
      </c>
      <c r="F3271" t="n">
        <v>1</v>
      </c>
      <c r="G3271" t="n">
        <v>149.9</v>
      </c>
      <c r="H3271" t="n">
        <v>23.63</v>
      </c>
      <c r="I3271" t="inlineStr">
        <is>
          <t>boleto</t>
        </is>
      </c>
      <c r="J3271" t="n">
        <v>24</v>
      </c>
      <c r="K3271" t="inlineStr">
        <is>
          <t>On Time</t>
        </is>
      </c>
      <c r="L3271" t="n">
        <v>3</v>
      </c>
      <c r="M3271">
        <f>VLOOKUP(D3271,State_Lookup!$A$2:$B$28,2,FALSE)</f>
        <v/>
      </c>
    </row>
    <row r="3272">
      <c r="A3272" t="inlineStr">
        <is>
          <t>e619222dc1c471bc9cc8375cd448af63</t>
        </is>
      </c>
      <c r="B3272" t="inlineStr">
        <is>
          <t>2018-03-21</t>
        </is>
      </c>
      <c r="C3272" t="inlineStr">
        <is>
          <t>2018-03</t>
        </is>
      </c>
      <c r="D3272" t="inlineStr">
        <is>
          <t>SP</t>
        </is>
      </c>
      <c r="E3272" t="inlineStr">
        <is>
          <t>air_conditioning</t>
        </is>
      </c>
      <c r="F3272" t="n">
        <v>1</v>
      </c>
      <c r="G3272" t="n">
        <v>24.9</v>
      </c>
      <c r="H3272" t="n">
        <v>12.79</v>
      </c>
      <c r="I3272" t="inlineStr">
        <is>
          <t>credit_card</t>
        </is>
      </c>
      <c r="J3272" t="n">
        <v>16</v>
      </c>
      <c r="K3272" t="inlineStr">
        <is>
          <t>On Time</t>
        </is>
      </c>
      <c r="L3272" t="n">
        <v>5</v>
      </c>
      <c r="M3272">
        <f>VLOOKUP(D3272,State_Lookup!$A$2:$B$28,2,FALSE)</f>
        <v/>
      </c>
    </row>
    <row r="3273">
      <c r="A3273" t="inlineStr">
        <is>
          <t>9d1a6308e1de0ec94620e9663d33dd7a</t>
        </is>
      </c>
      <c r="B3273" t="inlineStr">
        <is>
          <t>2018-03-21</t>
        </is>
      </c>
      <c r="C3273" t="inlineStr">
        <is>
          <t>2018-03</t>
        </is>
      </c>
      <c r="D3273" t="inlineStr">
        <is>
          <t>SC</t>
        </is>
      </c>
      <c r="E3273" t="inlineStr">
        <is>
          <t>fashion_bags_accessories</t>
        </is>
      </c>
      <c r="F3273" t="n">
        <v>1</v>
      </c>
      <c r="G3273" t="n">
        <v>29.99</v>
      </c>
      <c r="H3273" t="n">
        <v>15.23</v>
      </c>
      <c r="I3273" t="inlineStr">
        <is>
          <t>credit_card</t>
        </is>
      </c>
      <c r="J3273" t="n">
        <v>5</v>
      </c>
      <c r="K3273" t="inlineStr">
        <is>
          <t>On Time</t>
        </is>
      </c>
      <c r="L3273" t="n">
        <v>4</v>
      </c>
      <c r="M3273">
        <f>VLOOKUP(D3273,State_Lookup!$A$2:$B$28,2,FALSE)</f>
        <v/>
      </c>
    </row>
    <row r="3274">
      <c r="A3274" t="inlineStr">
        <is>
          <t>24d1b74a97e959cf2ed7190dcc02e726</t>
        </is>
      </c>
      <c r="B3274" t="inlineStr">
        <is>
          <t>2018-03-21</t>
        </is>
      </c>
      <c r="C3274" t="inlineStr">
        <is>
          <t>2018-03</t>
        </is>
      </c>
      <c r="D3274" t="inlineStr">
        <is>
          <t>RS</t>
        </is>
      </c>
      <c r="E3274" t="inlineStr">
        <is>
          <t>telephony</t>
        </is>
      </c>
      <c r="F3274" t="n">
        <v>1</v>
      </c>
      <c r="G3274" t="n">
        <v>23.99</v>
      </c>
      <c r="H3274" t="n">
        <v>18.23</v>
      </c>
      <c r="I3274" t="inlineStr">
        <is>
          <t>credit_card</t>
        </is>
      </c>
      <c r="J3274" t="n">
        <v>8</v>
      </c>
      <c r="K3274" t="inlineStr">
        <is>
          <t>On Time</t>
        </is>
      </c>
      <c r="L3274" t="n">
        <v>5</v>
      </c>
      <c r="M3274">
        <f>VLOOKUP(D3274,State_Lookup!$A$2:$B$28,2,FALSE)</f>
        <v/>
      </c>
    </row>
    <row r="3275">
      <c r="A3275" t="inlineStr">
        <is>
          <t>f69de9f3c79fe9e8689a3718ea110a12</t>
        </is>
      </c>
      <c r="B3275" t="inlineStr">
        <is>
          <t>2018-03-21</t>
        </is>
      </c>
      <c r="C3275" t="inlineStr">
        <is>
          <t>2018-03</t>
        </is>
      </c>
      <c r="D3275" t="inlineStr">
        <is>
          <t>SP</t>
        </is>
      </c>
      <c r="E3275" t="inlineStr">
        <is>
          <t>air_conditioning</t>
        </is>
      </c>
      <c r="F3275" t="n">
        <v>1</v>
      </c>
      <c r="G3275" t="n">
        <v>233.99</v>
      </c>
      <c r="H3275" t="n">
        <v>49.5</v>
      </c>
      <c r="I3275" t="inlineStr">
        <is>
          <t>credit_card</t>
        </is>
      </c>
      <c r="J3275" t="n">
        <v>6</v>
      </c>
      <c r="K3275" t="inlineStr">
        <is>
          <t>On Time</t>
        </is>
      </c>
      <c r="L3275" t="n">
        <v>3</v>
      </c>
      <c r="M3275">
        <f>VLOOKUP(D3275,State_Lookup!$A$2:$B$28,2,FALSE)</f>
        <v/>
      </c>
    </row>
    <row r="3276">
      <c r="A3276" t="inlineStr">
        <is>
          <t>badd0610d349f865d84d27e36b2abde4</t>
        </is>
      </c>
      <c r="B3276" t="inlineStr">
        <is>
          <t>2018-03-21</t>
        </is>
      </c>
      <c r="C3276" t="inlineStr">
        <is>
          <t>2018-03</t>
        </is>
      </c>
      <c r="D3276" t="inlineStr">
        <is>
          <t>RJ</t>
        </is>
      </c>
      <c r="E3276" t="inlineStr">
        <is>
          <t>housewares</t>
        </is>
      </c>
      <c r="F3276" t="n">
        <v>2</v>
      </c>
      <c r="G3276" t="n">
        <v>237</v>
      </c>
      <c r="H3276" t="n">
        <v>61.28</v>
      </c>
      <c r="I3276" t="inlineStr">
        <is>
          <t>credit_card</t>
        </is>
      </c>
      <c r="J3276" t="n">
        <v>7</v>
      </c>
      <c r="K3276" t="inlineStr">
        <is>
          <t>On Time</t>
        </is>
      </c>
      <c r="L3276" t="n">
        <v>1</v>
      </c>
      <c r="M3276">
        <f>VLOOKUP(D3276,State_Lookup!$A$2:$B$28,2,FALSE)</f>
        <v/>
      </c>
    </row>
    <row r="3277">
      <c r="A3277" t="inlineStr">
        <is>
          <t>a38dda1569202dafdff4060bf32c811e</t>
        </is>
      </c>
      <c r="B3277" t="inlineStr">
        <is>
          <t>2018-03-21</t>
        </is>
      </c>
      <c r="C3277" t="inlineStr">
        <is>
          <t>2018-03</t>
        </is>
      </c>
      <c r="D3277" t="inlineStr">
        <is>
          <t>BA</t>
        </is>
      </c>
      <c r="E3277" t="inlineStr">
        <is>
          <t>perfumery</t>
        </is>
      </c>
      <c r="F3277" t="n">
        <v>1</v>
      </c>
      <c r="G3277" t="n">
        <v>44.9</v>
      </c>
      <c r="H3277" t="n">
        <v>17.06</v>
      </c>
      <c r="I3277" t="inlineStr">
        <is>
          <t>voucher</t>
        </is>
      </c>
      <c r="J3277" t="n">
        <v>10</v>
      </c>
      <c r="K3277" t="inlineStr">
        <is>
          <t>On Time</t>
        </is>
      </c>
      <c r="L3277" t="n">
        <v>5</v>
      </c>
      <c r="M3277">
        <f>VLOOKUP(D3277,State_Lookup!$A$2:$B$28,2,FALSE)</f>
        <v/>
      </c>
    </row>
    <row r="3278">
      <c r="A3278" t="inlineStr">
        <is>
          <t>18c3c1366ee83a4162a2eefe7bb66f23</t>
        </is>
      </c>
      <c r="B3278" t="inlineStr">
        <is>
          <t>2018-03-21</t>
        </is>
      </c>
      <c r="C3278" t="inlineStr">
        <is>
          <t>2018-03</t>
        </is>
      </c>
      <c r="D3278" t="inlineStr">
        <is>
          <t>GO</t>
        </is>
      </c>
      <c r="E3278" t="inlineStr">
        <is>
          <t>furniture_decor</t>
        </is>
      </c>
      <c r="F3278" t="n">
        <v>1</v>
      </c>
      <c r="G3278" t="n">
        <v>69.90000000000001</v>
      </c>
      <c r="H3278" t="n">
        <v>20.06</v>
      </c>
      <c r="I3278" t="inlineStr">
        <is>
          <t>boleto</t>
        </is>
      </c>
      <c r="J3278" t="n">
        <v>12</v>
      </c>
      <c r="K3278" t="inlineStr">
        <is>
          <t>On Time</t>
        </is>
      </c>
      <c r="L3278" t="n">
        <v>1</v>
      </c>
      <c r="M3278">
        <f>VLOOKUP(D3278,State_Lookup!$A$2:$B$28,2,FALSE)</f>
        <v/>
      </c>
    </row>
    <row r="3279">
      <c r="A3279" t="inlineStr">
        <is>
          <t>742aea07dd8f1cc25098f44089301a0c</t>
        </is>
      </c>
      <c r="B3279" t="inlineStr">
        <is>
          <t>2018-03-21</t>
        </is>
      </c>
      <c r="C3279" t="inlineStr">
        <is>
          <t>2018-03</t>
        </is>
      </c>
      <c r="D3279" t="inlineStr">
        <is>
          <t>SP</t>
        </is>
      </c>
      <c r="E3279" t="inlineStr">
        <is>
          <t>computers_accessories</t>
        </is>
      </c>
      <c r="F3279" t="n">
        <v>1</v>
      </c>
      <c r="G3279" t="n">
        <v>39.99</v>
      </c>
      <c r="H3279" t="n">
        <v>8.289999999999999</v>
      </c>
      <c r="I3279" t="inlineStr">
        <is>
          <t>credit_card</t>
        </is>
      </c>
      <c r="J3279" t="n">
        <v>6</v>
      </c>
      <c r="K3279" t="inlineStr">
        <is>
          <t>On Time</t>
        </is>
      </c>
      <c r="L3279" t="n">
        <v>4</v>
      </c>
      <c r="M3279">
        <f>VLOOKUP(D3279,State_Lookup!$A$2:$B$28,2,FALSE)</f>
        <v/>
      </c>
    </row>
    <row r="3280">
      <c r="A3280" t="inlineStr">
        <is>
          <t>e055ea75678450065cbfb7af8fc4d16e</t>
        </is>
      </c>
      <c r="B3280" t="inlineStr">
        <is>
          <t>2018-03-22</t>
        </is>
      </c>
      <c r="C3280" t="inlineStr">
        <is>
          <t>2018-03</t>
        </is>
      </c>
      <c r="D3280" t="inlineStr">
        <is>
          <t>SP</t>
        </is>
      </c>
      <c r="E3280" t="inlineStr">
        <is>
          <t>musical_instruments</t>
        </is>
      </c>
      <c r="F3280" t="n">
        <v>1</v>
      </c>
      <c r="G3280" t="n">
        <v>94.90000000000001</v>
      </c>
      <c r="H3280" t="n">
        <v>15.54</v>
      </c>
      <c r="I3280" t="inlineStr">
        <is>
          <t>credit_card</t>
        </is>
      </c>
      <c r="J3280" t="n">
        <v>12</v>
      </c>
      <c r="K3280" t="inlineStr">
        <is>
          <t>On Time</t>
        </is>
      </c>
      <c r="L3280" t="n">
        <v>5</v>
      </c>
      <c r="M3280">
        <f>VLOOKUP(D3280,State_Lookup!$A$2:$B$28,2,FALSE)</f>
        <v/>
      </c>
    </row>
    <row r="3281">
      <c r="A3281" t="inlineStr">
        <is>
          <t>3a17199c5f4688279c69a931b1950c86</t>
        </is>
      </c>
      <c r="B3281" t="inlineStr">
        <is>
          <t>2018-03-22</t>
        </is>
      </c>
      <c r="C3281" t="inlineStr">
        <is>
          <t>2018-03</t>
        </is>
      </c>
      <c r="D3281" t="inlineStr">
        <is>
          <t>SP</t>
        </is>
      </c>
      <c r="E3281" t="inlineStr">
        <is>
          <t>auto</t>
        </is>
      </c>
      <c r="F3281" t="n">
        <v>1</v>
      </c>
      <c r="G3281" t="n">
        <v>59.58</v>
      </c>
      <c r="H3281" t="n">
        <v>14.51</v>
      </c>
      <c r="I3281" t="inlineStr">
        <is>
          <t>credit_card</t>
        </is>
      </c>
      <c r="J3281" t="n">
        <v>13</v>
      </c>
      <c r="K3281" t="inlineStr">
        <is>
          <t>On Time</t>
        </is>
      </c>
      <c r="L3281" t="n">
        <v>5</v>
      </c>
      <c r="M3281">
        <f>VLOOKUP(D3281,State_Lookup!$A$2:$B$28,2,FALSE)</f>
        <v/>
      </c>
    </row>
    <row r="3282">
      <c r="A3282" t="inlineStr">
        <is>
          <t>eb5259e33530b732f251ee44091c75d6</t>
        </is>
      </c>
      <c r="B3282" t="inlineStr">
        <is>
          <t>2018-03-22</t>
        </is>
      </c>
      <c r="C3282" t="inlineStr">
        <is>
          <t>2018-03</t>
        </is>
      </c>
      <c r="D3282" t="inlineStr">
        <is>
          <t>SP</t>
        </is>
      </c>
      <c r="E3282" t="inlineStr">
        <is>
          <t>home_construction</t>
        </is>
      </c>
      <c r="F3282" t="n">
        <v>1</v>
      </c>
      <c r="G3282" t="n">
        <v>261</v>
      </c>
      <c r="H3282" t="n">
        <v>8.69</v>
      </c>
      <c r="I3282" t="inlineStr">
        <is>
          <t>credit_card</t>
        </is>
      </c>
      <c r="J3282" t="n">
        <v>6</v>
      </c>
      <c r="K3282" t="inlineStr">
        <is>
          <t>On Time</t>
        </is>
      </c>
      <c r="L3282" t="n">
        <v>5</v>
      </c>
      <c r="M3282">
        <f>VLOOKUP(D3282,State_Lookup!$A$2:$B$28,2,FALSE)</f>
        <v/>
      </c>
    </row>
    <row r="3283">
      <c r="A3283" t="inlineStr">
        <is>
          <t>8a9ec714d97db36f469d62e3fa8d638f</t>
        </is>
      </c>
      <c r="B3283" t="inlineStr">
        <is>
          <t>2018-03-22</t>
        </is>
      </c>
      <c r="C3283" t="inlineStr">
        <is>
          <t>2018-03</t>
        </is>
      </c>
      <c r="D3283" t="inlineStr">
        <is>
          <t>SP</t>
        </is>
      </c>
      <c r="E3283" t="inlineStr">
        <is>
          <t>toys</t>
        </is>
      </c>
      <c r="F3283" t="n">
        <v>1</v>
      </c>
      <c r="G3283" t="n">
        <v>49.99</v>
      </c>
      <c r="H3283" t="n">
        <v>7.39</v>
      </c>
      <c r="I3283" t="inlineStr">
        <is>
          <t>credit_card</t>
        </is>
      </c>
      <c r="J3283" t="n">
        <v>7</v>
      </c>
      <c r="K3283" t="inlineStr">
        <is>
          <t>On Time</t>
        </is>
      </c>
      <c r="L3283" t="n">
        <v>5</v>
      </c>
      <c r="M3283">
        <f>VLOOKUP(D3283,State_Lookup!$A$2:$B$28,2,FALSE)</f>
        <v/>
      </c>
    </row>
    <row r="3284">
      <c r="A3284" t="inlineStr">
        <is>
          <t>c0b2c20ed167622980ba4586d4f60168</t>
        </is>
      </c>
      <c r="B3284" t="inlineStr">
        <is>
          <t>2018-03-22</t>
        </is>
      </c>
      <c r="C3284" t="inlineStr">
        <is>
          <t>2018-03</t>
        </is>
      </c>
      <c r="D3284" t="inlineStr">
        <is>
          <t>PA</t>
        </is>
      </c>
      <c r="E3284" t="inlineStr">
        <is>
          <t>telephony</t>
        </is>
      </c>
      <c r="F3284" t="n">
        <v>1</v>
      </c>
      <c r="G3284" t="n">
        <v>21.99</v>
      </c>
      <c r="H3284" t="n">
        <v>37.04</v>
      </c>
      <c r="I3284" t="inlineStr">
        <is>
          <t>credit_card</t>
        </is>
      </c>
      <c r="J3284" t="n">
        <v>45</v>
      </c>
      <c r="K3284" t="inlineStr">
        <is>
          <t>Late</t>
        </is>
      </c>
      <c r="L3284" t="n">
        <v>1</v>
      </c>
      <c r="M3284">
        <f>VLOOKUP(D3284,State_Lookup!$A$2:$B$28,2,FALSE)</f>
        <v/>
      </c>
    </row>
    <row r="3285">
      <c r="A3285" t="inlineStr">
        <is>
          <t>9371a323185fe5bc627ed3065bf2fcd8</t>
        </is>
      </c>
      <c r="B3285" t="inlineStr">
        <is>
          <t>2018-03-22</t>
        </is>
      </c>
      <c r="C3285" t="inlineStr">
        <is>
          <t>2018-03</t>
        </is>
      </c>
      <c r="D3285" t="inlineStr">
        <is>
          <t>SP</t>
        </is>
      </c>
      <c r="E3285" t="inlineStr">
        <is>
          <t>electronics</t>
        </is>
      </c>
      <c r="F3285" t="n">
        <v>1</v>
      </c>
      <c r="G3285" t="n">
        <v>148</v>
      </c>
      <c r="H3285" t="n">
        <v>8.380000000000001</v>
      </c>
      <c r="I3285" t="inlineStr">
        <is>
          <t>boleto</t>
        </is>
      </c>
      <c r="J3285" t="n">
        <v>13</v>
      </c>
      <c r="K3285" t="inlineStr">
        <is>
          <t>On Time</t>
        </is>
      </c>
      <c r="L3285" t="n">
        <v>4</v>
      </c>
      <c r="M3285">
        <f>VLOOKUP(D3285,State_Lookup!$A$2:$B$28,2,FALSE)</f>
        <v/>
      </c>
    </row>
    <row r="3286">
      <c r="A3286" t="inlineStr">
        <is>
          <t>90a9fea4de623b810e0b0c5226e21884</t>
        </is>
      </c>
      <c r="B3286" t="inlineStr">
        <is>
          <t>2018-03-22</t>
        </is>
      </c>
      <c r="C3286" t="inlineStr">
        <is>
          <t>2018-03</t>
        </is>
      </c>
      <c r="D3286" t="inlineStr">
        <is>
          <t>RS</t>
        </is>
      </c>
      <c r="E3286" t="inlineStr">
        <is>
          <t>agro_industry_and_commerce</t>
        </is>
      </c>
      <c r="F3286" t="n">
        <v>1</v>
      </c>
      <c r="G3286" t="n">
        <v>940.5</v>
      </c>
      <c r="H3286" t="n">
        <v>21.46</v>
      </c>
      <c r="I3286" t="inlineStr">
        <is>
          <t>credit_card</t>
        </is>
      </c>
      <c r="J3286" t="n">
        <v>6</v>
      </c>
      <c r="K3286" t="inlineStr">
        <is>
          <t>On Time</t>
        </is>
      </c>
      <c r="L3286" t="n">
        <v>5</v>
      </c>
      <c r="M3286">
        <f>VLOOKUP(D3286,State_Lookup!$A$2:$B$28,2,FALSE)</f>
        <v/>
      </c>
    </row>
    <row r="3287">
      <c r="A3287" t="inlineStr">
        <is>
          <t>35d71bd32993bd9959f7eefe1a5a0f4a</t>
        </is>
      </c>
      <c r="B3287" t="inlineStr">
        <is>
          <t>2018-03-23</t>
        </is>
      </c>
      <c r="C3287" t="inlineStr">
        <is>
          <t>2018-03</t>
        </is>
      </c>
      <c r="D3287" t="inlineStr">
        <is>
          <t>RJ</t>
        </is>
      </c>
      <c r="E3287" t="inlineStr">
        <is>
          <t>auto</t>
        </is>
      </c>
      <c r="F3287" t="n">
        <v>2</v>
      </c>
      <c r="G3287" t="n">
        <v>51.12</v>
      </c>
      <c r="H3287" t="n">
        <v>36.46</v>
      </c>
      <c r="I3287" t="inlineStr">
        <is>
          <t>credit_card</t>
        </is>
      </c>
      <c r="J3287" t="n">
        <v>21</v>
      </c>
      <c r="K3287" t="inlineStr">
        <is>
          <t>Late</t>
        </is>
      </c>
      <c r="L3287" t="n">
        <v>5</v>
      </c>
      <c r="M3287">
        <f>VLOOKUP(D3287,State_Lookup!$A$2:$B$28,2,FALSE)</f>
        <v/>
      </c>
    </row>
    <row r="3288">
      <c r="A3288" t="inlineStr">
        <is>
          <t>420c0f82633702db7d2cbae2ee56f66a</t>
        </is>
      </c>
      <c r="B3288" t="inlineStr">
        <is>
          <t>2018-03-23</t>
        </is>
      </c>
      <c r="C3288" t="inlineStr">
        <is>
          <t>2018-03</t>
        </is>
      </c>
      <c r="D3288" t="inlineStr">
        <is>
          <t>RJ</t>
        </is>
      </c>
      <c r="E3288" t="inlineStr">
        <is>
          <t>home_appliances_2</t>
        </is>
      </c>
      <c r="F3288" t="n">
        <v>1</v>
      </c>
      <c r="G3288" t="n">
        <v>170</v>
      </c>
      <c r="H3288" t="n">
        <v>27.27</v>
      </c>
      <c r="I3288" t="inlineStr">
        <is>
          <t>credit_card</t>
        </is>
      </c>
      <c r="J3288" t="n">
        <v>16</v>
      </c>
      <c r="K3288" t="inlineStr">
        <is>
          <t>On Time</t>
        </is>
      </c>
      <c r="L3288" t="n">
        <v>4</v>
      </c>
      <c r="M3288">
        <f>VLOOKUP(D3288,State_Lookup!$A$2:$B$28,2,FALSE)</f>
        <v/>
      </c>
    </row>
    <row r="3289">
      <c r="A3289" t="inlineStr">
        <is>
          <t>0abf7f13c92f93e708a28f32316b13d3</t>
        </is>
      </c>
      <c r="B3289" t="inlineStr">
        <is>
          <t>2018-03-23</t>
        </is>
      </c>
      <c r="C3289" t="inlineStr">
        <is>
          <t>2018-03</t>
        </is>
      </c>
      <c r="D3289" t="inlineStr">
        <is>
          <t>RS</t>
        </is>
      </c>
      <c r="E3289" t="inlineStr">
        <is>
          <t>garden_tools</t>
        </is>
      </c>
      <c r="F3289" t="n">
        <v>1</v>
      </c>
      <c r="G3289" t="n">
        <v>99.90000000000001</v>
      </c>
      <c r="H3289" t="n">
        <v>21.65</v>
      </c>
      <c r="I3289" t="inlineStr">
        <is>
          <t>credit_card</t>
        </is>
      </c>
      <c r="J3289" t="n">
        <v>9</v>
      </c>
      <c r="K3289" t="inlineStr">
        <is>
          <t>On Time</t>
        </is>
      </c>
      <c r="L3289" t="n">
        <v>5</v>
      </c>
      <c r="M3289">
        <f>VLOOKUP(D3289,State_Lookup!$A$2:$B$28,2,FALSE)</f>
        <v/>
      </c>
    </row>
    <row r="3290">
      <c r="A3290" t="inlineStr">
        <is>
          <t>ecacbdf9dd9ba3bb85ace7edb81d157c</t>
        </is>
      </c>
      <c r="B3290" t="inlineStr">
        <is>
          <t>2018-03-23</t>
        </is>
      </c>
      <c r="C3290" t="inlineStr">
        <is>
          <t>2018-03</t>
        </is>
      </c>
      <c r="D3290" t="inlineStr">
        <is>
          <t>SP</t>
        </is>
      </c>
      <c r="E3290" t="inlineStr">
        <is>
          <t>industry_commerce_and_business</t>
        </is>
      </c>
      <c r="F3290" t="n">
        <v>2</v>
      </c>
      <c r="G3290" t="n">
        <v>214</v>
      </c>
      <c r="H3290" t="n">
        <v>26.1</v>
      </c>
      <c r="I3290" t="inlineStr">
        <is>
          <t>credit_card</t>
        </is>
      </c>
      <c r="J3290" t="n">
        <v>9</v>
      </c>
      <c r="K3290" t="inlineStr">
        <is>
          <t>On Time</t>
        </is>
      </c>
      <c r="L3290" t="n">
        <v>5</v>
      </c>
      <c r="M3290">
        <f>VLOOKUP(D3290,State_Lookup!$A$2:$B$28,2,FALSE)</f>
        <v/>
      </c>
    </row>
    <row r="3291">
      <c r="A3291" t="inlineStr">
        <is>
          <t>4e01efb248c52ca8e83181032cf0bdab</t>
        </is>
      </c>
      <c r="B3291" t="inlineStr">
        <is>
          <t>2018-03-23</t>
        </is>
      </c>
      <c r="C3291" t="inlineStr">
        <is>
          <t>2018-03</t>
        </is>
      </c>
      <c r="D3291" t="inlineStr">
        <is>
          <t>SP</t>
        </is>
      </c>
      <c r="E3291" t="inlineStr">
        <is>
          <t>computers_accessories</t>
        </is>
      </c>
      <c r="F3291" t="n">
        <v>2</v>
      </c>
      <c r="G3291" t="n">
        <v>146.9</v>
      </c>
      <c r="H3291" t="n">
        <v>27.26</v>
      </c>
      <c r="I3291" t="inlineStr">
        <is>
          <t>credit_card</t>
        </is>
      </c>
      <c r="J3291" t="n">
        <v>10</v>
      </c>
      <c r="K3291" t="inlineStr">
        <is>
          <t>On Time</t>
        </is>
      </c>
      <c r="L3291" t="n">
        <v>5</v>
      </c>
      <c r="M3291">
        <f>VLOOKUP(D3291,State_Lookup!$A$2:$B$28,2,FALSE)</f>
        <v/>
      </c>
    </row>
    <row r="3292">
      <c r="A3292" t="inlineStr">
        <is>
          <t>2b52dbab41840708a214e393b22184be</t>
        </is>
      </c>
      <c r="B3292" t="inlineStr">
        <is>
          <t>2018-03-23</t>
        </is>
      </c>
      <c r="C3292" t="inlineStr">
        <is>
          <t>2018-03</t>
        </is>
      </c>
      <c r="D3292" t="inlineStr">
        <is>
          <t>ES</t>
        </is>
      </c>
      <c r="E3292" t="inlineStr">
        <is>
          <t>fashion_bags_accessories</t>
        </is>
      </c>
      <c r="F3292" t="n">
        <v>1</v>
      </c>
      <c r="G3292" t="n">
        <v>44</v>
      </c>
      <c r="H3292" t="n">
        <v>18.23</v>
      </c>
      <c r="I3292" t="inlineStr">
        <is>
          <t>credit_card</t>
        </is>
      </c>
      <c r="J3292" t="n">
        <v>12</v>
      </c>
      <c r="K3292" t="inlineStr">
        <is>
          <t>On Time</t>
        </is>
      </c>
      <c r="L3292" t="n">
        <v>5</v>
      </c>
      <c r="M3292">
        <f>VLOOKUP(D3292,State_Lookup!$A$2:$B$28,2,FALSE)</f>
        <v/>
      </c>
    </row>
    <row r="3293">
      <c r="A3293" t="inlineStr">
        <is>
          <t>4fb940c1dd0d52bdd810288027151f9d</t>
        </is>
      </c>
      <c r="B3293" t="inlineStr">
        <is>
          <t>2018-03-23</t>
        </is>
      </c>
      <c r="C3293" t="inlineStr">
        <is>
          <t>2018-03</t>
        </is>
      </c>
      <c r="D3293" t="inlineStr">
        <is>
          <t>SP</t>
        </is>
      </c>
      <c r="E3293" t="inlineStr">
        <is>
          <t>garden_tools</t>
        </is>
      </c>
      <c r="F3293" t="n">
        <v>1</v>
      </c>
      <c r="G3293" t="n">
        <v>99</v>
      </c>
      <c r="H3293" t="n">
        <v>12.6</v>
      </c>
      <c r="I3293" t="inlineStr">
        <is>
          <t>credit_card</t>
        </is>
      </c>
      <c r="J3293" t="n">
        <v>3</v>
      </c>
      <c r="K3293" t="inlineStr">
        <is>
          <t>On Time</t>
        </is>
      </c>
      <c r="L3293" t="n">
        <v>5</v>
      </c>
      <c r="M3293">
        <f>VLOOKUP(D3293,State_Lookup!$A$2:$B$28,2,FALSE)</f>
        <v/>
      </c>
    </row>
    <row r="3294">
      <c r="A3294" t="inlineStr">
        <is>
          <t>568337b4978bd295de7988937a5e2e83</t>
        </is>
      </c>
      <c r="B3294" t="inlineStr">
        <is>
          <t>2018-03-23</t>
        </is>
      </c>
      <c r="C3294" t="inlineStr">
        <is>
          <t>2018-03</t>
        </is>
      </c>
      <c r="D3294" t="inlineStr">
        <is>
          <t>SP</t>
        </is>
      </c>
      <c r="E3294" t="inlineStr">
        <is>
          <t>garden_tools</t>
        </is>
      </c>
      <c r="F3294" t="n">
        <v>1</v>
      </c>
      <c r="G3294" t="n">
        <v>466</v>
      </c>
      <c r="H3294" t="n">
        <v>64.17</v>
      </c>
      <c r="I3294" t="inlineStr">
        <is>
          <t>credit_card</t>
        </is>
      </c>
      <c r="J3294" t="n">
        <v>5</v>
      </c>
      <c r="K3294" t="inlineStr">
        <is>
          <t>On Time</t>
        </is>
      </c>
      <c r="L3294" t="n">
        <v>5</v>
      </c>
      <c r="M3294">
        <f>VLOOKUP(D3294,State_Lookup!$A$2:$B$28,2,FALSE)</f>
        <v/>
      </c>
    </row>
    <row r="3295">
      <c r="A3295" t="inlineStr">
        <is>
          <t>d698f250537eaef39df378be5aae95f0</t>
        </is>
      </c>
      <c r="B3295" t="inlineStr">
        <is>
          <t>2018-03-24</t>
        </is>
      </c>
      <c r="C3295" t="inlineStr">
        <is>
          <t>2018-03</t>
        </is>
      </c>
      <c r="D3295" t="inlineStr">
        <is>
          <t>SP</t>
        </is>
      </c>
      <c r="E3295" t="inlineStr">
        <is>
          <t>stationery</t>
        </is>
      </c>
      <c r="F3295" t="n">
        <v>1</v>
      </c>
      <c r="G3295" t="n">
        <v>99</v>
      </c>
      <c r="H3295" t="n">
        <v>14.78</v>
      </c>
      <c r="I3295" t="inlineStr">
        <is>
          <t>credit_card</t>
        </is>
      </c>
      <c r="J3295" t="n">
        <v>21</v>
      </c>
      <c r="K3295" t="inlineStr">
        <is>
          <t>Late</t>
        </is>
      </c>
      <c r="L3295" t="n">
        <v>5</v>
      </c>
      <c r="M3295">
        <f>VLOOKUP(D3295,State_Lookup!$A$2:$B$28,2,FALSE)</f>
        <v/>
      </c>
    </row>
    <row r="3296">
      <c r="A3296" t="inlineStr">
        <is>
          <t>3165f39a78f513c0877dc0d1ad69683a</t>
        </is>
      </c>
      <c r="B3296" t="inlineStr">
        <is>
          <t>2018-03-24</t>
        </is>
      </c>
      <c r="C3296" t="inlineStr">
        <is>
          <t>2018-03</t>
        </is>
      </c>
      <c r="D3296" t="inlineStr">
        <is>
          <t>SC</t>
        </is>
      </c>
      <c r="E3296" t="inlineStr">
        <is>
          <t>watches_gifts</t>
        </is>
      </c>
      <c r="F3296" t="n">
        <v>1</v>
      </c>
      <c r="G3296" t="n">
        <v>1299</v>
      </c>
      <c r="H3296" t="n">
        <v>23.97</v>
      </c>
      <c r="I3296" t="inlineStr">
        <is>
          <t>credit_card</t>
        </is>
      </c>
      <c r="J3296" t="n">
        <v>20</v>
      </c>
      <c r="K3296" t="inlineStr">
        <is>
          <t>On Time</t>
        </is>
      </c>
      <c r="L3296" t="n">
        <v>3</v>
      </c>
      <c r="M3296">
        <f>VLOOKUP(D3296,State_Lookup!$A$2:$B$28,2,FALSE)</f>
        <v/>
      </c>
    </row>
    <row r="3297">
      <c r="A3297" t="inlineStr">
        <is>
          <t>e57742f8afd4fa79d5d6b11a85f9c64f</t>
        </is>
      </c>
      <c r="B3297" t="inlineStr">
        <is>
          <t>2018-03-24</t>
        </is>
      </c>
      <c r="C3297" t="inlineStr">
        <is>
          <t>2018-03</t>
        </is>
      </c>
      <c r="D3297" t="inlineStr">
        <is>
          <t>MG</t>
        </is>
      </c>
      <c r="E3297" t="inlineStr">
        <is>
          <t>auto</t>
        </is>
      </c>
      <c r="F3297" t="n">
        <v>1</v>
      </c>
      <c r="G3297" t="n">
        <v>57.6</v>
      </c>
      <c r="H3297" t="n">
        <v>19.37</v>
      </c>
      <c r="I3297" t="inlineStr">
        <is>
          <t>credit_card</t>
        </is>
      </c>
      <c r="J3297" t="n">
        <v>10</v>
      </c>
      <c r="K3297" t="inlineStr">
        <is>
          <t>On Time</t>
        </is>
      </c>
      <c r="L3297" t="n">
        <v>5</v>
      </c>
      <c r="M3297">
        <f>VLOOKUP(D3297,State_Lookup!$A$2:$B$28,2,FALSE)</f>
        <v/>
      </c>
    </row>
    <row r="3298">
      <c r="A3298" t="inlineStr">
        <is>
          <t>596761153565279406f3f9ee6ee947e2</t>
        </is>
      </c>
      <c r="B3298" t="inlineStr">
        <is>
          <t>2018-03-24</t>
        </is>
      </c>
      <c r="C3298" t="inlineStr">
        <is>
          <t>2018-03</t>
        </is>
      </c>
      <c r="D3298" t="inlineStr">
        <is>
          <t>MG</t>
        </is>
      </c>
      <c r="E3298" t="inlineStr">
        <is>
          <t>garden_tools</t>
        </is>
      </c>
      <c r="F3298" t="n">
        <v>1</v>
      </c>
      <c r="G3298" t="n">
        <v>179</v>
      </c>
      <c r="H3298" t="n">
        <v>27.49</v>
      </c>
      <c r="I3298" t="inlineStr">
        <is>
          <t>credit_card</t>
        </is>
      </c>
      <c r="J3298" t="n">
        <v>9</v>
      </c>
      <c r="K3298" t="inlineStr">
        <is>
          <t>On Time</t>
        </is>
      </c>
      <c r="L3298" t="n">
        <v>4</v>
      </c>
      <c r="M3298">
        <f>VLOOKUP(D3298,State_Lookup!$A$2:$B$28,2,FALSE)</f>
        <v/>
      </c>
    </row>
    <row r="3299">
      <c r="A3299" t="inlineStr">
        <is>
          <t>6f28feea2823c775f5b8110ccf4fe754</t>
        </is>
      </c>
      <c r="B3299" t="inlineStr">
        <is>
          <t>2018-03-24</t>
        </is>
      </c>
      <c r="C3299" t="inlineStr">
        <is>
          <t>2018-03</t>
        </is>
      </c>
      <c r="D3299" t="inlineStr">
        <is>
          <t>BA</t>
        </is>
      </c>
      <c r="E3299" t="inlineStr">
        <is>
          <t>telephony</t>
        </is>
      </c>
      <c r="F3299" t="n">
        <v>1</v>
      </c>
      <c r="G3299" t="n">
        <v>22.99</v>
      </c>
      <c r="H3299" t="n">
        <v>22.06</v>
      </c>
      <c r="I3299" t="inlineStr">
        <is>
          <t>credit_card</t>
        </is>
      </c>
      <c r="J3299" t="n">
        <v>25</v>
      </c>
      <c r="K3299" t="inlineStr">
        <is>
          <t>On Time</t>
        </is>
      </c>
      <c r="L3299" t="n">
        <v>1</v>
      </c>
      <c r="M3299">
        <f>VLOOKUP(D3299,State_Lookup!$A$2:$B$28,2,FALSE)</f>
        <v/>
      </c>
    </row>
    <row r="3300">
      <c r="A3300" t="inlineStr">
        <is>
          <t>28af73d7412f63a3e911be60bf966d70</t>
        </is>
      </c>
      <c r="B3300" t="inlineStr">
        <is>
          <t>2018-03-24</t>
        </is>
      </c>
      <c r="C3300" t="inlineStr">
        <is>
          <t>2018-03</t>
        </is>
      </c>
      <c r="D3300" t="inlineStr">
        <is>
          <t>MA</t>
        </is>
      </c>
      <c r="E3300" t="inlineStr">
        <is>
          <t>watches_gifts</t>
        </is>
      </c>
      <c r="F3300" t="n">
        <v>1</v>
      </c>
      <c r="G3300" t="n">
        <v>123</v>
      </c>
      <c r="H3300" t="n">
        <v>51.36</v>
      </c>
      <c r="I3300" t="inlineStr">
        <is>
          <t>credit_card</t>
        </is>
      </c>
      <c r="J3300" t="inlineStr"/>
      <c r="K3300" t="inlineStr">
        <is>
          <t>Not Delivered</t>
        </is>
      </c>
      <c r="L3300" t="n">
        <v>1</v>
      </c>
      <c r="M3300">
        <f>VLOOKUP(D3300,State_Lookup!$A$2:$B$28,2,FALSE)</f>
        <v/>
      </c>
    </row>
    <row r="3301">
      <c r="A3301" t="inlineStr">
        <is>
          <t>b92777d39afa7f58503ecfdfaf255972</t>
        </is>
      </c>
      <c r="B3301" t="inlineStr">
        <is>
          <t>2018-03-25</t>
        </is>
      </c>
      <c r="C3301" t="inlineStr">
        <is>
          <t>2018-03</t>
        </is>
      </c>
      <c r="D3301" t="inlineStr">
        <is>
          <t>SP</t>
        </is>
      </c>
      <c r="E3301" t="inlineStr">
        <is>
          <t>telephony</t>
        </is>
      </c>
      <c r="F3301" t="n">
        <v>1</v>
      </c>
      <c r="G3301" t="n">
        <v>22.99</v>
      </c>
      <c r="H3301" t="n">
        <v>7.39</v>
      </c>
      <c r="I3301" t="inlineStr">
        <is>
          <t>credit_card</t>
        </is>
      </c>
      <c r="J3301" t="n">
        <v>3</v>
      </c>
      <c r="K3301" t="inlineStr">
        <is>
          <t>On Time</t>
        </is>
      </c>
      <c r="L3301" t="n">
        <v>4</v>
      </c>
      <c r="M3301">
        <f>VLOOKUP(D3301,State_Lookup!$A$2:$B$28,2,FALSE)</f>
        <v/>
      </c>
    </row>
    <row r="3302">
      <c r="A3302" t="inlineStr">
        <is>
          <t>53e503de6a65006651097e013bda72e4</t>
        </is>
      </c>
      <c r="B3302" t="inlineStr">
        <is>
          <t>2018-03-25</t>
        </is>
      </c>
      <c r="C3302" t="inlineStr">
        <is>
          <t>2018-03</t>
        </is>
      </c>
      <c r="D3302" t="inlineStr">
        <is>
          <t>RS</t>
        </is>
      </c>
      <c r="E3302" t="inlineStr">
        <is>
          <t>sports_leisure</t>
        </is>
      </c>
      <c r="F3302" t="n">
        <v>1</v>
      </c>
      <c r="G3302" t="n">
        <v>46</v>
      </c>
      <c r="H3302" t="n">
        <v>18.23</v>
      </c>
      <c r="I3302" t="inlineStr">
        <is>
          <t>credit_card</t>
        </is>
      </c>
      <c r="J3302" t="n">
        <v>8</v>
      </c>
      <c r="K3302" t="inlineStr">
        <is>
          <t>On Time</t>
        </is>
      </c>
      <c r="L3302" t="n">
        <v>5</v>
      </c>
      <c r="M3302">
        <f>VLOOKUP(D3302,State_Lookup!$A$2:$B$28,2,FALSE)</f>
        <v/>
      </c>
    </row>
    <row r="3303">
      <c r="A3303" t="inlineStr">
        <is>
          <t>f26e384b92781c0afd3009e3da835c21</t>
        </is>
      </c>
      <c r="B3303" t="inlineStr">
        <is>
          <t>2018-03-25</t>
        </is>
      </c>
      <c r="C3303" t="inlineStr">
        <is>
          <t>2018-03</t>
        </is>
      </c>
      <c r="D3303" t="inlineStr">
        <is>
          <t>SP</t>
        </is>
      </c>
      <c r="E3303" t="inlineStr">
        <is>
          <t>industry_commerce_and_business</t>
        </is>
      </c>
      <c r="F3303" t="n">
        <v>1</v>
      </c>
      <c r="G3303" t="n">
        <v>104</v>
      </c>
      <c r="H3303" t="n">
        <v>14.72</v>
      </c>
      <c r="I3303" t="inlineStr">
        <is>
          <t>credit_card</t>
        </is>
      </c>
      <c r="J3303" t="n">
        <v>4</v>
      </c>
      <c r="K3303" t="inlineStr">
        <is>
          <t>On Time</t>
        </is>
      </c>
      <c r="L3303" t="n">
        <v>5</v>
      </c>
      <c r="M3303">
        <f>VLOOKUP(D3303,State_Lookup!$A$2:$B$28,2,FALSE)</f>
        <v/>
      </c>
    </row>
    <row r="3304">
      <c r="A3304" t="inlineStr">
        <is>
          <t>088f6cd16a7a4bb22e9ab6dc417739c3</t>
        </is>
      </c>
      <c r="B3304" t="inlineStr">
        <is>
          <t>2018-03-25</t>
        </is>
      </c>
      <c r="C3304" t="inlineStr">
        <is>
          <t>2018-03</t>
        </is>
      </c>
      <c r="D3304" t="inlineStr">
        <is>
          <t>SP</t>
        </is>
      </c>
      <c r="E3304" t="inlineStr">
        <is>
          <t>watches_gifts</t>
        </is>
      </c>
      <c r="F3304" t="n">
        <v>1</v>
      </c>
      <c r="G3304" t="n">
        <v>519</v>
      </c>
      <c r="H3304" t="n">
        <v>16.99</v>
      </c>
      <c r="I3304" t="inlineStr">
        <is>
          <t>credit_card</t>
        </is>
      </c>
      <c r="J3304" t="n">
        <v>8</v>
      </c>
      <c r="K3304" t="inlineStr">
        <is>
          <t>On Time</t>
        </is>
      </c>
      <c r="L3304" t="n">
        <v>5</v>
      </c>
      <c r="M3304">
        <f>VLOOKUP(D3304,State_Lookup!$A$2:$B$28,2,FALSE)</f>
        <v/>
      </c>
    </row>
    <row r="3305">
      <c r="A3305" t="inlineStr">
        <is>
          <t>4abe4e3e946e22c0f181765f83b2579b</t>
        </is>
      </c>
      <c r="B3305" t="inlineStr">
        <is>
          <t>2018-03-25</t>
        </is>
      </c>
      <c r="C3305" t="inlineStr">
        <is>
          <t>2018-03</t>
        </is>
      </c>
      <c r="D3305" t="inlineStr">
        <is>
          <t>CE</t>
        </is>
      </c>
      <c r="E3305" t="inlineStr">
        <is>
          <t>telephony</t>
        </is>
      </c>
      <c r="F3305" t="n">
        <v>1</v>
      </c>
      <c r="G3305" t="n">
        <v>39.99</v>
      </c>
      <c r="H3305" t="n">
        <v>37.04</v>
      </c>
      <c r="I3305" t="inlineStr">
        <is>
          <t>credit_card</t>
        </is>
      </c>
      <c r="J3305" t="n">
        <v>18</v>
      </c>
      <c r="K3305" t="inlineStr">
        <is>
          <t>On Time</t>
        </is>
      </c>
      <c r="L3305" t="n">
        <v>5</v>
      </c>
      <c r="M3305">
        <f>VLOOKUP(D3305,State_Lookup!$A$2:$B$28,2,FALSE)</f>
        <v/>
      </c>
    </row>
    <row r="3306">
      <c r="A3306" t="inlineStr">
        <is>
          <t>949935ca08c693338e2b2624e360ace7</t>
        </is>
      </c>
      <c r="B3306" t="inlineStr">
        <is>
          <t>2018-03-25</t>
        </is>
      </c>
      <c r="C3306" t="inlineStr">
        <is>
          <t>2018-03</t>
        </is>
      </c>
      <c r="D3306" t="inlineStr">
        <is>
          <t>SP</t>
        </is>
      </c>
      <c r="E3306" t="inlineStr">
        <is>
          <t>construction_tools_construction</t>
        </is>
      </c>
      <c r="F3306" t="n">
        <v>1</v>
      </c>
      <c r="G3306" t="n">
        <v>69</v>
      </c>
      <c r="H3306" t="n">
        <v>18.36</v>
      </c>
      <c r="I3306" t="inlineStr">
        <is>
          <t>credit_card</t>
        </is>
      </c>
      <c r="J3306" t="n">
        <v>10</v>
      </c>
      <c r="K3306" t="inlineStr">
        <is>
          <t>On Time</t>
        </is>
      </c>
      <c r="L3306" t="n">
        <v>4</v>
      </c>
      <c r="M3306">
        <f>VLOOKUP(D3306,State_Lookup!$A$2:$B$28,2,FALSE)</f>
        <v/>
      </c>
    </row>
    <row r="3307">
      <c r="A3307" t="inlineStr">
        <is>
          <t>c74540b0f084f6eef5649cac6541c6cb</t>
        </is>
      </c>
      <c r="B3307" t="inlineStr">
        <is>
          <t>2018-03-25</t>
        </is>
      </c>
      <c r="C3307" t="inlineStr">
        <is>
          <t>2018-03</t>
        </is>
      </c>
      <c r="D3307" t="inlineStr">
        <is>
          <t>SP</t>
        </is>
      </c>
      <c r="E3307" t="inlineStr">
        <is>
          <t>housewares</t>
        </is>
      </c>
      <c r="F3307" t="n">
        <v>2</v>
      </c>
      <c r="G3307" t="n">
        <v>85.8</v>
      </c>
      <c r="H3307" t="n">
        <v>32.64</v>
      </c>
      <c r="I3307" t="inlineStr">
        <is>
          <t>credit_card</t>
        </is>
      </c>
      <c r="J3307" t="n">
        <v>8</v>
      </c>
      <c r="K3307" t="inlineStr">
        <is>
          <t>On Time</t>
        </is>
      </c>
      <c r="L3307" t="n">
        <v>5</v>
      </c>
      <c r="M3307">
        <f>VLOOKUP(D3307,State_Lookup!$A$2:$B$28,2,FALSE)</f>
        <v/>
      </c>
    </row>
    <row r="3308">
      <c r="A3308" t="inlineStr">
        <is>
          <t>cc24df8244d2fa6c7cdf82f11f85b001</t>
        </is>
      </c>
      <c r="B3308" t="inlineStr">
        <is>
          <t>2018-03-25</t>
        </is>
      </c>
      <c r="C3308" t="inlineStr">
        <is>
          <t>2018-03</t>
        </is>
      </c>
      <c r="D3308" t="inlineStr">
        <is>
          <t>SP</t>
        </is>
      </c>
      <c r="E3308" t="inlineStr">
        <is>
          <t>toys</t>
        </is>
      </c>
      <c r="F3308" t="n">
        <v>1</v>
      </c>
      <c r="G3308" t="n">
        <v>139.9</v>
      </c>
      <c r="H3308" t="n">
        <v>7.84</v>
      </c>
      <c r="I3308" t="inlineStr">
        <is>
          <t>credit_card</t>
        </is>
      </c>
      <c r="J3308" t="n">
        <v>3</v>
      </c>
      <c r="K3308" t="inlineStr">
        <is>
          <t>On Time</t>
        </is>
      </c>
      <c r="L3308" t="n">
        <v>1</v>
      </c>
      <c r="M3308">
        <f>VLOOKUP(D3308,State_Lookup!$A$2:$B$28,2,FALSE)</f>
        <v/>
      </c>
    </row>
    <row r="3309">
      <c r="A3309" t="inlineStr">
        <is>
          <t>a599309f5f79fbd2d37ff1451b16d526</t>
        </is>
      </c>
      <c r="B3309" t="inlineStr">
        <is>
          <t>2018-03-25</t>
        </is>
      </c>
      <c r="C3309" t="inlineStr">
        <is>
          <t>2018-03</t>
        </is>
      </c>
      <c r="D3309" t="inlineStr">
        <is>
          <t>RJ</t>
        </is>
      </c>
      <c r="E3309" t="inlineStr">
        <is>
          <t>cool_stuff</t>
        </is>
      </c>
      <c r="F3309" t="n">
        <v>1</v>
      </c>
      <c r="G3309" t="n">
        <v>499.99</v>
      </c>
      <c r="H3309" t="n">
        <v>165.55</v>
      </c>
      <c r="I3309" t="inlineStr">
        <is>
          <t>credit_card</t>
        </is>
      </c>
      <c r="J3309" t="n">
        <v>31</v>
      </c>
      <c r="K3309" t="inlineStr">
        <is>
          <t>Late</t>
        </is>
      </c>
      <c r="L3309" t="n">
        <v>1</v>
      </c>
      <c r="M3309">
        <f>VLOOKUP(D3309,State_Lookup!$A$2:$B$28,2,FALSE)</f>
        <v/>
      </c>
    </row>
    <row r="3310">
      <c r="A3310" t="inlineStr">
        <is>
          <t>2d7eb01778411aad90ac1f9b50187b07</t>
        </is>
      </c>
      <c r="B3310" t="inlineStr">
        <is>
          <t>2018-03-25</t>
        </is>
      </c>
      <c r="C3310" t="inlineStr">
        <is>
          <t>2018-03</t>
        </is>
      </c>
      <c r="D3310" t="inlineStr">
        <is>
          <t>RS</t>
        </is>
      </c>
      <c r="E3310" t="inlineStr">
        <is>
          <t>unknown</t>
        </is>
      </c>
      <c r="F3310" t="n">
        <v>1</v>
      </c>
      <c r="G3310" t="n">
        <v>159.77</v>
      </c>
      <c r="H3310" t="n">
        <v>17.67</v>
      </c>
      <c r="I3310" t="inlineStr">
        <is>
          <t>credit_card</t>
        </is>
      </c>
      <c r="J3310" t="n">
        <v>23</v>
      </c>
      <c r="K3310" t="inlineStr">
        <is>
          <t>On Time</t>
        </is>
      </c>
      <c r="L3310" t="n">
        <v>4</v>
      </c>
      <c r="M3310">
        <f>VLOOKUP(D3310,State_Lookup!$A$2:$B$28,2,FALSE)</f>
        <v/>
      </c>
    </row>
    <row r="3311">
      <c r="A3311" t="inlineStr">
        <is>
          <t>be74baa40203cbc62e442c4887378cd8</t>
        </is>
      </c>
      <c r="B3311" t="inlineStr">
        <is>
          <t>2018-03-25</t>
        </is>
      </c>
      <c r="C3311" t="inlineStr">
        <is>
          <t>2018-03</t>
        </is>
      </c>
      <c r="D3311" t="inlineStr">
        <is>
          <t>SP</t>
        </is>
      </c>
      <c r="E3311" t="inlineStr">
        <is>
          <t>sports_leisure</t>
        </is>
      </c>
      <c r="F3311" t="n">
        <v>1</v>
      </c>
      <c r="G3311" t="n">
        <v>74.98999999999999</v>
      </c>
      <c r="H3311" t="n">
        <v>13.59</v>
      </c>
      <c r="I3311" t="inlineStr">
        <is>
          <t>credit_card</t>
        </is>
      </c>
      <c r="J3311" t="n">
        <v>4</v>
      </c>
      <c r="K3311" t="inlineStr">
        <is>
          <t>On Time</t>
        </is>
      </c>
      <c r="L3311" t="n">
        <v>5</v>
      </c>
      <c r="M3311">
        <f>VLOOKUP(D3311,State_Lookup!$A$2:$B$28,2,FALSE)</f>
        <v/>
      </c>
    </row>
    <row r="3312">
      <c r="A3312" t="inlineStr">
        <is>
          <t>d839387d867d8d152843b37c4b8b09e8</t>
        </is>
      </c>
      <c r="B3312" t="inlineStr">
        <is>
          <t>2018-03-25</t>
        </is>
      </c>
      <c r="C3312" t="inlineStr">
        <is>
          <t>2018-03</t>
        </is>
      </c>
      <c r="D3312" t="inlineStr">
        <is>
          <t>SP</t>
        </is>
      </c>
      <c r="E3312" t="inlineStr">
        <is>
          <t>bed_bath_table</t>
        </is>
      </c>
      <c r="F3312" t="n">
        <v>3</v>
      </c>
      <c r="G3312" t="n">
        <v>209.97</v>
      </c>
      <c r="H3312" t="n">
        <v>39.71</v>
      </c>
      <c r="I3312" t="inlineStr">
        <is>
          <t>credit_card</t>
        </is>
      </c>
      <c r="J3312" t="n">
        <v>7</v>
      </c>
      <c r="K3312" t="inlineStr">
        <is>
          <t>On Time</t>
        </is>
      </c>
      <c r="L3312" t="n">
        <v>5</v>
      </c>
      <c r="M3312">
        <f>VLOOKUP(D3312,State_Lookup!$A$2:$B$28,2,FALSE)</f>
        <v/>
      </c>
    </row>
    <row r="3313">
      <c r="A3313" t="inlineStr">
        <is>
          <t>cc7dfc8992e6aaa96f3248ff602ee264</t>
        </is>
      </c>
      <c r="B3313" t="inlineStr">
        <is>
          <t>2018-03-25</t>
        </is>
      </c>
      <c r="C3313" t="inlineStr">
        <is>
          <t>2018-03</t>
        </is>
      </c>
      <c r="D3313" t="inlineStr">
        <is>
          <t>SP</t>
        </is>
      </c>
      <c r="E3313" t="inlineStr">
        <is>
          <t>sports_leisure</t>
        </is>
      </c>
      <c r="F3313" t="n">
        <v>1</v>
      </c>
      <c r="G3313" t="n">
        <v>115</v>
      </c>
      <c r="H3313" t="n">
        <v>17.72</v>
      </c>
      <c r="I3313" t="inlineStr">
        <is>
          <t>credit_card</t>
        </is>
      </c>
      <c r="J3313" t="n">
        <v>15</v>
      </c>
      <c r="K3313" t="inlineStr">
        <is>
          <t>On Time</t>
        </is>
      </c>
      <c r="L3313" t="n">
        <v>4</v>
      </c>
      <c r="M3313">
        <f>VLOOKUP(D3313,State_Lookup!$A$2:$B$28,2,FALSE)</f>
        <v/>
      </c>
    </row>
    <row r="3314">
      <c r="A3314" t="inlineStr">
        <is>
          <t>7292d6e02e9cf2ad86b9688e67487750</t>
        </is>
      </c>
      <c r="B3314" t="inlineStr">
        <is>
          <t>2018-03-25</t>
        </is>
      </c>
      <c r="C3314" t="inlineStr">
        <is>
          <t>2018-03</t>
        </is>
      </c>
      <c r="D3314" t="inlineStr">
        <is>
          <t>RJ</t>
        </is>
      </c>
      <c r="E3314" t="inlineStr">
        <is>
          <t>cool_stuff</t>
        </is>
      </c>
      <c r="F3314" t="n">
        <v>1</v>
      </c>
      <c r="G3314" t="n">
        <v>120</v>
      </c>
      <c r="H3314" t="n">
        <v>18.72</v>
      </c>
      <c r="I3314" t="inlineStr">
        <is>
          <t>credit_card</t>
        </is>
      </c>
      <c r="J3314" t="n">
        <v>24</v>
      </c>
      <c r="K3314" t="inlineStr">
        <is>
          <t>On Time</t>
        </is>
      </c>
      <c r="L3314" t="n">
        <v>1</v>
      </c>
      <c r="M3314">
        <f>VLOOKUP(D3314,State_Lookup!$A$2:$B$28,2,FALSE)</f>
        <v/>
      </c>
    </row>
    <row r="3315">
      <c r="A3315" t="inlineStr">
        <is>
          <t>475681bb16b5cd2f9120136f3ea950e3</t>
        </is>
      </c>
      <c r="B3315" t="inlineStr">
        <is>
          <t>2018-03-25</t>
        </is>
      </c>
      <c r="C3315" t="inlineStr">
        <is>
          <t>2018-03</t>
        </is>
      </c>
      <c r="D3315" t="inlineStr">
        <is>
          <t>DF</t>
        </is>
      </c>
      <c r="E3315" t="inlineStr">
        <is>
          <t>bed_bath_table</t>
        </is>
      </c>
      <c r="F3315" t="n">
        <v>1</v>
      </c>
      <c r="G3315" t="n">
        <v>110</v>
      </c>
      <c r="H3315" t="n">
        <v>18.35</v>
      </c>
      <c r="I3315" t="inlineStr">
        <is>
          <t>credit_card</t>
        </is>
      </c>
      <c r="J3315" t="n">
        <v>17</v>
      </c>
      <c r="K3315" t="inlineStr">
        <is>
          <t>On Time</t>
        </is>
      </c>
      <c r="L3315" t="n">
        <v>5</v>
      </c>
      <c r="M3315">
        <f>VLOOKUP(D3315,State_Lookup!$A$2:$B$28,2,FALSE)</f>
        <v/>
      </c>
    </row>
    <row r="3316">
      <c r="A3316" t="inlineStr">
        <is>
          <t>282c9fe1ed7aba574f1c0e75ca7fff30</t>
        </is>
      </c>
      <c r="B3316" t="inlineStr">
        <is>
          <t>2018-03-25</t>
        </is>
      </c>
      <c r="C3316" t="inlineStr">
        <is>
          <t>2018-03</t>
        </is>
      </c>
      <c r="D3316" t="inlineStr">
        <is>
          <t>MG</t>
        </is>
      </c>
      <c r="E3316" t="inlineStr">
        <is>
          <t>cool_stuff</t>
        </is>
      </c>
      <c r="F3316" t="n">
        <v>1</v>
      </c>
      <c r="G3316" t="n">
        <v>159.95</v>
      </c>
      <c r="H3316" t="n">
        <v>16</v>
      </c>
      <c r="I3316" t="inlineStr">
        <is>
          <t>credit_card</t>
        </is>
      </c>
      <c r="J3316" t="n">
        <v>9</v>
      </c>
      <c r="K3316" t="inlineStr">
        <is>
          <t>On Time</t>
        </is>
      </c>
      <c r="L3316" t="n">
        <v>4</v>
      </c>
      <c r="M3316">
        <f>VLOOKUP(D3316,State_Lookup!$A$2:$B$28,2,FALSE)</f>
        <v/>
      </c>
    </row>
    <row r="3317">
      <c r="A3317" t="inlineStr">
        <is>
          <t>1c39bf040d6c444d6b306bae83f9f49e</t>
        </is>
      </c>
      <c r="B3317" t="inlineStr">
        <is>
          <t>2018-03-25</t>
        </is>
      </c>
      <c r="C3317" t="inlineStr">
        <is>
          <t>2018-03</t>
        </is>
      </c>
      <c r="D3317" t="inlineStr">
        <is>
          <t>AL</t>
        </is>
      </c>
      <c r="E3317" t="inlineStr">
        <is>
          <t>furniture_decor</t>
        </is>
      </c>
      <c r="F3317" t="n">
        <v>1</v>
      </c>
      <c r="G3317" t="n">
        <v>89.18000000000001</v>
      </c>
      <c r="H3317" t="n">
        <v>24.75</v>
      </c>
      <c r="I3317" t="inlineStr">
        <is>
          <t>boleto</t>
        </is>
      </c>
      <c r="J3317" t="n">
        <v>31</v>
      </c>
      <c r="K3317" t="inlineStr">
        <is>
          <t>Late</t>
        </is>
      </c>
      <c r="L3317" t="n">
        <v>1</v>
      </c>
      <c r="M3317">
        <f>VLOOKUP(D3317,State_Lookup!$A$2:$B$28,2,FALSE)</f>
        <v/>
      </c>
    </row>
    <row r="3318">
      <c r="A3318" t="inlineStr">
        <is>
          <t>6e49a3d8325755bd3e9d84d84bd8dbf2</t>
        </is>
      </c>
      <c r="B3318" t="inlineStr">
        <is>
          <t>2018-03-25</t>
        </is>
      </c>
      <c r="C3318" t="inlineStr">
        <is>
          <t>2018-03</t>
        </is>
      </c>
      <c r="D3318" t="inlineStr">
        <is>
          <t>RJ</t>
        </is>
      </c>
      <c r="E3318" t="inlineStr">
        <is>
          <t>bed_bath_table</t>
        </is>
      </c>
      <c r="F3318" t="n">
        <v>2</v>
      </c>
      <c r="G3318" t="n">
        <v>105.98</v>
      </c>
      <c r="H3318" t="n">
        <v>38.68</v>
      </c>
      <c r="I3318" t="inlineStr">
        <is>
          <t>credit_card</t>
        </is>
      </c>
      <c r="J3318" t="n">
        <v>38</v>
      </c>
      <c r="K3318" t="inlineStr">
        <is>
          <t>Late</t>
        </is>
      </c>
      <c r="L3318" t="n">
        <v>1</v>
      </c>
      <c r="M3318">
        <f>VLOOKUP(D3318,State_Lookup!$A$2:$B$28,2,FALSE)</f>
        <v/>
      </c>
    </row>
    <row r="3319">
      <c r="A3319" t="inlineStr">
        <is>
          <t>06c5e0b010707e400bcc627771a27226</t>
        </is>
      </c>
      <c r="B3319" t="inlineStr">
        <is>
          <t>2018-03-26</t>
        </is>
      </c>
      <c r="C3319" t="inlineStr">
        <is>
          <t>2018-03</t>
        </is>
      </c>
      <c r="D3319" t="inlineStr">
        <is>
          <t>RJ</t>
        </is>
      </c>
      <c r="E3319" t="inlineStr">
        <is>
          <t>perfumery</t>
        </is>
      </c>
      <c r="F3319" t="n">
        <v>1</v>
      </c>
      <c r="G3319" t="n">
        <v>119.7</v>
      </c>
      <c r="H3319" t="n">
        <v>14.78</v>
      </c>
      <c r="I3319" t="inlineStr">
        <is>
          <t>credit_card</t>
        </is>
      </c>
      <c r="J3319" t="n">
        <v>17</v>
      </c>
      <c r="K3319" t="inlineStr">
        <is>
          <t>Late</t>
        </is>
      </c>
      <c r="L3319" t="n">
        <v>5</v>
      </c>
      <c r="M3319">
        <f>VLOOKUP(D3319,State_Lookup!$A$2:$B$28,2,FALSE)</f>
        <v/>
      </c>
    </row>
    <row r="3320">
      <c r="A3320" t="inlineStr">
        <is>
          <t>460af70fcd26ef464f2c55c1016e087d</t>
        </is>
      </c>
      <c r="B3320" t="inlineStr">
        <is>
          <t>2018-03-26</t>
        </is>
      </c>
      <c r="C3320" t="inlineStr">
        <is>
          <t>2018-03</t>
        </is>
      </c>
      <c r="D3320" t="inlineStr">
        <is>
          <t>SP</t>
        </is>
      </c>
      <c r="E3320" t="inlineStr">
        <is>
          <t>computers_accessories</t>
        </is>
      </c>
      <c r="F3320" t="n">
        <v>1</v>
      </c>
      <c r="G3320" t="n">
        <v>47.75</v>
      </c>
      <c r="H3320" t="n">
        <v>8.289999999999999</v>
      </c>
      <c r="I3320" t="inlineStr">
        <is>
          <t>credit_card</t>
        </is>
      </c>
      <c r="J3320" t="n">
        <v>3</v>
      </c>
      <c r="K3320" t="inlineStr">
        <is>
          <t>On Time</t>
        </is>
      </c>
      <c r="L3320" t="n">
        <v>5</v>
      </c>
      <c r="M3320">
        <f>VLOOKUP(D3320,State_Lookup!$A$2:$B$28,2,FALSE)</f>
        <v/>
      </c>
    </row>
    <row r="3321">
      <c r="A3321" t="inlineStr">
        <is>
          <t>53fafd0933d69603122f8f804fb76968</t>
        </is>
      </c>
      <c r="B3321" t="inlineStr">
        <is>
          <t>2018-03-26</t>
        </is>
      </c>
      <c r="C3321" t="inlineStr">
        <is>
          <t>2018-03</t>
        </is>
      </c>
      <c r="D3321" t="inlineStr">
        <is>
          <t>SP</t>
        </is>
      </c>
      <c r="E3321" t="inlineStr">
        <is>
          <t>health_beauty</t>
        </is>
      </c>
      <c r="F3321" t="n">
        <v>2</v>
      </c>
      <c r="G3321" t="n">
        <v>147.6</v>
      </c>
      <c r="H3321" t="n">
        <v>25.92</v>
      </c>
      <c r="I3321" t="inlineStr">
        <is>
          <t>credit_card</t>
        </is>
      </c>
      <c r="J3321" t="n">
        <v>7</v>
      </c>
      <c r="K3321" t="inlineStr">
        <is>
          <t>On Time</t>
        </is>
      </c>
      <c r="L3321" t="n">
        <v>5</v>
      </c>
      <c r="M3321">
        <f>VLOOKUP(D3321,State_Lookup!$A$2:$B$28,2,FALSE)</f>
        <v/>
      </c>
    </row>
    <row r="3322">
      <c r="A3322" t="inlineStr">
        <is>
          <t>18914d929964317dc0a002fcbbd70d06</t>
        </is>
      </c>
      <c r="B3322" t="inlineStr">
        <is>
          <t>2018-03-26</t>
        </is>
      </c>
      <c r="C3322" t="inlineStr">
        <is>
          <t>2018-03</t>
        </is>
      </c>
      <c r="D3322" t="inlineStr">
        <is>
          <t>RS</t>
        </is>
      </c>
      <c r="E3322" t="inlineStr">
        <is>
          <t>telephony</t>
        </is>
      </c>
      <c r="F3322" t="n">
        <v>1</v>
      </c>
      <c r="G3322" t="n">
        <v>22.99</v>
      </c>
      <c r="H3322" t="n">
        <v>18.23</v>
      </c>
      <c r="I3322" t="inlineStr">
        <is>
          <t>credit_card</t>
        </is>
      </c>
      <c r="J3322" t="n">
        <v>19</v>
      </c>
      <c r="K3322" t="inlineStr">
        <is>
          <t>On Time</t>
        </is>
      </c>
      <c r="L3322" t="n">
        <v>4</v>
      </c>
      <c r="M3322">
        <f>VLOOKUP(D3322,State_Lookup!$A$2:$B$28,2,FALSE)</f>
        <v/>
      </c>
    </row>
    <row r="3323">
      <c r="A3323" t="inlineStr">
        <is>
          <t>0e8b07d6fde25fe5cd3d67ad93943b4e</t>
        </is>
      </c>
      <c r="B3323" t="inlineStr">
        <is>
          <t>2018-03-26</t>
        </is>
      </c>
      <c r="C3323" t="inlineStr">
        <is>
          <t>2018-03</t>
        </is>
      </c>
      <c r="D3323" t="inlineStr">
        <is>
          <t>RO</t>
        </is>
      </c>
      <c r="E3323" t="inlineStr">
        <is>
          <t>sports_leisure</t>
        </is>
      </c>
      <c r="F3323" t="n">
        <v>1</v>
      </c>
      <c r="G3323" t="n">
        <v>349</v>
      </c>
      <c r="H3323" t="n">
        <v>29.5</v>
      </c>
      <c r="I3323" t="inlineStr">
        <is>
          <t>credit_card</t>
        </is>
      </c>
      <c r="J3323" t="n">
        <v>11</v>
      </c>
      <c r="K3323" t="inlineStr">
        <is>
          <t>On Time</t>
        </is>
      </c>
      <c r="L3323" t="n">
        <v>4</v>
      </c>
      <c r="M3323">
        <f>VLOOKUP(D3323,State_Lookup!$A$2:$B$28,2,FALSE)</f>
        <v/>
      </c>
    </row>
    <row r="3324">
      <c r="A3324" t="inlineStr">
        <is>
          <t>9a623ce03254eb3cf475d659d0719319</t>
        </is>
      </c>
      <c r="B3324" t="inlineStr">
        <is>
          <t>2018-03-26</t>
        </is>
      </c>
      <c r="C3324" t="inlineStr">
        <is>
          <t>2018-03</t>
        </is>
      </c>
      <c r="D3324" t="inlineStr">
        <is>
          <t>MG</t>
        </is>
      </c>
      <c r="E3324" t="inlineStr">
        <is>
          <t>computers_accessories</t>
        </is>
      </c>
      <c r="F3324" t="n">
        <v>1</v>
      </c>
      <c r="G3324" t="n">
        <v>69.90000000000001</v>
      </c>
      <c r="H3324" t="n">
        <v>83.34</v>
      </c>
      <c r="I3324" t="inlineStr">
        <is>
          <t>boleto</t>
        </is>
      </c>
      <c r="J3324" t="n">
        <v>11</v>
      </c>
      <c r="K3324" t="inlineStr">
        <is>
          <t>On Time</t>
        </is>
      </c>
      <c r="L3324" t="n">
        <v>5</v>
      </c>
      <c r="M3324">
        <f>VLOOKUP(D3324,State_Lookup!$A$2:$B$28,2,FALSE)</f>
        <v/>
      </c>
    </row>
    <row r="3325">
      <c r="A3325" t="inlineStr">
        <is>
          <t>17b6e0171d3c86549c28e1630bff91c8</t>
        </is>
      </c>
      <c r="B3325" t="inlineStr">
        <is>
          <t>2018-03-26</t>
        </is>
      </c>
      <c r="C3325" t="inlineStr">
        <is>
          <t>2018-03</t>
        </is>
      </c>
      <c r="D3325" t="inlineStr">
        <is>
          <t>SP</t>
        </is>
      </c>
      <c r="E3325" t="inlineStr">
        <is>
          <t>sports_leisure</t>
        </is>
      </c>
      <c r="F3325" t="n">
        <v>1</v>
      </c>
      <c r="G3325" t="n">
        <v>89.5</v>
      </c>
      <c r="H3325" t="n">
        <v>13.75</v>
      </c>
      <c r="I3325" t="inlineStr">
        <is>
          <t>credit_card</t>
        </is>
      </c>
      <c r="J3325" t="n">
        <v>7</v>
      </c>
      <c r="K3325" t="inlineStr">
        <is>
          <t>On Time</t>
        </is>
      </c>
      <c r="L3325" t="n">
        <v>5</v>
      </c>
      <c r="M3325">
        <f>VLOOKUP(D3325,State_Lookup!$A$2:$B$28,2,FALSE)</f>
        <v/>
      </c>
    </row>
    <row r="3326">
      <c r="A3326" t="inlineStr">
        <is>
          <t>f223b1d420663a0ee1fe062836f32289</t>
        </is>
      </c>
      <c r="B3326" t="inlineStr">
        <is>
          <t>2018-03-26</t>
        </is>
      </c>
      <c r="C3326" t="inlineStr">
        <is>
          <t>2018-03</t>
        </is>
      </c>
      <c r="D3326" t="inlineStr">
        <is>
          <t>SP</t>
        </is>
      </c>
      <c r="E3326" t="inlineStr">
        <is>
          <t>sports_leisure</t>
        </is>
      </c>
      <c r="F3326" t="n">
        <v>1</v>
      </c>
      <c r="G3326" t="n">
        <v>106</v>
      </c>
      <c r="H3326" t="n">
        <v>13.18</v>
      </c>
      <c r="I3326" t="inlineStr">
        <is>
          <t>boleto</t>
        </is>
      </c>
      <c r="J3326" t="n">
        <v>9</v>
      </c>
      <c r="K3326" t="inlineStr">
        <is>
          <t>On Time</t>
        </is>
      </c>
      <c r="L3326" t="n">
        <v>4</v>
      </c>
      <c r="M3326">
        <f>VLOOKUP(D3326,State_Lookup!$A$2:$B$28,2,FALSE)</f>
        <v/>
      </c>
    </row>
    <row r="3327">
      <c r="A3327" t="inlineStr">
        <is>
          <t>f1ff54491e3729e182eb5a21cb6792a7</t>
        </is>
      </c>
      <c r="B3327" t="inlineStr">
        <is>
          <t>2018-03-26</t>
        </is>
      </c>
      <c r="C3327" t="inlineStr">
        <is>
          <t>2018-03</t>
        </is>
      </c>
      <c r="D3327" t="inlineStr">
        <is>
          <t>SP</t>
        </is>
      </c>
      <c r="E3327" t="inlineStr">
        <is>
          <t>health_beauty</t>
        </is>
      </c>
      <c r="F3327" t="n">
        <v>1</v>
      </c>
      <c r="G3327" t="n">
        <v>29.9</v>
      </c>
      <c r="H3327" t="n">
        <v>7.71</v>
      </c>
      <c r="I3327" t="inlineStr">
        <is>
          <t>boleto</t>
        </is>
      </c>
      <c r="J3327" t="n">
        <v>7</v>
      </c>
      <c r="K3327" t="inlineStr">
        <is>
          <t>On Time</t>
        </is>
      </c>
      <c r="L3327" t="n">
        <v>5</v>
      </c>
      <c r="M3327">
        <f>VLOOKUP(D3327,State_Lookup!$A$2:$B$28,2,FALSE)</f>
        <v/>
      </c>
    </row>
    <row r="3328">
      <c r="A3328" t="inlineStr">
        <is>
          <t>0681ba84087325819dc1f41d4f79701d</t>
        </is>
      </c>
      <c r="B3328" t="inlineStr">
        <is>
          <t>2018-03-26</t>
        </is>
      </c>
      <c r="C3328" t="inlineStr">
        <is>
          <t>2018-03</t>
        </is>
      </c>
      <c r="D3328" t="inlineStr">
        <is>
          <t>SC</t>
        </is>
      </c>
      <c r="E3328" t="inlineStr">
        <is>
          <t>electronics</t>
        </is>
      </c>
      <c r="F3328" t="n">
        <v>1</v>
      </c>
      <c r="G3328" t="n">
        <v>13.65</v>
      </c>
      <c r="H3328" t="n">
        <v>18.23</v>
      </c>
      <c r="I3328" t="inlineStr">
        <is>
          <t>credit_card</t>
        </is>
      </c>
      <c r="J3328" t="n">
        <v>15</v>
      </c>
      <c r="K3328" t="inlineStr">
        <is>
          <t>On Time</t>
        </is>
      </c>
      <c r="L3328" t="n">
        <v>4</v>
      </c>
      <c r="M3328">
        <f>VLOOKUP(D3328,State_Lookup!$A$2:$B$28,2,FALSE)</f>
        <v/>
      </c>
    </row>
    <row r="3329">
      <c r="A3329" t="inlineStr">
        <is>
          <t>64d68170391ac401d5ff137d9d7775d0</t>
        </is>
      </c>
      <c r="B3329" t="inlineStr">
        <is>
          <t>2018-03-26</t>
        </is>
      </c>
      <c r="C3329" t="inlineStr">
        <is>
          <t>2018-03</t>
        </is>
      </c>
      <c r="D3329" t="inlineStr">
        <is>
          <t>SC</t>
        </is>
      </c>
      <c r="E3329" t="inlineStr">
        <is>
          <t>auto</t>
        </is>
      </c>
      <c r="F3329" t="n">
        <v>1</v>
      </c>
      <c r="G3329" t="n">
        <v>59.9</v>
      </c>
      <c r="H3329" t="n">
        <v>23</v>
      </c>
      <c r="I3329" t="inlineStr">
        <is>
          <t>boleto</t>
        </is>
      </c>
      <c r="J3329" t="n">
        <v>14</v>
      </c>
      <c r="K3329" t="inlineStr">
        <is>
          <t>On Time</t>
        </is>
      </c>
      <c r="L3329" t="n">
        <v>5</v>
      </c>
      <c r="M3329">
        <f>VLOOKUP(D3329,State_Lookup!$A$2:$B$28,2,FALSE)</f>
        <v/>
      </c>
    </row>
    <row r="3330">
      <c r="A3330" t="inlineStr">
        <is>
          <t>c2732918af31f35e7fcf5d1bfb9b92fa</t>
        </is>
      </c>
      <c r="B3330" t="inlineStr">
        <is>
          <t>2018-03-26</t>
        </is>
      </c>
      <c r="C3330" t="inlineStr">
        <is>
          <t>2018-03</t>
        </is>
      </c>
      <c r="D3330" t="inlineStr">
        <is>
          <t>DF</t>
        </is>
      </c>
      <c r="E3330" t="inlineStr">
        <is>
          <t>consoles_games</t>
        </is>
      </c>
      <c r="F3330" t="n">
        <v>1</v>
      </c>
      <c r="G3330" t="n">
        <v>34.2</v>
      </c>
      <c r="H3330" t="n">
        <v>16.95</v>
      </c>
      <c r="I3330" t="inlineStr">
        <is>
          <t>boleto</t>
        </is>
      </c>
      <c r="J3330" t="n">
        <v>7</v>
      </c>
      <c r="K3330" t="inlineStr">
        <is>
          <t>On Time</t>
        </is>
      </c>
      <c r="L3330" t="n">
        <v>5</v>
      </c>
      <c r="M3330">
        <f>VLOOKUP(D3330,State_Lookup!$A$2:$B$28,2,FALSE)</f>
        <v/>
      </c>
    </row>
    <row r="3331">
      <c r="A3331" t="inlineStr">
        <is>
          <t>1c300b10263fefc0edc45c99921586a7</t>
        </is>
      </c>
      <c r="B3331" t="inlineStr">
        <is>
          <t>2018-03-26</t>
        </is>
      </c>
      <c r="C3331" t="inlineStr">
        <is>
          <t>2018-03</t>
        </is>
      </c>
      <c r="D3331" t="inlineStr">
        <is>
          <t>SP</t>
        </is>
      </c>
      <c r="E3331" t="inlineStr">
        <is>
          <t>furniture_decor</t>
        </is>
      </c>
      <c r="F3331" t="n">
        <v>1</v>
      </c>
      <c r="G3331" t="n">
        <v>35</v>
      </c>
      <c r="H3331" t="n">
        <v>8.289999999999999</v>
      </c>
      <c r="I3331" t="inlineStr">
        <is>
          <t>credit_card</t>
        </is>
      </c>
      <c r="J3331" t="n">
        <v>8</v>
      </c>
      <c r="K3331" t="inlineStr">
        <is>
          <t>On Time</t>
        </is>
      </c>
      <c r="L3331" t="n">
        <v>5</v>
      </c>
      <c r="M3331">
        <f>VLOOKUP(D3331,State_Lookup!$A$2:$B$28,2,FALSE)</f>
        <v/>
      </c>
    </row>
    <row r="3332">
      <c r="A3332" t="inlineStr">
        <is>
          <t>a8aa4724dee04db3a0440eed8cb33911</t>
        </is>
      </c>
      <c r="B3332" t="inlineStr">
        <is>
          <t>2018-03-27</t>
        </is>
      </c>
      <c r="C3332" t="inlineStr">
        <is>
          <t>2018-03</t>
        </is>
      </c>
      <c r="D3332" t="inlineStr">
        <is>
          <t>RJ</t>
        </is>
      </c>
      <c r="E3332" t="inlineStr">
        <is>
          <t>electronics</t>
        </is>
      </c>
      <c r="F3332" t="n">
        <v>1</v>
      </c>
      <c r="G3332" t="n">
        <v>18.9</v>
      </c>
      <c r="H3332" t="n">
        <v>22.06</v>
      </c>
      <c r="I3332" t="inlineStr">
        <is>
          <t>credit_card</t>
        </is>
      </c>
      <c r="J3332" t="n">
        <v>36</v>
      </c>
      <c r="K3332" t="inlineStr">
        <is>
          <t>Late</t>
        </is>
      </c>
      <c r="L3332" t="n">
        <v>1</v>
      </c>
      <c r="M3332">
        <f>VLOOKUP(D3332,State_Lookup!$A$2:$B$28,2,FALSE)</f>
        <v/>
      </c>
    </row>
    <row r="3333">
      <c r="A3333" t="inlineStr">
        <is>
          <t>06d5cbe68295558fd6c48998db3ea397</t>
        </is>
      </c>
      <c r="B3333" t="inlineStr">
        <is>
          <t>2018-03-27</t>
        </is>
      </c>
      <c r="C3333" t="inlineStr">
        <is>
          <t>2018-03</t>
        </is>
      </c>
      <c r="D3333" t="inlineStr">
        <is>
          <t>SP</t>
        </is>
      </c>
      <c r="E3333" t="inlineStr">
        <is>
          <t>food_drink</t>
        </is>
      </c>
      <c r="F3333" t="n">
        <v>3</v>
      </c>
      <c r="G3333" t="n">
        <v>123</v>
      </c>
      <c r="H3333" t="n">
        <v>29.62</v>
      </c>
      <c r="I3333" t="inlineStr">
        <is>
          <t>credit_card</t>
        </is>
      </c>
      <c r="J3333" t="n">
        <v>2</v>
      </c>
      <c r="K3333" t="inlineStr">
        <is>
          <t>On Time</t>
        </is>
      </c>
      <c r="L3333" t="n">
        <v>5</v>
      </c>
      <c r="M3333">
        <f>VLOOKUP(D3333,State_Lookup!$A$2:$B$28,2,FALSE)</f>
        <v/>
      </c>
    </row>
    <row r="3334">
      <c r="A3334" t="inlineStr">
        <is>
          <t>8dc15e4b00578c78f90a16dd481552f7</t>
        </is>
      </c>
      <c r="B3334" t="inlineStr">
        <is>
          <t>2018-03-27</t>
        </is>
      </c>
      <c r="C3334" t="inlineStr">
        <is>
          <t>2018-03</t>
        </is>
      </c>
      <c r="D3334" t="inlineStr">
        <is>
          <t>PR</t>
        </is>
      </c>
      <c r="E3334" t="inlineStr">
        <is>
          <t>construction_tools_construction</t>
        </is>
      </c>
      <c r="F3334" t="n">
        <v>1</v>
      </c>
      <c r="G3334" t="n">
        <v>129.9</v>
      </c>
      <c r="H3334" t="n">
        <v>16.88</v>
      </c>
      <c r="I3334" t="inlineStr">
        <is>
          <t>credit_card</t>
        </is>
      </c>
      <c r="J3334" t="n">
        <v>14</v>
      </c>
      <c r="K3334" t="inlineStr">
        <is>
          <t>On Time</t>
        </is>
      </c>
      <c r="L3334" t="n">
        <v>5</v>
      </c>
      <c r="M3334">
        <f>VLOOKUP(D3334,State_Lookup!$A$2:$B$28,2,FALSE)</f>
        <v/>
      </c>
    </row>
    <row r="3335">
      <c r="A3335" t="inlineStr">
        <is>
          <t>60f9a8bb9a63c3a3a0a57eedd90f1536</t>
        </is>
      </c>
      <c r="B3335" t="inlineStr">
        <is>
          <t>2018-03-27</t>
        </is>
      </c>
      <c r="C3335" t="inlineStr">
        <is>
          <t>2018-03</t>
        </is>
      </c>
      <c r="D3335" t="inlineStr">
        <is>
          <t>RJ</t>
        </is>
      </c>
      <c r="E3335" t="inlineStr">
        <is>
          <t>auto</t>
        </is>
      </c>
      <c r="F3335" t="n">
        <v>2</v>
      </c>
      <c r="G3335" t="n">
        <v>40.8</v>
      </c>
      <c r="H3335" t="n">
        <v>30.46</v>
      </c>
      <c r="I3335" t="inlineStr">
        <is>
          <t>boleto</t>
        </is>
      </c>
      <c r="J3335" t="n">
        <v>13</v>
      </c>
      <c r="K3335" t="inlineStr">
        <is>
          <t>On Time</t>
        </is>
      </c>
      <c r="L3335" t="n">
        <v>3</v>
      </c>
      <c r="M3335">
        <f>VLOOKUP(D3335,State_Lookup!$A$2:$B$28,2,FALSE)</f>
        <v/>
      </c>
    </row>
    <row r="3336">
      <c r="A3336" t="inlineStr">
        <is>
          <t>d0aeffcae647a9361f9d3fc33a2479f8</t>
        </is>
      </c>
      <c r="B3336" t="inlineStr">
        <is>
          <t>2018-03-27</t>
        </is>
      </c>
      <c r="C3336" t="inlineStr">
        <is>
          <t>2018-03</t>
        </is>
      </c>
      <c r="D3336" t="inlineStr">
        <is>
          <t>MT</t>
        </is>
      </c>
      <c r="E3336" t="inlineStr">
        <is>
          <t>cool_stuff</t>
        </is>
      </c>
      <c r="F3336" t="n">
        <v>1</v>
      </c>
      <c r="G3336" t="n">
        <v>169.99</v>
      </c>
      <c r="H3336" t="n">
        <v>29.61</v>
      </c>
      <c r="I3336" t="inlineStr">
        <is>
          <t>credit_card</t>
        </is>
      </c>
      <c r="J3336" t="n">
        <v>9</v>
      </c>
      <c r="K3336" t="inlineStr">
        <is>
          <t>On Time</t>
        </is>
      </c>
      <c r="L3336" t="n">
        <v>4</v>
      </c>
      <c r="M3336">
        <f>VLOOKUP(D3336,State_Lookup!$A$2:$B$28,2,FALSE)</f>
        <v/>
      </c>
    </row>
    <row r="3337">
      <c r="A3337" t="inlineStr">
        <is>
          <t>a10b5cf95e016d8abd403c05970234a0</t>
        </is>
      </c>
      <c r="B3337" t="inlineStr">
        <is>
          <t>2018-03-27</t>
        </is>
      </c>
      <c r="C3337" t="inlineStr">
        <is>
          <t>2018-03</t>
        </is>
      </c>
      <c r="D3337" t="inlineStr">
        <is>
          <t>SC</t>
        </is>
      </c>
      <c r="E3337" t="inlineStr">
        <is>
          <t>office_furniture</t>
        </is>
      </c>
      <c r="F3337" t="n">
        <v>4</v>
      </c>
      <c r="G3337" t="n">
        <v>479.96</v>
      </c>
      <c r="H3337" t="n">
        <v>110.4</v>
      </c>
      <c r="I3337" t="inlineStr">
        <is>
          <t>boleto</t>
        </is>
      </c>
      <c r="J3337" t="n">
        <v>28</v>
      </c>
      <c r="K3337" t="inlineStr">
        <is>
          <t>On Time</t>
        </is>
      </c>
      <c r="L3337" t="n">
        <v>1</v>
      </c>
      <c r="M3337">
        <f>VLOOKUP(D3337,State_Lookup!$A$2:$B$28,2,FALSE)</f>
        <v/>
      </c>
    </row>
    <row r="3338">
      <c r="A3338" t="inlineStr">
        <is>
          <t>4445dce651ca1507b70574af329d7405</t>
        </is>
      </c>
      <c r="B3338" t="inlineStr">
        <is>
          <t>2018-03-27</t>
        </is>
      </c>
      <c r="C3338" t="inlineStr">
        <is>
          <t>2018-03</t>
        </is>
      </c>
      <c r="D3338" t="inlineStr">
        <is>
          <t>RJ</t>
        </is>
      </c>
      <c r="E3338" t="inlineStr">
        <is>
          <t>furniture_decor</t>
        </is>
      </c>
      <c r="F3338" t="n">
        <v>1</v>
      </c>
      <c r="G3338" t="n">
        <v>50</v>
      </c>
      <c r="H3338" t="n">
        <v>22.93</v>
      </c>
      <c r="I3338" t="inlineStr">
        <is>
          <t>credit_card</t>
        </is>
      </c>
      <c r="J3338" t="n">
        <v>21</v>
      </c>
      <c r="K3338" t="inlineStr">
        <is>
          <t>Late</t>
        </is>
      </c>
      <c r="L3338" t="n">
        <v>5</v>
      </c>
      <c r="M3338">
        <f>VLOOKUP(D3338,State_Lookup!$A$2:$B$28,2,FALSE)</f>
        <v/>
      </c>
    </row>
    <row r="3339">
      <c r="A3339" t="inlineStr">
        <is>
          <t>9a40a61b2f04271f655c7423a3fb82a7</t>
        </is>
      </c>
      <c r="B3339" t="inlineStr">
        <is>
          <t>2018-03-27</t>
        </is>
      </c>
      <c r="C3339" t="inlineStr">
        <is>
          <t>2018-03</t>
        </is>
      </c>
      <c r="D3339" t="inlineStr">
        <is>
          <t>RJ</t>
        </is>
      </c>
      <c r="E3339" t="inlineStr">
        <is>
          <t>baby</t>
        </is>
      </c>
      <c r="F3339" t="n">
        <v>1</v>
      </c>
      <c r="G3339" t="n">
        <v>115</v>
      </c>
      <c r="H3339" t="n">
        <v>15.69</v>
      </c>
      <c r="I3339" t="inlineStr">
        <is>
          <t>credit_card</t>
        </is>
      </c>
      <c r="J3339" t="n">
        <v>13</v>
      </c>
      <c r="K3339" t="inlineStr">
        <is>
          <t>On Time</t>
        </is>
      </c>
      <c r="L3339" t="n">
        <v>4</v>
      </c>
      <c r="M3339">
        <f>VLOOKUP(D3339,State_Lookup!$A$2:$B$28,2,FALSE)</f>
        <v/>
      </c>
    </row>
    <row r="3340">
      <c r="A3340" t="inlineStr">
        <is>
          <t>1fac502a34e64b8fe035b46bf6162f83</t>
        </is>
      </c>
      <c r="B3340" t="inlineStr">
        <is>
          <t>2018-03-27</t>
        </is>
      </c>
      <c r="C3340" t="inlineStr">
        <is>
          <t>2018-03</t>
        </is>
      </c>
      <c r="D3340" t="inlineStr">
        <is>
          <t>RJ</t>
        </is>
      </c>
      <c r="E3340" t="inlineStr">
        <is>
          <t>pet_shop</t>
        </is>
      </c>
      <c r="F3340" t="n">
        <v>1</v>
      </c>
      <c r="G3340" t="n">
        <v>94.90000000000001</v>
      </c>
      <c r="H3340" t="n">
        <v>19.63</v>
      </c>
      <c r="I3340" t="inlineStr">
        <is>
          <t>credit_card</t>
        </is>
      </c>
      <c r="J3340" t="n">
        <v>16</v>
      </c>
      <c r="K3340" t="inlineStr">
        <is>
          <t>On Time</t>
        </is>
      </c>
      <c r="L3340" t="n">
        <v>4</v>
      </c>
      <c r="M3340">
        <f>VLOOKUP(D3340,State_Lookup!$A$2:$B$28,2,FALSE)</f>
        <v/>
      </c>
    </row>
    <row r="3341">
      <c r="A3341" t="inlineStr">
        <is>
          <t>0a1adbda846638d279cb086cd1d0cad0</t>
        </is>
      </c>
      <c r="B3341" t="inlineStr">
        <is>
          <t>2018-03-27</t>
        </is>
      </c>
      <c r="C3341" t="inlineStr">
        <is>
          <t>2018-03</t>
        </is>
      </c>
      <c r="D3341" t="inlineStr">
        <is>
          <t>MG</t>
        </is>
      </c>
      <c r="E3341" t="inlineStr">
        <is>
          <t>garden_tools</t>
        </is>
      </c>
      <c r="F3341" t="n">
        <v>1</v>
      </c>
      <c r="G3341" t="n">
        <v>179</v>
      </c>
      <c r="H3341" t="n">
        <v>27.49</v>
      </c>
      <c r="I3341" t="inlineStr">
        <is>
          <t>credit_card</t>
        </is>
      </c>
      <c r="J3341" t="n">
        <v>13</v>
      </c>
      <c r="K3341" t="inlineStr">
        <is>
          <t>On Time</t>
        </is>
      </c>
      <c r="L3341" t="n">
        <v>4</v>
      </c>
      <c r="M3341">
        <f>VLOOKUP(D3341,State_Lookup!$A$2:$B$28,2,FALSE)</f>
        <v/>
      </c>
    </row>
    <row r="3342">
      <c r="A3342" t="inlineStr">
        <is>
          <t>1cf390da5ceb2c46855914e5d2520ebc</t>
        </is>
      </c>
      <c r="B3342" t="inlineStr">
        <is>
          <t>2018-03-28</t>
        </is>
      </c>
      <c r="C3342" t="inlineStr">
        <is>
          <t>2018-03</t>
        </is>
      </c>
      <c r="D3342" t="inlineStr">
        <is>
          <t>SP</t>
        </is>
      </c>
      <c r="E3342" t="inlineStr">
        <is>
          <t>auto</t>
        </is>
      </c>
      <c r="F3342" t="n">
        <v>1</v>
      </c>
      <c r="G3342" t="n">
        <v>119.9</v>
      </c>
      <c r="H3342" t="n">
        <v>13.74</v>
      </c>
      <c r="I3342" t="inlineStr">
        <is>
          <t>boleto</t>
        </is>
      </c>
      <c r="J3342" t="n">
        <v>6</v>
      </c>
      <c r="K3342" t="inlineStr">
        <is>
          <t>On Time</t>
        </is>
      </c>
      <c r="L3342" t="n">
        <v>5</v>
      </c>
      <c r="M3342">
        <f>VLOOKUP(D3342,State_Lookup!$A$2:$B$28,2,FALSE)</f>
        <v/>
      </c>
    </row>
    <row r="3343">
      <c r="A3343" t="inlineStr">
        <is>
          <t>e3198f3829645095f91d9dfc8c70135f</t>
        </is>
      </c>
      <c r="B3343" t="inlineStr">
        <is>
          <t>2018-03-28</t>
        </is>
      </c>
      <c r="C3343" t="inlineStr">
        <is>
          <t>2018-03</t>
        </is>
      </c>
      <c r="D3343" t="inlineStr">
        <is>
          <t>GO</t>
        </is>
      </c>
      <c r="E3343" t="inlineStr">
        <is>
          <t>office_furniture</t>
        </is>
      </c>
      <c r="F3343" t="n">
        <v>1</v>
      </c>
      <c r="G3343" t="n">
        <v>169.99</v>
      </c>
      <c r="H3343" t="n">
        <v>37.74</v>
      </c>
      <c r="I3343" t="inlineStr">
        <is>
          <t>credit_card</t>
        </is>
      </c>
      <c r="J3343" t="n">
        <v>31</v>
      </c>
      <c r="K3343" t="inlineStr">
        <is>
          <t>On Time</t>
        </is>
      </c>
      <c r="L3343" t="n">
        <v>4</v>
      </c>
      <c r="M3343">
        <f>VLOOKUP(D3343,State_Lookup!$A$2:$B$28,2,FALSE)</f>
        <v/>
      </c>
    </row>
    <row r="3344">
      <c r="A3344" t="inlineStr">
        <is>
          <t>e91130c6fc7b9ad7646ba8260477bd66</t>
        </is>
      </c>
      <c r="B3344" t="inlineStr">
        <is>
          <t>2018-03-28</t>
        </is>
      </c>
      <c r="C3344" t="inlineStr">
        <is>
          <t>2018-03</t>
        </is>
      </c>
      <c r="D3344" t="inlineStr">
        <is>
          <t>SP</t>
        </is>
      </c>
      <c r="E3344" t="inlineStr">
        <is>
          <t>auto</t>
        </is>
      </c>
      <c r="F3344" t="n">
        <v>1</v>
      </c>
      <c r="G3344" t="n">
        <v>89.90000000000001</v>
      </c>
      <c r="H3344" t="n">
        <v>17.54</v>
      </c>
      <c r="I3344" t="inlineStr">
        <is>
          <t>credit_card</t>
        </is>
      </c>
      <c r="J3344" t="n">
        <v>21</v>
      </c>
      <c r="K3344" t="inlineStr">
        <is>
          <t>On Time</t>
        </is>
      </c>
      <c r="L3344" t="n">
        <v>3</v>
      </c>
      <c r="M3344">
        <f>VLOOKUP(D3344,State_Lookup!$A$2:$B$28,2,FALSE)</f>
        <v/>
      </c>
    </row>
    <row r="3345">
      <c r="A3345" t="inlineStr">
        <is>
          <t>a22760d8e93ddd9acb9c47bc99118853</t>
        </is>
      </c>
      <c r="B3345" t="inlineStr">
        <is>
          <t>2018-03-28</t>
        </is>
      </c>
      <c r="C3345" t="inlineStr">
        <is>
          <t>2018-03</t>
        </is>
      </c>
      <c r="D3345" t="inlineStr">
        <is>
          <t>SP</t>
        </is>
      </c>
      <c r="E3345" t="inlineStr">
        <is>
          <t>watches_gifts</t>
        </is>
      </c>
      <c r="F3345" t="n">
        <v>1</v>
      </c>
      <c r="G3345" t="n">
        <v>115</v>
      </c>
      <c r="H3345" t="n">
        <v>13.25</v>
      </c>
      <c r="I3345" t="inlineStr">
        <is>
          <t>credit_card</t>
        </is>
      </c>
      <c r="J3345" t="n">
        <v>7</v>
      </c>
      <c r="K3345" t="inlineStr">
        <is>
          <t>On Time</t>
        </is>
      </c>
      <c r="L3345" t="n">
        <v>1</v>
      </c>
      <c r="M3345">
        <f>VLOOKUP(D3345,State_Lookup!$A$2:$B$28,2,FALSE)</f>
        <v/>
      </c>
    </row>
    <row r="3346">
      <c r="A3346" t="inlineStr">
        <is>
          <t>b193426dd45799c2a1cc23c38ed11c5c</t>
        </is>
      </c>
      <c r="B3346" t="inlineStr">
        <is>
          <t>2018-03-28</t>
        </is>
      </c>
      <c r="C3346" t="inlineStr">
        <is>
          <t>2018-03</t>
        </is>
      </c>
      <c r="D3346" t="inlineStr">
        <is>
          <t>SP</t>
        </is>
      </c>
      <c r="E3346" t="inlineStr">
        <is>
          <t>furniture_decor</t>
        </is>
      </c>
      <c r="F3346" t="n">
        <v>1</v>
      </c>
      <c r="G3346" t="n">
        <v>89.18000000000001</v>
      </c>
      <c r="H3346" t="n">
        <v>8.98</v>
      </c>
      <c r="I3346" t="inlineStr">
        <is>
          <t>credit_card</t>
        </is>
      </c>
      <c r="J3346" t="n">
        <v>6</v>
      </c>
      <c r="K3346" t="inlineStr">
        <is>
          <t>On Time</t>
        </is>
      </c>
      <c r="L3346" t="n">
        <v>1</v>
      </c>
      <c r="M3346">
        <f>VLOOKUP(D3346,State_Lookup!$A$2:$B$28,2,FALSE)</f>
        <v/>
      </c>
    </row>
    <row r="3347">
      <c r="A3347" t="inlineStr">
        <is>
          <t>dafafa54ad54ef9c116bd8c6cca4b7ed</t>
        </is>
      </c>
      <c r="B3347" t="inlineStr">
        <is>
          <t>2018-03-28</t>
        </is>
      </c>
      <c r="C3347" t="inlineStr">
        <is>
          <t>2018-03</t>
        </is>
      </c>
      <c r="D3347" t="inlineStr">
        <is>
          <t>SC</t>
        </is>
      </c>
      <c r="E3347" t="inlineStr">
        <is>
          <t>computers_accessories</t>
        </is>
      </c>
      <c r="F3347" t="n">
        <v>1</v>
      </c>
      <c r="G3347" t="n">
        <v>180</v>
      </c>
      <c r="H3347" t="n">
        <v>17.8</v>
      </c>
      <c r="I3347" t="inlineStr">
        <is>
          <t>boleto</t>
        </is>
      </c>
      <c r="J3347" t="n">
        <v>15</v>
      </c>
      <c r="K3347" t="inlineStr">
        <is>
          <t>On Time</t>
        </is>
      </c>
      <c r="L3347" t="n">
        <v>5</v>
      </c>
      <c r="M3347">
        <f>VLOOKUP(D3347,State_Lookup!$A$2:$B$28,2,FALSE)</f>
        <v/>
      </c>
    </row>
    <row r="3348">
      <c r="A3348" t="inlineStr">
        <is>
          <t>8279b5df6e66fb0dfddfc8a4cd10471b</t>
        </is>
      </c>
      <c r="B3348" t="inlineStr">
        <is>
          <t>2018-03-28</t>
        </is>
      </c>
      <c r="C3348" t="inlineStr">
        <is>
          <t>2018-03</t>
        </is>
      </c>
      <c r="D3348" t="inlineStr">
        <is>
          <t>SP</t>
        </is>
      </c>
      <c r="E3348" t="inlineStr">
        <is>
          <t>watches_gifts</t>
        </is>
      </c>
      <c r="F3348" t="n">
        <v>1</v>
      </c>
      <c r="G3348" t="n">
        <v>899</v>
      </c>
      <c r="H3348" t="n">
        <v>18.73</v>
      </c>
      <c r="I3348" t="inlineStr">
        <is>
          <t>boleto</t>
        </is>
      </c>
      <c r="J3348" t="n">
        <v>20</v>
      </c>
      <c r="K3348" t="inlineStr">
        <is>
          <t>Late</t>
        </is>
      </c>
      <c r="L3348" t="n">
        <v>3</v>
      </c>
      <c r="M3348">
        <f>VLOOKUP(D3348,State_Lookup!$A$2:$B$28,2,FALSE)</f>
        <v/>
      </c>
    </row>
    <row r="3349">
      <c r="A3349" t="inlineStr">
        <is>
          <t>0a8d9ed968d08daf5ef8a5cbf0bbe833</t>
        </is>
      </c>
      <c r="B3349" t="inlineStr">
        <is>
          <t>2018-03-28</t>
        </is>
      </c>
      <c r="C3349" t="inlineStr">
        <is>
          <t>2018-03</t>
        </is>
      </c>
      <c r="D3349" t="inlineStr">
        <is>
          <t>SC</t>
        </is>
      </c>
      <c r="E3349" t="inlineStr">
        <is>
          <t>stationery</t>
        </is>
      </c>
      <c r="F3349" t="n">
        <v>1</v>
      </c>
      <c r="G3349" t="n">
        <v>19.99</v>
      </c>
      <c r="H3349" t="n">
        <v>15.23</v>
      </c>
      <c r="I3349" t="inlineStr">
        <is>
          <t>boleto</t>
        </is>
      </c>
      <c r="J3349" t="n">
        <v>14</v>
      </c>
      <c r="K3349" t="inlineStr">
        <is>
          <t>On Time</t>
        </is>
      </c>
      <c r="L3349" t="n">
        <v>5</v>
      </c>
      <c r="M3349">
        <f>VLOOKUP(D3349,State_Lookup!$A$2:$B$28,2,FALSE)</f>
        <v/>
      </c>
    </row>
    <row r="3350">
      <c r="A3350" t="inlineStr">
        <is>
          <t>1904f9d81f67036679dca4b431f11a46</t>
        </is>
      </c>
      <c r="B3350" t="inlineStr">
        <is>
          <t>2018-03-28</t>
        </is>
      </c>
      <c r="C3350" t="inlineStr">
        <is>
          <t>2018-03</t>
        </is>
      </c>
      <c r="D3350" t="inlineStr">
        <is>
          <t>PR</t>
        </is>
      </c>
      <c r="E3350" t="inlineStr">
        <is>
          <t>computers_accessories</t>
        </is>
      </c>
      <c r="F3350" t="n">
        <v>1</v>
      </c>
      <c r="G3350" t="n">
        <v>29.35</v>
      </c>
      <c r="H3350" t="n">
        <v>18.23</v>
      </c>
      <c r="I3350" t="inlineStr">
        <is>
          <t>credit_card</t>
        </is>
      </c>
      <c r="J3350" t="n">
        <v>14</v>
      </c>
      <c r="K3350" t="inlineStr">
        <is>
          <t>On Time</t>
        </is>
      </c>
      <c r="L3350" t="n">
        <v>2</v>
      </c>
      <c r="M3350">
        <f>VLOOKUP(D3350,State_Lookup!$A$2:$B$28,2,FALSE)</f>
        <v/>
      </c>
    </row>
    <row r="3351">
      <c r="A3351" t="inlineStr">
        <is>
          <t>5b2bc181b79df76b831c2c73bfa96c08</t>
        </is>
      </c>
      <c r="B3351" t="inlineStr">
        <is>
          <t>2018-03-28</t>
        </is>
      </c>
      <c r="C3351" t="inlineStr">
        <is>
          <t>2018-03</t>
        </is>
      </c>
      <c r="D3351" t="inlineStr">
        <is>
          <t>MG</t>
        </is>
      </c>
      <c r="E3351" t="inlineStr">
        <is>
          <t>auto</t>
        </is>
      </c>
      <c r="F3351" t="n">
        <v>1</v>
      </c>
      <c r="G3351" t="n">
        <v>117.3</v>
      </c>
      <c r="H3351" t="n">
        <v>21.73</v>
      </c>
      <c r="I3351" t="inlineStr">
        <is>
          <t>credit_card</t>
        </is>
      </c>
      <c r="J3351" t="inlineStr"/>
      <c r="K3351" t="inlineStr">
        <is>
          <t>Not Delivered</t>
        </is>
      </c>
      <c r="L3351" t="n">
        <v>1</v>
      </c>
      <c r="M3351">
        <f>VLOOKUP(D3351,State_Lookup!$A$2:$B$28,2,FALSE)</f>
        <v/>
      </c>
    </row>
    <row r="3352">
      <c r="A3352" t="inlineStr">
        <is>
          <t>2942d9a01a44f073aeff5f1a68e8761e</t>
        </is>
      </c>
      <c r="B3352" t="inlineStr">
        <is>
          <t>2018-03-29</t>
        </is>
      </c>
      <c r="C3352" t="inlineStr">
        <is>
          <t>2018-03</t>
        </is>
      </c>
      <c r="D3352" t="inlineStr">
        <is>
          <t>PB</t>
        </is>
      </c>
      <c r="E3352" t="inlineStr">
        <is>
          <t>health_beauty</t>
        </is>
      </c>
      <c r="F3352" t="n">
        <v>1</v>
      </c>
      <c r="G3352" t="n">
        <v>110.99</v>
      </c>
      <c r="H3352" t="n">
        <v>20.83</v>
      </c>
      <c r="I3352" t="inlineStr">
        <is>
          <t>credit_card</t>
        </is>
      </c>
      <c r="J3352" t="n">
        <v>54</v>
      </c>
      <c r="K3352" t="inlineStr">
        <is>
          <t>Late</t>
        </is>
      </c>
      <c r="L3352" t="n">
        <v>1</v>
      </c>
      <c r="M3352">
        <f>VLOOKUP(D3352,State_Lookup!$A$2:$B$28,2,FALSE)</f>
        <v/>
      </c>
    </row>
    <row r="3353">
      <c r="A3353" t="inlineStr">
        <is>
          <t>5487a8ac1699754d975f853ce8bb9321</t>
        </is>
      </c>
      <c r="B3353" t="inlineStr">
        <is>
          <t>2018-03-29</t>
        </is>
      </c>
      <c r="C3353" t="inlineStr">
        <is>
          <t>2018-03</t>
        </is>
      </c>
      <c r="D3353" t="inlineStr">
        <is>
          <t>SP</t>
        </is>
      </c>
      <c r="E3353" t="inlineStr">
        <is>
          <t>home_confort</t>
        </is>
      </c>
      <c r="F3353" t="n">
        <v>1</v>
      </c>
      <c r="G3353" t="n">
        <v>159.99</v>
      </c>
      <c r="H3353" t="n">
        <v>27.2</v>
      </c>
      <c r="I3353" t="inlineStr">
        <is>
          <t>boleto</t>
        </is>
      </c>
      <c r="J3353" t="n">
        <v>10</v>
      </c>
      <c r="K3353" t="inlineStr">
        <is>
          <t>On Time</t>
        </is>
      </c>
      <c r="L3353" t="n">
        <v>3</v>
      </c>
      <c r="M3353">
        <f>VLOOKUP(D3353,State_Lookup!$A$2:$B$28,2,FALSE)</f>
        <v/>
      </c>
    </row>
    <row r="3354">
      <c r="A3354" t="inlineStr">
        <is>
          <t>61ec5109f4c9a59f41c57bbd183e9877</t>
        </is>
      </c>
      <c r="B3354" t="inlineStr">
        <is>
          <t>2018-03-29</t>
        </is>
      </c>
      <c r="C3354" t="inlineStr">
        <is>
          <t>2018-03</t>
        </is>
      </c>
      <c r="D3354" t="inlineStr">
        <is>
          <t>RJ</t>
        </is>
      </c>
      <c r="E3354" t="inlineStr">
        <is>
          <t>watches_gifts</t>
        </is>
      </c>
      <c r="F3354" t="n">
        <v>1</v>
      </c>
      <c r="G3354" t="n">
        <v>54.99</v>
      </c>
      <c r="H3354" t="n">
        <v>7.55</v>
      </c>
      <c r="I3354" t="inlineStr">
        <is>
          <t>credit_card</t>
        </is>
      </c>
      <c r="J3354" t="n">
        <v>8</v>
      </c>
      <c r="K3354" t="inlineStr">
        <is>
          <t>On Time</t>
        </is>
      </c>
      <c r="L3354" t="n">
        <v>5</v>
      </c>
      <c r="M3354">
        <f>VLOOKUP(D3354,State_Lookup!$A$2:$B$28,2,FALSE)</f>
        <v/>
      </c>
    </row>
    <row r="3355">
      <c r="A3355" t="inlineStr">
        <is>
          <t>08e4ca5f437f69407fb01cabd2d7a0b8</t>
        </is>
      </c>
      <c r="B3355" t="inlineStr">
        <is>
          <t>2018-03-29</t>
        </is>
      </c>
      <c r="C3355" t="inlineStr">
        <is>
          <t>2018-03</t>
        </is>
      </c>
      <c r="D3355" t="inlineStr">
        <is>
          <t>SP</t>
        </is>
      </c>
      <c r="E3355" t="inlineStr">
        <is>
          <t>sports_leisure</t>
        </is>
      </c>
      <c r="F3355" t="n">
        <v>1</v>
      </c>
      <c r="G3355" t="n">
        <v>86.98999999999999</v>
      </c>
      <c r="H3355" t="n">
        <v>11.23</v>
      </c>
      <c r="I3355" t="inlineStr">
        <is>
          <t>credit_card</t>
        </is>
      </c>
      <c r="J3355" t="n">
        <v>11</v>
      </c>
      <c r="K3355" t="inlineStr">
        <is>
          <t>On Time</t>
        </is>
      </c>
      <c r="L3355" t="n">
        <v>4</v>
      </c>
      <c r="M3355">
        <f>VLOOKUP(D3355,State_Lookup!$A$2:$B$28,2,FALSE)</f>
        <v/>
      </c>
    </row>
    <row r="3356">
      <c r="A3356" t="inlineStr">
        <is>
          <t>53286d8c8661db85d83d2ceac0f41c53</t>
        </is>
      </c>
      <c r="B3356" t="inlineStr">
        <is>
          <t>2018-03-29</t>
        </is>
      </c>
      <c r="C3356" t="inlineStr">
        <is>
          <t>2018-03</t>
        </is>
      </c>
      <c r="D3356" t="inlineStr">
        <is>
          <t>MG</t>
        </is>
      </c>
      <c r="E3356" t="inlineStr">
        <is>
          <t>housewares</t>
        </is>
      </c>
      <c r="F3356" t="n">
        <v>1</v>
      </c>
      <c r="G3356" t="n">
        <v>85</v>
      </c>
      <c r="H3356" t="n">
        <v>23.17</v>
      </c>
      <c r="I3356" t="inlineStr">
        <is>
          <t>credit_card</t>
        </is>
      </c>
      <c r="J3356" t="n">
        <v>13</v>
      </c>
      <c r="K3356" t="inlineStr">
        <is>
          <t>On Time</t>
        </is>
      </c>
      <c r="L3356" t="n">
        <v>5</v>
      </c>
      <c r="M3356">
        <f>VLOOKUP(D3356,State_Lookup!$A$2:$B$28,2,FALSE)</f>
        <v/>
      </c>
    </row>
    <row r="3357">
      <c r="A3357" t="inlineStr">
        <is>
          <t>f18f555bdd4c33bcebaa68a9d6c91980</t>
        </is>
      </c>
      <c r="B3357" t="inlineStr">
        <is>
          <t>2018-03-29</t>
        </is>
      </c>
      <c r="C3357" t="inlineStr">
        <is>
          <t>2018-03</t>
        </is>
      </c>
      <c r="D3357" t="inlineStr">
        <is>
          <t>ES</t>
        </is>
      </c>
      <c r="E3357" t="inlineStr">
        <is>
          <t>audio</t>
        </is>
      </c>
      <c r="F3357" t="n">
        <v>1</v>
      </c>
      <c r="G3357" t="n">
        <v>173</v>
      </c>
      <c r="H3357" t="n">
        <v>19.09</v>
      </c>
      <c r="I3357" t="inlineStr">
        <is>
          <t>voucher</t>
        </is>
      </c>
      <c r="J3357" t="n">
        <v>36</v>
      </c>
      <c r="K3357" t="inlineStr">
        <is>
          <t>Late</t>
        </is>
      </c>
      <c r="L3357" t="n">
        <v>2</v>
      </c>
      <c r="M3357">
        <f>VLOOKUP(D3357,State_Lookup!$A$2:$B$28,2,FALSE)</f>
        <v/>
      </c>
    </row>
    <row r="3358">
      <c r="A3358" t="inlineStr">
        <is>
          <t>f967a36beb9cc4a1c8899db2d4adfacb</t>
        </is>
      </c>
      <c r="B3358" t="inlineStr">
        <is>
          <t>2018-03-29</t>
        </is>
      </c>
      <c r="C3358" t="inlineStr">
        <is>
          <t>2018-03</t>
        </is>
      </c>
      <c r="D3358" t="inlineStr">
        <is>
          <t>PI</t>
        </is>
      </c>
      <c r="E3358" t="inlineStr">
        <is>
          <t>electronics</t>
        </is>
      </c>
      <c r="F3358" t="n">
        <v>1</v>
      </c>
      <c r="G3358" t="n">
        <v>17.89</v>
      </c>
      <c r="H3358" t="n">
        <v>19.04</v>
      </c>
      <c r="I3358" t="inlineStr">
        <is>
          <t>voucher</t>
        </is>
      </c>
      <c r="J3358" t="n">
        <v>25</v>
      </c>
      <c r="K3358" t="inlineStr">
        <is>
          <t>Late</t>
        </is>
      </c>
      <c r="L3358" t="n">
        <v>1</v>
      </c>
      <c r="M3358">
        <f>VLOOKUP(D3358,State_Lookup!$A$2:$B$28,2,FALSE)</f>
        <v/>
      </c>
    </row>
    <row r="3359">
      <c r="A3359" t="inlineStr">
        <is>
          <t>ba3cb1f2bc2a8f69d175320c1ce21274</t>
        </is>
      </c>
      <c r="B3359" t="inlineStr">
        <is>
          <t>2018-03-29</t>
        </is>
      </c>
      <c r="C3359" t="inlineStr">
        <is>
          <t>2018-03</t>
        </is>
      </c>
      <c r="D3359" t="inlineStr">
        <is>
          <t>SP</t>
        </is>
      </c>
      <c r="E3359" t="inlineStr">
        <is>
          <t>furniture_decor</t>
        </is>
      </c>
      <c r="F3359" t="n">
        <v>2</v>
      </c>
      <c r="G3359" t="n">
        <v>199</v>
      </c>
      <c r="H3359" t="n">
        <v>46.54</v>
      </c>
      <c r="I3359" t="inlineStr">
        <is>
          <t>boleto</t>
        </is>
      </c>
      <c r="J3359" t="n">
        <v>11</v>
      </c>
      <c r="K3359" t="inlineStr">
        <is>
          <t>On Time</t>
        </is>
      </c>
      <c r="L3359" t="n">
        <v>5</v>
      </c>
      <c r="M3359">
        <f>VLOOKUP(D3359,State_Lookup!$A$2:$B$28,2,FALSE)</f>
        <v/>
      </c>
    </row>
    <row r="3360">
      <c r="A3360" t="inlineStr">
        <is>
          <t>34d92634e60b8234ac42750fd4b76fec</t>
        </is>
      </c>
      <c r="B3360" t="inlineStr">
        <is>
          <t>2018-03-29</t>
        </is>
      </c>
      <c r="C3360" t="inlineStr">
        <is>
          <t>2018-03</t>
        </is>
      </c>
      <c r="D3360" t="inlineStr">
        <is>
          <t>SP</t>
        </is>
      </c>
      <c r="E3360" t="inlineStr">
        <is>
          <t>computers_accessories</t>
        </is>
      </c>
      <c r="F3360" t="n">
        <v>1</v>
      </c>
      <c r="G3360" t="n">
        <v>61.9</v>
      </c>
      <c r="H3360" t="n">
        <v>13.55</v>
      </c>
      <c r="I3360" t="inlineStr">
        <is>
          <t>credit_card</t>
        </is>
      </c>
      <c r="J3360" t="n">
        <v>11</v>
      </c>
      <c r="K3360" t="inlineStr">
        <is>
          <t>On Time</t>
        </is>
      </c>
      <c r="L3360" t="n">
        <v>4</v>
      </c>
      <c r="M3360">
        <f>VLOOKUP(D3360,State_Lookup!$A$2:$B$28,2,FALSE)</f>
        <v/>
      </c>
    </row>
    <row r="3361">
      <c r="A3361" t="inlineStr">
        <is>
          <t>e880a2a0f19dcb0f2ef51fed71ef34c9</t>
        </is>
      </c>
      <c r="B3361" t="inlineStr">
        <is>
          <t>2018-03-29</t>
        </is>
      </c>
      <c r="C3361" t="inlineStr">
        <is>
          <t>2018-03</t>
        </is>
      </c>
      <c r="D3361" t="inlineStr">
        <is>
          <t>RJ</t>
        </is>
      </c>
      <c r="E3361" t="inlineStr">
        <is>
          <t>bed_bath_table</t>
        </is>
      </c>
      <c r="F3361" t="n">
        <v>2</v>
      </c>
      <c r="G3361" t="n">
        <v>35.98</v>
      </c>
      <c r="H3361" t="n">
        <v>38.64</v>
      </c>
      <c r="I3361" t="inlineStr">
        <is>
          <t>credit_card</t>
        </is>
      </c>
      <c r="J3361" t="n">
        <v>26</v>
      </c>
      <c r="K3361" t="inlineStr">
        <is>
          <t>On Time</t>
        </is>
      </c>
      <c r="L3361" t="n">
        <v>5</v>
      </c>
      <c r="M3361">
        <f>VLOOKUP(D3361,State_Lookup!$A$2:$B$28,2,FALSE)</f>
        <v/>
      </c>
    </row>
    <row r="3362">
      <c r="A3362" t="inlineStr">
        <is>
          <t>bfdda01969e3428f5b74096b3d6081d9</t>
        </is>
      </c>
      <c r="B3362" t="inlineStr">
        <is>
          <t>2018-03-29</t>
        </is>
      </c>
      <c r="C3362" t="inlineStr">
        <is>
          <t>2018-03</t>
        </is>
      </c>
      <c r="D3362" t="inlineStr">
        <is>
          <t>SP</t>
        </is>
      </c>
      <c r="E3362" t="inlineStr">
        <is>
          <t>health_beauty</t>
        </is>
      </c>
      <c r="F3362" t="n">
        <v>1</v>
      </c>
      <c r="G3362" t="n">
        <v>49.9</v>
      </c>
      <c r="H3362" t="n">
        <v>18.23</v>
      </c>
      <c r="I3362" t="inlineStr">
        <is>
          <t>credit_card</t>
        </is>
      </c>
      <c r="J3362" t="n">
        <v>42</v>
      </c>
      <c r="K3362" t="inlineStr">
        <is>
          <t>Late</t>
        </is>
      </c>
      <c r="L3362" t="n">
        <v>1</v>
      </c>
      <c r="M3362">
        <f>VLOOKUP(D3362,State_Lookup!$A$2:$B$28,2,FALSE)</f>
        <v/>
      </c>
    </row>
    <row r="3363">
      <c r="A3363" t="inlineStr">
        <is>
          <t>1567393726edacf3d6b548daa7a34475</t>
        </is>
      </c>
      <c r="B3363" t="inlineStr">
        <is>
          <t>2018-03-29</t>
        </is>
      </c>
      <c r="C3363" t="inlineStr">
        <is>
          <t>2018-03</t>
        </is>
      </c>
      <c r="D3363" t="inlineStr">
        <is>
          <t>RJ</t>
        </is>
      </c>
      <c r="E3363" t="inlineStr">
        <is>
          <t>toys</t>
        </is>
      </c>
      <c r="F3363" t="n">
        <v>1</v>
      </c>
      <c r="G3363" t="n">
        <v>45.99</v>
      </c>
      <c r="H3363" t="n">
        <v>15.23</v>
      </c>
      <c r="I3363" t="inlineStr">
        <is>
          <t>credit_card</t>
        </is>
      </c>
      <c r="J3363" t="n">
        <v>13</v>
      </c>
      <c r="K3363" t="inlineStr">
        <is>
          <t>On Time</t>
        </is>
      </c>
      <c r="L3363" t="n">
        <v>3</v>
      </c>
      <c r="M3363">
        <f>VLOOKUP(D3363,State_Lookup!$A$2:$B$28,2,FALSE)</f>
        <v/>
      </c>
    </row>
    <row r="3364">
      <c r="A3364" t="inlineStr">
        <is>
          <t>830fbd008900114289bd7e278ecc3a61</t>
        </is>
      </c>
      <c r="B3364" t="inlineStr">
        <is>
          <t>2018-03-29</t>
        </is>
      </c>
      <c r="C3364" t="inlineStr">
        <is>
          <t>2018-03</t>
        </is>
      </c>
      <c r="D3364" t="inlineStr">
        <is>
          <t>SP</t>
        </is>
      </c>
      <c r="E3364" t="inlineStr">
        <is>
          <t>health_beauty</t>
        </is>
      </c>
      <c r="F3364" t="n">
        <v>1</v>
      </c>
      <c r="G3364" t="n">
        <v>152</v>
      </c>
      <c r="H3364" t="n">
        <v>12.55</v>
      </c>
      <c r="I3364" t="inlineStr">
        <is>
          <t>boleto</t>
        </is>
      </c>
      <c r="J3364" t="n">
        <v>14</v>
      </c>
      <c r="K3364" t="inlineStr">
        <is>
          <t>On Time</t>
        </is>
      </c>
      <c r="L3364" t="n">
        <v>4</v>
      </c>
      <c r="M3364">
        <f>VLOOKUP(D3364,State_Lookup!$A$2:$B$28,2,FALSE)</f>
        <v/>
      </c>
    </row>
    <row r="3365">
      <c r="A3365" t="inlineStr">
        <is>
          <t>a695521c4f87eeb369e371486b6f7f9e</t>
        </is>
      </c>
      <c r="B3365" t="inlineStr">
        <is>
          <t>2018-03-29</t>
        </is>
      </c>
      <c r="C3365" t="inlineStr">
        <is>
          <t>2018-03</t>
        </is>
      </c>
      <c r="D3365" t="inlineStr">
        <is>
          <t>SP</t>
        </is>
      </c>
      <c r="E3365" t="inlineStr">
        <is>
          <t>computers_accessories</t>
        </is>
      </c>
      <c r="F3365" t="n">
        <v>1</v>
      </c>
      <c r="G3365" t="n">
        <v>149.9</v>
      </c>
      <c r="H3365" t="n">
        <v>14.17</v>
      </c>
      <c r="I3365" t="inlineStr">
        <is>
          <t>credit_card</t>
        </is>
      </c>
      <c r="J3365" t="n">
        <v>11</v>
      </c>
      <c r="K3365" t="inlineStr">
        <is>
          <t>On Time</t>
        </is>
      </c>
      <c r="L3365" t="n">
        <v>5</v>
      </c>
      <c r="M3365">
        <f>VLOOKUP(D3365,State_Lookup!$A$2:$B$28,2,FALSE)</f>
        <v/>
      </c>
    </row>
    <row r="3366">
      <c r="A3366" t="inlineStr">
        <is>
          <t>a7440cf5201c30463ff889fd4a6088ff</t>
        </is>
      </c>
      <c r="B3366" t="inlineStr">
        <is>
          <t>2018-03-29</t>
        </is>
      </c>
      <c r="C3366" t="inlineStr">
        <is>
          <t>2018-03</t>
        </is>
      </c>
      <c r="D3366" t="inlineStr">
        <is>
          <t>PR</t>
        </is>
      </c>
      <c r="E3366" t="inlineStr">
        <is>
          <t>computers_accessories</t>
        </is>
      </c>
      <c r="F3366" t="n">
        <v>1</v>
      </c>
      <c r="G3366" t="n">
        <v>135</v>
      </c>
      <c r="H3366" t="n">
        <v>17.51</v>
      </c>
      <c r="I3366" t="inlineStr">
        <is>
          <t>credit_card</t>
        </is>
      </c>
      <c r="J3366" t="n">
        <v>7</v>
      </c>
      <c r="K3366" t="inlineStr">
        <is>
          <t>On Time</t>
        </is>
      </c>
      <c r="L3366" t="n">
        <v>5</v>
      </c>
      <c r="M3366">
        <f>VLOOKUP(D3366,State_Lookup!$A$2:$B$28,2,FALSE)</f>
        <v/>
      </c>
    </row>
    <row r="3367">
      <c r="A3367" t="inlineStr">
        <is>
          <t>35a43762d907c68ab2a6a697fe52a336</t>
        </is>
      </c>
      <c r="B3367" t="inlineStr">
        <is>
          <t>2018-03-29</t>
        </is>
      </c>
      <c r="C3367" t="inlineStr">
        <is>
          <t>2018-03</t>
        </is>
      </c>
      <c r="D3367" t="inlineStr">
        <is>
          <t>PR</t>
        </is>
      </c>
      <c r="E3367" t="inlineStr">
        <is>
          <t>home_confort</t>
        </is>
      </c>
      <c r="F3367" t="n">
        <v>1</v>
      </c>
      <c r="G3367" t="n">
        <v>86.90000000000001</v>
      </c>
      <c r="H3367" t="n">
        <v>21.56</v>
      </c>
      <c r="I3367" t="inlineStr">
        <is>
          <t>debit_card</t>
        </is>
      </c>
      <c r="J3367" t="n">
        <v>19</v>
      </c>
      <c r="K3367" t="inlineStr">
        <is>
          <t>On Time</t>
        </is>
      </c>
      <c r="L3367" t="n">
        <v>5</v>
      </c>
      <c r="M3367">
        <f>VLOOKUP(D3367,State_Lookup!$A$2:$B$28,2,FALSE)</f>
        <v/>
      </c>
    </row>
    <row r="3368">
      <c r="A3368" t="inlineStr">
        <is>
          <t>0ea1fd1eeeb46df9770ac9d07e1e71e6</t>
        </is>
      </c>
      <c r="B3368" t="inlineStr">
        <is>
          <t>2018-03-30</t>
        </is>
      </c>
      <c r="C3368" t="inlineStr">
        <is>
          <t>2018-03</t>
        </is>
      </c>
      <c r="D3368" t="inlineStr">
        <is>
          <t>SP</t>
        </is>
      </c>
      <c r="E3368" t="inlineStr">
        <is>
          <t>furniture_decor</t>
        </is>
      </c>
      <c r="F3368" t="n">
        <v>1</v>
      </c>
      <c r="G3368" t="n">
        <v>69.90000000000001</v>
      </c>
      <c r="H3368" t="n">
        <v>12.43</v>
      </c>
      <c r="I3368" t="inlineStr">
        <is>
          <t>boleto</t>
        </is>
      </c>
      <c r="J3368" t="n">
        <v>9</v>
      </c>
      <c r="K3368" t="inlineStr">
        <is>
          <t>On Time</t>
        </is>
      </c>
      <c r="L3368" t="n">
        <v>5</v>
      </c>
      <c r="M3368">
        <f>VLOOKUP(D3368,State_Lookup!$A$2:$B$28,2,FALSE)</f>
        <v/>
      </c>
    </row>
    <row r="3369">
      <c r="A3369" t="inlineStr">
        <is>
          <t>b51274af163979e4ac06da7fe2826e33</t>
        </is>
      </c>
      <c r="B3369" t="inlineStr">
        <is>
          <t>2018-03-30</t>
        </is>
      </c>
      <c r="C3369" t="inlineStr">
        <is>
          <t>2018-03</t>
        </is>
      </c>
      <c r="D3369" t="inlineStr">
        <is>
          <t>SP</t>
        </is>
      </c>
      <c r="E3369" t="inlineStr">
        <is>
          <t>sports_leisure</t>
        </is>
      </c>
      <c r="F3369" t="n">
        <v>1</v>
      </c>
      <c r="G3369" t="n">
        <v>10.49</v>
      </c>
      <c r="H3369" t="n">
        <v>7.87</v>
      </c>
      <c r="I3369" t="inlineStr">
        <is>
          <t>credit_card</t>
        </is>
      </c>
      <c r="J3369" t="n">
        <v>3</v>
      </c>
      <c r="K3369" t="inlineStr">
        <is>
          <t>On Time</t>
        </is>
      </c>
      <c r="L3369" t="n">
        <v>4</v>
      </c>
      <c r="M3369">
        <f>VLOOKUP(D3369,State_Lookup!$A$2:$B$28,2,FALSE)</f>
        <v/>
      </c>
    </row>
    <row r="3370">
      <c r="A3370" t="inlineStr">
        <is>
          <t>7edc2a6bd5f0956a989660138adfba50</t>
        </is>
      </c>
      <c r="B3370" t="inlineStr">
        <is>
          <t>2018-03-30</t>
        </is>
      </c>
      <c r="C3370" t="inlineStr">
        <is>
          <t>2018-03</t>
        </is>
      </c>
      <c r="D3370" t="inlineStr">
        <is>
          <t>MG</t>
        </is>
      </c>
      <c r="E3370" t="inlineStr">
        <is>
          <t>sports_leisure</t>
        </is>
      </c>
      <c r="F3370" t="n">
        <v>1</v>
      </c>
      <c r="G3370" t="n">
        <v>69.90000000000001</v>
      </c>
      <c r="H3370" t="n">
        <v>26.57</v>
      </c>
      <c r="I3370" t="inlineStr">
        <is>
          <t>credit_card</t>
        </is>
      </c>
      <c r="J3370" t="n">
        <v>11</v>
      </c>
      <c r="K3370" t="inlineStr">
        <is>
          <t>On Time</t>
        </is>
      </c>
      <c r="L3370" t="n">
        <v>5</v>
      </c>
      <c r="M3370">
        <f>VLOOKUP(D3370,State_Lookup!$A$2:$B$28,2,FALSE)</f>
        <v/>
      </c>
    </row>
    <row r="3371">
      <c r="A3371" t="inlineStr">
        <is>
          <t>0c8813b39ba09cc6fadb5ce2c80671fb</t>
        </is>
      </c>
      <c r="B3371" t="inlineStr">
        <is>
          <t>2018-03-30</t>
        </is>
      </c>
      <c r="C3371" t="inlineStr">
        <is>
          <t>2018-03</t>
        </is>
      </c>
      <c r="D3371" t="inlineStr">
        <is>
          <t>SP</t>
        </is>
      </c>
      <c r="E3371" t="inlineStr">
        <is>
          <t>stationery</t>
        </is>
      </c>
      <c r="F3371" t="n">
        <v>1</v>
      </c>
      <c r="G3371" t="n">
        <v>159</v>
      </c>
      <c r="H3371" t="n">
        <v>15.2</v>
      </c>
      <c r="I3371" t="inlineStr">
        <is>
          <t>credit_card</t>
        </is>
      </c>
      <c r="J3371" t="n">
        <v>18</v>
      </c>
      <c r="K3371" t="inlineStr">
        <is>
          <t>On Time</t>
        </is>
      </c>
      <c r="L3371" t="n">
        <v>4</v>
      </c>
      <c r="M3371">
        <f>VLOOKUP(D3371,State_Lookup!$A$2:$B$28,2,FALSE)</f>
        <v/>
      </c>
    </row>
    <row r="3372">
      <c r="A3372" t="inlineStr">
        <is>
          <t>1c1e0f9cc23b897d0dafed078015e273</t>
        </is>
      </c>
      <c r="B3372" t="inlineStr">
        <is>
          <t>2018-03-30</t>
        </is>
      </c>
      <c r="C3372" t="inlineStr">
        <is>
          <t>2018-03</t>
        </is>
      </c>
      <c r="D3372" t="inlineStr">
        <is>
          <t>RJ</t>
        </is>
      </c>
      <c r="E3372" t="inlineStr">
        <is>
          <t>signaling_and_security</t>
        </is>
      </c>
      <c r="F3372" t="n">
        <v>1</v>
      </c>
      <c r="G3372" t="n">
        <v>68.90000000000001</v>
      </c>
      <c r="H3372" t="n">
        <v>16.45</v>
      </c>
      <c r="I3372" t="inlineStr">
        <is>
          <t>credit_card</t>
        </is>
      </c>
      <c r="J3372" t="n">
        <v>28</v>
      </c>
      <c r="K3372" t="inlineStr">
        <is>
          <t>On Time</t>
        </is>
      </c>
      <c r="L3372" t="n">
        <v>4</v>
      </c>
      <c r="M3372">
        <f>VLOOKUP(D3372,State_Lookup!$A$2:$B$28,2,FALSE)</f>
        <v/>
      </c>
    </row>
    <row r="3373">
      <c r="A3373" t="inlineStr">
        <is>
          <t>6f82d9eeede34f94543730ab2db13732</t>
        </is>
      </c>
      <c r="B3373" t="inlineStr">
        <is>
          <t>2018-03-30</t>
        </is>
      </c>
      <c r="C3373" t="inlineStr">
        <is>
          <t>2018-03</t>
        </is>
      </c>
      <c r="D3373" t="inlineStr">
        <is>
          <t>PR</t>
        </is>
      </c>
      <c r="E3373" t="inlineStr">
        <is>
          <t>baby</t>
        </is>
      </c>
      <c r="F3373" t="n">
        <v>1</v>
      </c>
      <c r="G3373" t="n">
        <v>428</v>
      </c>
      <c r="H3373" t="n">
        <v>22.39</v>
      </c>
      <c r="I3373" t="inlineStr">
        <is>
          <t>credit_card</t>
        </is>
      </c>
      <c r="J3373" t="n">
        <v>25</v>
      </c>
      <c r="K3373" t="inlineStr">
        <is>
          <t>On Time</t>
        </is>
      </c>
      <c r="L3373" t="n">
        <v>5</v>
      </c>
      <c r="M3373">
        <f>VLOOKUP(D3373,State_Lookup!$A$2:$B$28,2,FALSE)</f>
        <v/>
      </c>
    </row>
    <row r="3374">
      <c r="A3374" t="inlineStr">
        <is>
          <t>a28900d6db45f7fe7433f5fba72c30b8</t>
        </is>
      </c>
      <c r="B3374" t="inlineStr">
        <is>
          <t>2018-03-30</t>
        </is>
      </c>
      <c r="C3374" t="inlineStr">
        <is>
          <t>2018-03</t>
        </is>
      </c>
      <c r="D3374" t="inlineStr">
        <is>
          <t>PR</t>
        </is>
      </c>
      <c r="E3374" t="inlineStr">
        <is>
          <t>bed_bath_table</t>
        </is>
      </c>
      <c r="F3374" t="n">
        <v>1</v>
      </c>
      <c r="G3374" t="n">
        <v>21.99</v>
      </c>
      <c r="H3374" t="n">
        <v>18.23</v>
      </c>
      <c r="I3374" t="inlineStr">
        <is>
          <t>credit_card</t>
        </is>
      </c>
      <c r="J3374" t="n">
        <v>14</v>
      </c>
      <c r="K3374" t="inlineStr">
        <is>
          <t>On Time</t>
        </is>
      </c>
      <c r="L3374" t="n">
        <v>5</v>
      </c>
      <c r="M3374">
        <f>VLOOKUP(D3374,State_Lookup!$A$2:$B$28,2,FALSE)</f>
        <v/>
      </c>
    </row>
    <row r="3375">
      <c r="A3375" t="inlineStr">
        <is>
          <t>5981f36992c8a99eff941a3d3375b318</t>
        </is>
      </c>
      <c r="B3375" t="inlineStr">
        <is>
          <t>2018-03-30</t>
        </is>
      </c>
      <c r="C3375" t="inlineStr">
        <is>
          <t>2018-03</t>
        </is>
      </c>
      <c r="D3375" t="inlineStr">
        <is>
          <t>ES</t>
        </is>
      </c>
      <c r="E3375" t="inlineStr">
        <is>
          <t>health_beauty</t>
        </is>
      </c>
      <c r="F3375" t="n">
        <v>1</v>
      </c>
      <c r="G3375" t="n">
        <v>61.99</v>
      </c>
      <c r="H3375" t="n">
        <v>22.93</v>
      </c>
      <c r="I3375" t="inlineStr">
        <is>
          <t>boleto</t>
        </is>
      </c>
      <c r="J3375" t="n">
        <v>45</v>
      </c>
      <c r="K3375" t="inlineStr">
        <is>
          <t>Late</t>
        </is>
      </c>
      <c r="L3375" t="n">
        <v>1</v>
      </c>
      <c r="M3375">
        <f>VLOOKUP(D3375,State_Lookup!$A$2:$B$28,2,FALSE)</f>
        <v/>
      </c>
    </row>
    <row r="3376">
      <c r="A3376" t="inlineStr">
        <is>
          <t>7fa1bc2ecbe5c7adc22222afa8e30520</t>
        </is>
      </c>
      <c r="B3376" t="inlineStr">
        <is>
          <t>2018-03-30</t>
        </is>
      </c>
      <c r="C3376" t="inlineStr">
        <is>
          <t>2018-03</t>
        </is>
      </c>
      <c r="D3376" t="inlineStr">
        <is>
          <t>MT</t>
        </is>
      </c>
      <c r="E3376" t="inlineStr">
        <is>
          <t>furniture_decor</t>
        </is>
      </c>
      <c r="F3376" t="n">
        <v>3</v>
      </c>
      <c r="G3376" t="n">
        <v>149.7</v>
      </c>
      <c r="H3376" t="n">
        <v>69.84</v>
      </c>
      <c r="I3376" t="inlineStr">
        <is>
          <t>credit_card</t>
        </is>
      </c>
      <c r="J3376" t="n">
        <v>18</v>
      </c>
      <c r="K3376" t="inlineStr">
        <is>
          <t>On Time</t>
        </is>
      </c>
      <c r="L3376" t="n">
        <v>5</v>
      </c>
      <c r="M3376">
        <f>VLOOKUP(D3376,State_Lookup!$A$2:$B$28,2,FALSE)</f>
        <v/>
      </c>
    </row>
    <row r="3377">
      <c r="A3377" t="inlineStr">
        <is>
          <t>cac00f6d5c47ea72c4a8f62a307edcda</t>
        </is>
      </c>
      <c r="B3377" t="inlineStr">
        <is>
          <t>2018-03-30</t>
        </is>
      </c>
      <c r="C3377" t="inlineStr">
        <is>
          <t>2018-03</t>
        </is>
      </c>
      <c r="D3377" t="inlineStr">
        <is>
          <t>RJ</t>
        </is>
      </c>
      <c r="E3377" t="inlineStr">
        <is>
          <t>furniture_decor</t>
        </is>
      </c>
      <c r="F3377" t="n">
        <v>1</v>
      </c>
      <c r="G3377" t="n">
        <v>189.9</v>
      </c>
      <c r="H3377" t="n">
        <v>19.26</v>
      </c>
      <c r="I3377" t="inlineStr">
        <is>
          <t>credit_card</t>
        </is>
      </c>
      <c r="J3377" t="n">
        <v>6</v>
      </c>
      <c r="K3377" t="inlineStr">
        <is>
          <t>On Time</t>
        </is>
      </c>
      <c r="L3377" t="n">
        <v>5</v>
      </c>
      <c r="M3377">
        <f>VLOOKUP(D3377,State_Lookup!$A$2:$B$28,2,FALSE)</f>
        <v/>
      </c>
    </row>
    <row r="3378">
      <c r="A3378" t="inlineStr">
        <is>
          <t>89a4c233afc16481649ea535f2c9eeba</t>
        </is>
      </c>
      <c r="B3378" t="inlineStr">
        <is>
          <t>2018-03-30</t>
        </is>
      </c>
      <c r="C3378" t="inlineStr">
        <is>
          <t>2018-03</t>
        </is>
      </c>
      <c r="D3378" t="inlineStr">
        <is>
          <t>RJ</t>
        </is>
      </c>
      <c r="E3378" t="inlineStr">
        <is>
          <t>toys</t>
        </is>
      </c>
      <c r="F3378" t="n">
        <v>1</v>
      </c>
      <c r="G3378" t="n">
        <v>229.99</v>
      </c>
      <c r="H3378" t="n">
        <v>15.55</v>
      </c>
      <c r="I3378" t="inlineStr">
        <is>
          <t>voucher</t>
        </is>
      </c>
      <c r="J3378" t="n">
        <v>4</v>
      </c>
      <c r="K3378" t="inlineStr">
        <is>
          <t>On Time</t>
        </is>
      </c>
      <c r="L3378" t="n">
        <v>5</v>
      </c>
      <c r="M3378">
        <f>VLOOKUP(D3378,State_Lookup!$A$2:$B$28,2,FALSE)</f>
        <v/>
      </c>
    </row>
    <row r="3379">
      <c r="A3379" t="inlineStr">
        <is>
          <t>9fa2b518229715cade50be6375126ebf</t>
        </is>
      </c>
      <c r="B3379" t="inlineStr">
        <is>
          <t>2018-03-30</t>
        </is>
      </c>
      <c r="C3379" t="inlineStr">
        <is>
          <t>2018-03</t>
        </is>
      </c>
      <c r="D3379" t="inlineStr">
        <is>
          <t>MG</t>
        </is>
      </c>
      <c r="E3379" t="inlineStr">
        <is>
          <t>bed_bath_table</t>
        </is>
      </c>
      <c r="F3379" t="n">
        <v>1</v>
      </c>
      <c r="G3379" t="n">
        <v>109</v>
      </c>
      <c r="H3379" t="n">
        <v>23.3</v>
      </c>
      <c r="I3379" t="inlineStr">
        <is>
          <t>credit_card</t>
        </is>
      </c>
      <c r="J3379" t="n">
        <v>8</v>
      </c>
      <c r="K3379" t="inlineStr">
        <is>
          <t>On Time</t>
        </is>
      </c>
      <c r="L3379" t="inlineStr"/>
      <c r="M3379">
        <f>VLOOKUP(D3379,State_Lookup!$A$2:$B$28,2,FALSE)</f>
        <v/>
      </c>
    </row>
    <row r="3380">
      <c r="A3380" t="inlineStr">
        <is>
          <t>b5b51b2363f2372af3e36828b9e25b97</t>
        </is>
      </c>
      <c r="B3380" t="inlineStr">
        <is>
          <t>2018-03-30</t>
        </is>
      </c>
      <c r="C3380" t="inlineStr">
        <is>
          <t>2018-03</t>
        </is>
      </c>
      <c r="D3380" t="inlineStr">
        <is>
          <t>PB</t>
        </is>
      </c>
      <c r="E3380" t="inlineStr">
        <is>
          <t>computers_accessories</t>
        </is>
      </c>
      <c r="F3380" t="n">
        <v>1</v>
      </c>
      <c r="G3380" t="n">
        <v>149.9</v>
      </c>
      <c r="H3380" t="n">
        <v>20.02</v>
      </c>
      <c r="I3380" t="inlineStr">
        <is>
          <t>credit_card</t>
        </is>
      </c>
      <c r="J3380" t="n">
        <v>6</v>
      </c>
      <c r="K3380" t="inlineStr">
        <is>
          <t>On Time</t>
        </is>
      </c>
      <c r="L3380" t="n">
        <v>4</v>
      </c>
      <c r="M3380">
        <f>VLOOKUP(D3380,State_Lookup!$A$2:$B$28,2,FALSE)</f>
        <v/>
      </c>
    </row>
    <row r="3381">
      <c r="A3381" t="inlineStr">
        <is>
          <t>0f559863677fb17eed36c4374e198a93</t>
        </is>
      </c>
      <c r="B3381" t="inlineStr">
        <is>
          <t>2018-03-31</t>
        </is>
      </c>
      <c r="C3381" t="inlineStr">
        <is>
          <t>2018-03</t>
        </is>
      </c>
      <c r="D3381" t="inlineStr">
        <is>
          <t>SP</t>
        </is>
      </c>
      <c r="E3381" t="inlineStr">
        <is>
          <t>construction_tools_safety</t>
        </is>
      </c>
      <c r="F3381" t="n">
        <v>1</v>
      </c>
      <c r="G3381" t="n">
        <v>44.95</v>
      </c>
      <c r="H3381" t="n">
        <v>7.39</v>
      </c>
      <c r="I3381" t="inlineStr">
        <is>
          <t>credit_card</t>
        </is>
      </c>
      <c r="J3381" t="n">
        <v>23</v>
      </c>
      <c r="K3381" t="inlineStr">
        <is>
          <t>Late</t>
        </is>
      </c>
      <c r="L3381" t="n">
        <v>1</v>
      </c>
      <c r="M3381">
        <f>VLOOKUP(D3381,State_Lookup!$A$2:$B$28,2,FALSE)</f>
        <v/>
      </c>
    </row>
    <row r="3382">
      <c r="A3382" t="inlineStr">
        <is>
          <t>38774303eed7ea4f45f31ba37969381d</t>
        </is>
      </c>
      <c r="B3382" t="inlineStr">
        <is>
          <t>2018-03-31</t>
        </is>
      </c>
      <c r="C3382" t="inlineStr">
        <is>
          <t>2018-03</t>
        </is>
      </c>
      <c r="D3382" t="inlineStr">
        <is>
          <t>SP</t>
        </is>
      </c>
      <c r="E3382" t="inlineStr">
        <is>
          <t>bed_bath_table</t>
        </is>
      </c>
      <c r="F3382" t="n">
        <v>1</v>
      </c>
      <c r="G3382" t="n">
        <v>286</v>
      </c>
      <c r="H3382" t="n">
        <v>14.44</v>
      </c>
      <c r="I3382" t="inlineStr">
        <is>
          <t>credit_card</t>
        </is>
      </c>
      <c r="J3382" t="n">
        <v>25</v>
      </c>
      <c r="K3382" t="inlineStr">
        <is>
          <t>Late</t>
        </is>
      </c>
      <c r="L3382" t="n">
        <v>1</v>
      </c>
      <c r="M3382">
        <f>VLOOKUP(D3382,State_Lookup!$A$2:$B$28,2,FALSE)</f>
        <v/>
      </c>
    </row>
    <row r="3383">
      <c r="A3383" t="inlineStr">
        <is>
          <t>81360270b5d4478eb5fcc0e12f31cee3</t>
        </is>
      </c>
      <c r="B3383" t="inlineStr">
        <is>
          <t>2018-03-31</t>
        </is>
      </c>
      <c r="C3383" t="inlineStr">
        <is>
          <t>2018-03</t>
        </is>
      </c>
      <c r="D3383" t="inlineStr">
        <is>
          <t>SP</t>
        </is>
      </c>
      <c r="E3383" t="inlineStr">
        <is>
          <t>pet_shop</t>
        </is>
      </c>
      <c r="F3383" t="n">
        <v>1</v>
      </c>
      <c r="G3383" t="n">
        <v>56</v>
      </c>
      <c r="H3383" t="n">
        <v>17.97</v>
      </c>
      <c r="I3383" t="inlineStr">
        <is>
          <t>credit_card</t>
        </is>
      </c>
      <c r="J3383" t="n">
        <v>9</v>
      </c>
      <c r="K3383" t="inlineStr">
        <is>
          <t>On Time</t>
        </is>
      </c>
      <c r="L3383" t="n">
        <v>5</v>
      </c>
      <c r="M3383">
        <f>VLOOKUP(D3383,State_Lookup!$A$2:$B$28,2,FALSE)</f>
        <v/>
      </c>
    </row>
    <row r="3384">
      <c r="A3384" t="inlineStr">
        <is>
          <t>aa77456ca20becffcb4fa5a88e21129f</t>
        </is>
      </c>
      <c r="B3384" t="inlineStr">
        <is>
          <t>2018-03-31</t>
        </is>
      </c>
      <c r="C3384" t="inlineStr">
        <is>
          <t>2018-03</t>
        </is>
      </c>
      <c r="D3384" t="inlineStr">
        <is>
          <t>SP</t>
        </is>
      </c>
      <c r="E3384" t="inlineStr">
        <is>
          <t>garden_tools</t>
        </is>
      </c>
      <c r="F3384" t="n">
        <v>1</v>
      </c>
      <c r="G3384" t="n">
        <v>55</v>
      </c>
      <c r="H3384" t="n">
        <v>8.880000000000001</v>
      </c>
      <c r="I3384" t="inlineStr">
        <is>
          <t>credit_card</t>
        </is>
      </c>
      <c r="J3384" t="n">
        <v>8</v>
      </c>
      <c r="K3384" t="inlineStr">
        <is>
          <t>On Time</t>
        </is>
      </c>
      <c r="L3384" t="n">
        <v>3</v>
      </c>
      <c r="M3384">
        <f>VLOOKUP(D3384,State_Lookup!$A$2:$B$28,2,FALSE)</f>
        <v/>
      </c>
    </row>
    <row r="3385">
      <c r="A3385" t="inlineStr">
        <is>
          <t>976dcbc03eb11fbed9a4a2fd6d2bdb22</t>
        </is>
      </c>
      <c r="B3385" t="inlineStr">
        <is>
          <t>2018-03-31</t>
        </is>
      </c>
      <c r="C3385" t="inlineStr">
        <is>
          <t>2018-03</t>
        </is>
      </c>
      <c r="D3385" t="inlineStr">
        <is>
          <t>SP</t>
        </is>
      </c>
      <c r="E3385" t="inlineStr">
        <is>
          <t>musical_instruments</t>
        </is>
      </c>
      <c r="F3385" t="n">
        <v>1</v>
      </c>
      <c r="G3385" t="n">
        <v>54.87</v>
      </c>
      <c r="H3385" t="n">
        <v>19.35</v>
      </c>
      <c r="I3385" t="inlineStr">
        <is>
          <t>boleto</t>
        </is>
      </c>
      <c r="J3385" t="n">
        <v>9</v>
      </c>
      <c r="K3385" t="inlineStr">
        <is>
          <t>On Time</t>
        </is>
      </c>
      <c r="L3385" t="n">
        <v>5</v>
      </c>
      <c r="M3385">
        <f>VLOOKUP(D3385,State_Lookup!$A$2:$B$28,2,FALSE)</f>
        <v/>
      </c>
    </row>
    <row r="3386">
      <c r="A3386" t="inlineStr">
        <is>
          <t>2bc2d6094a9d3a086277687c589123af</t>
        </is>
      </c>
      <c r="B3386" t="inlineStr">
        <is>
          <t>2018-03-31</t>
        </is>
      </c>
      <c r="C3386" t="inlineStr">
        <is>
          <t>2018-03</t>
        </is>
      </c>
      <c r="D3386" t="inlineStr">
        <is>
          <t>RS</t>
        </is>
      </c>
      <c r="E3386" t="inlineStr">
        <is>
          <t>stationery</t>
        </is>
      </c>
      <c r="F3386" t="n">
        <v>1</v>
      </c>
      <c r="G3386" t="n">
        <v>159.9</v>
      </c>
      <c r="H3386" t="n">
        <v>17.09</v>
      </c>
      <c r="I3386" t="inlineStr">
        <is>
          <t>credit_card</t>
        </is>
      </c>
      <c r="J3386" t="n">
        <v>13</v>
      </c>
      <c r="K3386" t="inlineStr">
        <is>
          <t>On Time</t>
        </is>
      </c>
      <c r="L3386" t="n">
        <v>5</v>
      </c>
      <c r="M3386">
        <f>VLOOKUP(D3386,State_Lookup!$A$2:$B$28,2,FALSE)</f>
        <v/>
      </c>
    </row>
    <row r="3387">
      <c r="A3387" t="inlineStr">
        <is>
          <t>7bd0fa6cc96710fda7c735ed00b3c018</t>
        </is>
      </c>
      <c r="B3387" t="inlineStr">
        <is>
          <t>2018-04-01</t>
        </is>
      </c>
      <c r="C3387" t="inlineStr">
        <is>
          <t>2018-04</t>
        </is>
      </c>
      <c r="D3387" t="inlineStr">
        <is>
          <t>SP</t>
        </is>
      </c>
      <c r="E3387" t="inlineStr">
        <is>
          <t>sports_leisure</t>
        </is>
      </c>
      <c r="F3387" t="n">
        <v>1</v>
      </c>
      <c r="G3387" t="n">
        <v>45</v>
      </c>
      <c r="H3387" t="n">
        <v>18.23</v>
      </c>
      <c r="I3387" t="inlineStr">
        <is>
          <t>credit_card</t>
        </is>
      </c>
      <c r="J3387" t="n">
        <v>8</v>
      </c>
      <c r="K3387" t="inlineStr">
        <is>
          <t>On Time</t>
        </is>
      </c>
      <c r="L3387" t="n">
        <v>5</v>
      </c>
      <c r="M3387">
        <f>VLOOKUP(D3387,State_Lookup!$A$2:$B$28,2,FALSE)</f>
        <v/>
      </c>
    </row>
    <row r="3388">
      <c r="A3388" t="inlineStr">
        <is>
          <t>32c028ae9ea23ed2b32e239ed6b672ee</t>
        </is>
      </c>
      <c r="B3388" t="inlineStr">
        <is>
          <t>2018-04-01</t>
        </is>
      </c>
      <c r="C3388" t="inlineStr">
        <is>
          <t>2018-04</t>
        </is>
      </c>
      <c r="D3388" t="inlineStr">
        <is>
          <t>SP</t>
        </is>
      </c>
      <c r="E3388" t="inlineStr">
        <is>
          <t>housewares</t>
        </is>
      </c>
      <c r="F3388" t="n">
        <v>1</v>
      </c>
      <c r="G3388" t="n">
        <v>49.9</v>
      </c>
      <c r="H3388" t="n">
        <v>7.39</v>
      </c>
      <c r="I3388" t="inlineStr">
        <is>
          <t>credit_card</t>
        </is>
      </c>
      <c r="J3388" t="n">
        <v>3</v>
      </c>
      <c r="K3388" t="inlineStr">
        <is>
          <t>On Time</t>
        </is>
      </c>
      <c r="L3388" t="n">
        <v>4</v>
      </c>
      <c r="M3388">
        <f>VLOOKUP(D3388,State_Lookup!$A$2:$B$28,2,FALSE)</f>
        <v/>
      </c>
    </row>
    <row r="3389">
      <c r="A3389" t="inlineStr">
        <is>
          <t>3b81c43a73c516855c1f690e280e3466</t>
        </is>
      </c>
      <c r="B3389" t="inlineStr">
        <is>
          <t>2018-04-01</t>
        </is>
      </c>
      <c r="C3389" t="inlineStr">
        <is>
          <t>2018-04</t>
        </is>
      </c>
      <c r="D3389" t="inlineStr">
        <is>
          <t>SP</t>
        </is>
      </c>
      <c r="E3389" t="inlineStr">
        <is>
          <t>housewares</t>
        </is>
      </c>
      <c r="F3389" t="n">
        <v>1</v>
      </c>
      <c r="G3389" t="n">
        <v>75</v>
      </c>
      <c r="H3389" t="n">
        <v>8.880000000000001</v>
      </c>
      <c r="I3389" t="inlineStr">
        <is>
          <t>credit_card</t>
        </is>
      </c>
      <c r="J3389" t="n">
        <v>3</v>
      </c>
      <c r="K3389" t="inlineStr">
        <is>
          <t>On Time</t>
        </is>
      </c>
      <c r="L3389" t="n">
        <v>5</v>
      </c>
      <c r="M3389">
        <f>VLOOKUP(D3389,State_Lookup!$A$2:$B$28,2,FALSE)</f>
        <v/>
      </c>
    </row>
    <row r="3390">
      <c r="A3390" t="inlineStr">
        <is>
          <t>1fbebbbba3149f89e410951ca531cae2</t>
        </is>
      </c>
      <c r="B3390" t="inlineStr">
        <is>
          <t>2018-04-01</t>
        </is>
      </c>
      <c r="C3390" t="inlineStr">
        <is>
          <t>2018-04</t>
        </is>
      </c>
      <c r="D3390" t="inlineStr">
        <is>
          <t>PR</t>
        </is>
      </c>
      <c r="E3390" t="inlineStr">
        <is>
          <t>fashion_bags_accessories</t>
        </is>
      </c>
      <c r="F3390" t="n">
        <v>1</v>
      </c>
      <c r="G3390" t="n">
        <v>199.9</v>
      </c>
      <c r="H3390" t="n">
        <v>38.09</v>
      </c>
      <c r="I3390" t="inlineStr">
        <is>
          <t>boleto</t>
        </is>
      </c>
      <c r="J3390" t="n">
        <v>12</v>
      </c>
      <c r="K3390" t="inlineStr">
        <is>
          <t>On Time</t>
        </is>
      </c>
      <c r="L3390" t="n">
        <v>4</v>
      </c>
      <c r="M3390">
        <f>VLOOKUP(D3390,State_Lookup!$A$2:$B$28,2,FALSE)</f>
        <v/>
      </c>
    </row>
    <row r="3391">
      <c r="A3391" t="inlineStr">
        <is>
          <t>705402bc1d956067338873d414158d09</t>
        </is>
      </c>
      <c r="B3391" t="inlineStr">
        <is>
          <t>2018-04-01</t>
        </is>
      </c>
      <c r="C3391" t="inlineStr">
        <is>
          <t>2018-04</t>
        </is>
      </c>
      <c r="D3391" t="inlineStr">
        <is>
          <t>RJ</t>
        </is>
      </c>
      <c r="E3391" t="inlineStr">
        <is>
          <t>bed_bath_table</t>
        </is>
      </c>
      <c r="F3391" t="n">
        <v>1</v>
      </c>
      <c r="G3391" t="n">
        <v>149.9</v>
      </c>
      <c r="H3391" t="n">
        <v>18.93</v>
      </c>
      <c r="I3391" t="inlineStr">
        <is>
          <t>debit_card</t>
        </is>
      </c>
      <c r="J3391" t="n">
        <v>29</v>
      </c>
      <c r="K3391" t="inlineStr">
        <is>
          <t>Late</t>
        </is>
      </c>
      <c r="L3391" t="n">
        <v>1</v>
      </c>
      <c r="M3391">
        <f>VLOOKUP(D3391,State_Lookup!$A$2:$B$28,2,FALSE)</f>
        <v/>
      </c>
    </row>
    <row r="3392">
      <c r="A3392" t="inlineStr">
        <is>
          <t>ed7646bd67d7f803bfe1d24cc78cd827</t>
        </is>
      </c>
      <c r="B3392" t="inlineStr">
        <is>
          <t>2018-04-01</t>
        </is>
      </c>
      <c r="C3392" t="inlineStr">
        <is>
          <t>2018-04</t>
        </is>
      </c>
      <c r="D3392" t="inlineStr">
        <is>
          <t>SP</t>
        </is>
      </c>
      <c r="E3392" t="inlineStr">
        <is>
          <t>furniture_decor</t>
        </is>
      </c>
      <c r="F3392" t="n">
        <v>1</v>
      </c>
      <c r="G3392" t="n">
        <v>69.90000000000001</v>
      </c>
      <c r="H3392" t="n">
        <v>16.18</v>
      </c>
      <c r="I3392" t="inlineStr">
        <is>
          <t>credit_card</t>
        </is>
      </c>
      <c r="J3392" t="n">
        <v>14</v>
      </c>
      <c r="K3392" t="inlineStr">
        <is>
          <t>On Time</t>
        </is>
      </c>
      <c r="L3392" t="n">
        <v>5</v>
      </c>
      <c r="M3392">
        <f>VLOOKUP(D3392,State_Lookup!$A$2:$B$28,2,FALSE)</f>
        <v/>
      </c>
    </row>
    <row r="3393">
      <c r="A3393" t="inlineStr">
        <is>
          <t>54f621bc447961fb6ab19031f7f3051b</t>
        </is>
      </c>
      <c r="B3393" t="inlineStr">
        <is>
          <t>2018-04-01</t>
        </is>
      </c>
      <c r="C3393" t="inlineStr">
        <is>
          <t>2018-04</t>
        </is>
      </c>
      <c r="D3393" t="inlineStr">
        <is>
          <t>SP</t>
        </is>
      </c>
      <c r="E3393" t="inlineStr">
        <is>
          <t>garden_tools</t>
        </is>
      </c>
      <c r="F3393" t="n">
        <v>1</v>
      </c>
      <c r="G3393" t="n">
        <v>29.9</v>
      </c>
      <c r="H3393" t="n">
        <v>8.289999999999999</v>
      </c>
      <c r="I3393" t="inlineStr">
        <is>
          <t>credit_card</t>
        </is>
      </c>
      <c r="J3393" t="n">
        <v>5</v>
      </c>
      <c r="K3393" t="inlineStr">
        <is>
          <t>On Time</t>
        </is>
      </c>
      <c r="L3393" t="n">
        <v>4</v>
      </c>
      <c r="M3393">
        <f>VLOOKUP(D3393,State_Lookup!$A$2:$B$28,2,FALSE)</f>
        <v/>
      </c>
    </row>
    <row r="3394">
      <c r="A3394" t="inlineStr">
        <is>
          <t>304979f072f7041aca154907e01172c4</t>
        </is>
      </c>
      <c r="B3394" t="inlineStr">
        <is>
          <t>2018-04-01</t>
        </is>
      </c>
      <c r="C3394" t="inlineStr">
        <is>
          <t>2018-04</t>
        </is>
      </c>
      <c r="D3394" t="inlineStr">
        <is>
          <t>SP</t>
        </is>
      </c>
      <c r="E3394" t="inlineStr">
        <is>
          <t>auto</t>
        </is>
      </c>
      <c r="F3394" t="n">
        <v>1</v>
      </c>
      <c r="G3394" t="n">
        <v>109.9</v>
      </c>
      <c r="H3394" t="n">
        <v>18.85</v>
      </c>
      <c r="I3394" t="inlineStr">
        <is>
          <t>voucher</t>
        </is>
      </c>
      <c r="J3394" t="n">
        <v>9</v>
      </c>
      <c r="K3394" t="inlineStr">
        <is>
          <t>On Time</t>
        </is>
      </c>
      <c r="L3394" t="n">
        <v>5</v>
      </c>
      <c r="M3394">
        <f>VLOOKUP(D3394,State_Lookup!$A$2:$B$28,2,FALSE)</f>
        <v/>
      </c>
    </row>
    <row r="3395">
      <c r="A3395" t="inlineStr">
        <is>
          <t>a60b6d835751f3580629da8d3b00b761</t>
        </is>
      </c>
      <c r="B3395" t="inlineStr">
        <is>
          <t>2018-04-02</t>
        </is>
      </c>
      <c r="C3395" t="inlineStr">
        <is>
          <t>2018-04</t>
        </is>
      </c>
      <c r="D3395" t="inlineStr">
        <is>
          <t>MG</t>
        </is>
      </c>
      <c r="E3395" t="inlineStr">
        <is>
          <t>housewares</t>
        </is>
      </c>
      <c r="F3395" t="n">
        <v>1</v>
      </c>
      <c r="G3395" t="n">
        <v>26</v>
      </c>
      <c r="H3395" t="n">
        <v>19.32</v>
      </c>
      <c r="I3395" t="inlineStr">
        <is>
          <t>credit_card</t>
        </is>
      </c>
      <c r="J3395" t="n">
        <v>14</v>
      </c>
      <c r="K3395" t="inlineStr">
        <is>
          <t>On Time</t>
        </is>
      </c>
      <c r="L3395" t="n">
        <v>5</v>
      </c>
      <c r="M3395">
        <f>VLOOKUP(D3395,State_Lookup!$A$2:$B$28,2,FALSE)</f>
        <v/>
      </c>
    </row>
    <row r="3396">
      <c r="A3396" t="inlineStr">
        <is>
          <t>3c0be21119f52aa359b9adc51824ac6d</t>
        </is>
      </c>
      <c r="B3396" t="inlineStr">
        <is>
          <t>2018-04-02</t>
        </is>
      </c>
      <c r="C3396" t="inlineStr">
        <is>
          <t>2018-04</t>
        </is>
      </c>
      <c r="D3396" t="inlineStr">
        <is>
          <t>BA</t>
        </is>
      </c>
      <c r="E3396" t="inlineStr">
        <is>
          <t>auto</t>
        </is>
      </c>
      <c r="F3396" t="n">
        <v>1</v>
      </c>
      <c r="G3396" t="n">
        <v>124.7</v>
      </c>
      <c r="H3396" t="n">
        <v>23.8</v>
      </c>
      <c r="I3396" t="inlineStr">
        <is>
          <t>credit_card</t>
        </is>
      </c>
      <c r="J3396" t="n">
        <v>18</v>
      </c>
      <c r="K3396" t="inlineStr">
        <is>
          <t>On Time</t>
        </is>
      </c>
      <c r="L3396" t="n">
        <v>4</v>
      </c>
      <c r="M3396">
        <f>VLOOKUP(D3396,State_Lookup!$A$2:$B$28,2,FALSE)</f>
        <v/>
      </c>
    </row>
    <row r="3397">
      <c r="A3397" t="inlineStr">
        <is>
          <t>35f1c7a905180687002390a212d166be</t>
        </is>
      </c>
      <c r="B3397" t="inlineStr">
        <is>
          <t>2018-04-02</t>
        </is>
      </c>
      <c r="C3397" t="inlineStr">
        <is>
          <t>2018-04</t>
        </is>
      </c>
      <c r="D3397" t="inlineStr">
        <is>
          <t>SP</t>
        </is>
      </c>
      <c r="E3397" t="inlineStr">
        <is>
          <t>bed_bath_table</t>
        </is>
      </c>
      <c r="F3397" t="n">
        <v>1</v>
      </c>
      <c r="G3397" t="n">
        <v>65.90000000000001</v>
      </c>
      <c r="H3397" t="n">
        <v>13.82</v>
      </c>
      <c r="I3397" t="inlineStr">
        <is>
          <t>boleto</t>
        </is>
      </c>
      <c r="J3397" t="n">
        <v>13</v>
      </c>
      <c r="K3397" t="inlineStr">
        <is>
          <t>On Time</t>
        </is>
      </c>
      <c r="L3397" t="n">
        <v>4</v>
      </c>
      <c r="M3397">
        <f>VLOOKUP(D3397,State_Lookup!$A$2:$B$28,2,FALSE)</f>
        <v/>
      </c>
    </row>
    <row r="3398">
      <c r="A3398" t="inlineStr">
        <is>
          <t>5b5153bb02f4f2e953e5a87aa1cc8389</t>
        </is>
      </c>
      <c r="B3398" t="inlineStr">
        <is>
          <t>2018-04-02</t>
        </is>
      </c>
      <c r="C3398" t="inlineStr">
        <is>
          <t>2018-04</t>
        </is>
      </c>
      <c r="D3398" t="inlineStr">
        <is>
          <t>RS</t>
        </is>
      </c>
      <c r="E3398" t="inlineStr">
        <is>
          <t>cine_photo</t>
        </is>
      </c>
      <c r="F3398" t="n">
        <v>1</v>
      </c>
      <c r="G3398" t="n">
        <v>53.99</v>
      </c>
      <c r="H3398" t="n">
        <v>16.35</v>
      </c>
      <c r="I3398" t="inlineStr">
        <is>
          <t>credit_card</t>
        </is>
      </c>
      <c r="J3398" t="n">
        <v>21</v>
      </c>
      <c r="K3398" t="inlineStr">
        <is>
          <t>On Time</t>
        </is>
      </c>
      <c r="L3398" t="n">
        <v>5</v>
      </c>
      <c r="M3398">
        <f>VLOOKUP(D3398,State_Lookup!$A$2:$B$28,2,FALSE)</f>
        <v/>
      </c>
    </row>
    <row r="3399">
      <c r="A3399" t="inlineStr">
        <is>
          <t>31f2b7c70b716879e5c4080ef87f20bc</t>
        </is>
      </c>
      <c r="B3399" t="inlineStr">
        <is>
          <t>2018-04-02</t>
        </is>
      </c>
      <c r="C3399" t="inlineStr">
        <is>
          <t>2018-04</t>
        </is>
      </c>
      <c r="D3399" t="inlineStr">
        <is>
          <t>SP</t>
        </is>
      </c>
      <c r="E3399" t="inlineStr">
        <is>
          <t>garden_tools</t>
        </is>
      </c>
      <c r="F3399" t="n">
        <v>1</v>
      </c>
      <c r="G3399" t="n">
        <v>53.9</v>
      </c>
      <c r="H3399" t="n">
        <v>13.46</v>
      </c>
      <c r="I3399" t="inlineStr">
        <is>
          <t>credit_card</t>
        </is>
      </c>
      <c r="J3399" t="n">
        <v>7</v>
      </c>
      <c r="K3399" t="inlineStr">
        <is>
          <t>On Time</t>
        </is>
      </c>
      <c r="L3399" t="n">
        <v>5</v>
      </c>
      <c r="M3399">
        <f>VLOOKUP(D3399,State_Lookup!$A$2:$B$28,2,FALSE)</f>
        <v/>
      </c>
    </row>
    <row r="3400">
      <c r="A3400" t="inlineStr">
        <is>
          <t>1e3afc9cb36a927cb383e0d51cf19342</t>
        </is>
      </c>
      <c r="B3400" t="inlineStr">
        <is>
          <t>2018-04-02</t>
        </is>
      </c>
      <c r="C3400" t="inlineStr">
        <is>
          <t>2018-04</t>
        </is>
      </c>
      <c r="D3400" t="inlineStr">
        <is>
          <t>DF</t>
        </is>
      </c>
      <c r="E3400" t="inlineStr">
        <is>
          <t>computers_accessories</t>
        </is>
      </c>
      <c r="F3400" t="n">
        <v>1</v>
      </c>
      <c r="G3400" t="n">
        <v>39.9</v>
      </c>
      <c r="H3400" t="n">
        <v>16.32</v>
      </c>
      <c r="I3400" t="inlineStr">
        <is>
          <t>boleto</t>
        </is>
      </c>
      <c r="J3400" t="n">
        <v>15</v>
      </c>
      <c r="K3400" t="inlineStr">
        <is>
          <t>On Time</t>
        </is>
      </c>
      <c r="L3400" t="n">
        <v>5</v>
      </c>
      <c r="M3400">
        <f>VLOOKUP(D3400,State_Lookup!$A$2:$B$28,2,FALSE)</f>
        <v/>
      </c>
    </row>
    <row r="3401">
      <c r="A3401" t="inlineStr">
        <is>
          <t>8e3c10b463cb2ffb94546b5e9f05cd05</t>
        </is>
      </c>
      <c r="B3401" t="inlineStr">
        <is>
          <t>2018-04-02</t>
        </is>
      </c>
      <c r="C3401" t="inlineStr">
        <is>
          <t>2018-04</t>
        </is>
      </c>
      <c r="D3401" t="inlineStr">
        <is>
          <t>TO</t>
        </is>
      </c>
      <c r="E3401" t="inlineStr">
        <is>
          <t>office_furniture</t>
        </is>
      </c>
      <c r="F3401" t="n">
        <v>2</v>
      </c>
      <c r="G3401" t="n">
        <v>559.8</v>
      </c>
      <c r="H3401" t="n">
        <v>301.12</v>
      </c>
      <c r="I3401" t="inlineStr">
        <is>
          <t>credit_card</t>
        </is>
      </c>
      <c r="J3401" t="n">
        <v>24</v>
      </c>
      <c r="K3401" t="inlineStr">
        <is>
          <t>Late</t>
        </is>
      </c>
      <c r="L3401" t="n">
        <v>5</v>
      </c>
      <c r="M3401">
        <f>VLOOKUP(D3401,State_Lookup!$A$2:$B$28,2,FALSE)</f>
        <v/>
      </c>
    </row>
    <row r="3402">
      <c r="A3402" t="inlineStr">
        <is>
          <t>3f1ce5993887adf8fa64399d04ddd7eb</t>
        </is>
      </c>
      <c r="B3402" t="inlineStr">
        <is>
          <t>2018-04-02</t>
        </is>
      </c>
      <c r="C3402" t="inlineStr">
        <is>
          <t>2018-04</t>
        </is>
      </c>
      <c r="D3402" t="inlineStr">
        <is>
          <t>SP</t>
        </is>
      </c>
      <c r="E3402" t="inlineStr">
        <is>
          <t>furniture_decor</t>
        </is>
      </c>
      <c r="F3402" t="n">
        <v>1</v>
      </c>
      <c r="G3402" t="n">
        <v>150</v>
      </c>
      <c r="H3402" t="n">
        <v>13.95</v>
      </c>
      <c r="I3402" t="inlineStr">
        <is>
          <t>credit_card</t>
        </is>
      </c>
      <c r="J3402" t="n">
        <v>3</v>
      </c>
      <c r="K3402" t="inlineStr">
        <is>
          <t>On Time</t>
        </is>
      </c>
      <c r="L3402" t="n">
        <v>5</v>
      </c>
      <c r="M3402">
        <f>VLOOKUP(D3402,State_Lookup!$A$2:$B$28,2,FALSE)</f>
        <v/>
      </c>
    </row>
    <row r="3403">
      <c r="A3403" t="inlineStr">
        <is>
          <t>1d0288c49db00e00965c4d82d464f61e</t>
        </is>
      </c>
      <c r="B3403" t="inlineStr">
        <is>
          <t>2018-04-02</t>
        </is>
      </c>
      <c r="C3403" t="inlineStr">
        <is>
          <t>2018-04</t>
        </is>
      </c>
      <c r="D3403" t="inlineStr">
        <is>
          <t>SP</t>
        </is>
      </c>
      <c r="E3403" t="inlineStr">
        <is>
          <t>electronics</t>
        </is>
      </c>
      <c r="F3403" t="n">
        <v>1</v>
      </c>
      <c r="G3403" t="n">
        <v>18.9</v>
      </c>
      <c r="H3403" t="n">
        <v>13.47</v>
      </c>
      <c r="I3403" t="inlineStr">
        <is>
          <t>credit_card</t>
        </is>
      </c>
      <c r="J3403" t="n">
        <v>9</v>
      </c>
      <c r="K3403" t="inlineStr">
        <is>
          <t>On Time</t>
        </is>
      </c>
      <c r="L3403" t="n">
        <v>5</v>
      </c>
      <c r="M3403">
        <f>VLOOKUP(D3403,State_Lookup!$A$2:$B$28,2,FALSE)</f>
        <v/>
      </c>
    </row>
    <row r="3404">
      <c r="A3404" t="inlineStr">
        <is>
          <t>3ac72d6b4d6ecee25955544a54657e3b</t>
        </is>
      </c>
      <c r="B3404" t="inlineStr">
        <is>
          <t>2018-04-02</t>
        </is>
      </c>
      <c r="C3404" t="inlineStr">
        <is>
          <t>2018-04</t>
        </is>
      </c>
      <c r="D3404" t="inlineStr">
        <is>
          <t>SC</t>
        </is>
      </c>
      <c r="E3404" t="inlineStr">
        <is>
          <t>sports_leisure</t>
        </is>
      </c>
      <c r="F3404" t="n">
        <v>3</v>
      </c>
      <c r="G3404" t="n">
        <v>323.1</v>
      </c>
      <c r="H3404" t="n">
        <v>55.89</v>
      </c>
      <c r="I3404" t="inlineStr">
        <is>
          <t>credit_card</t>
        </is>
      </c>
      <c r="J3404" t="n">
        <v>14</v>
      </c>
      <c r="K3404" t="inlineStr">
        <is>
          <t>On Time</t>
        </is>
      </c>
      <c r="L3404" t="n">
        <v>5</v>
      </c>
      <c r="M3404">
        <f>VLOOKUP(D3404,State_Lookup!$A$2:$B$28,2,FALSE)</f>
        <v/>
      </c>
    </row>
    <row r="3405">
      <c r="A3405" t="inlineStr">
        <is>
          <t>d114db1284e403886d42917794dab1aa</t>
        </is>
      </c>
      <c r="B3405" t="inlineStr">
        <is>
          <t>2018-04-02</t>
        </is>
      </c>
      <c r="C3405" t="inlineStr">
        <is>
          <t>2018-04</t>
        </is>
      </c>
      <c r="D3405" t="inlineStr">
        <is>
          <t>SP</t>
        </is>
      </c>
      <c r="E3405" t="inlineStr">
        <is>
          <t>sports_leisure</t>
        </is>
      </c>
      <c r="F3405" t="n">
        <v>1</v>
      </c>
      <c r="G3405" t="n">
        <v>29</v>
      </c>
      <c r="H3405" t="n">
        <v>8.82</v>
      </c>
      <c r="I3405" t="inlineStr">
        <is>
          <t>credit_card</t>
        </is>
      </c>
      <c r="J3405" t="n">
        <v>2</v>
      </c>
      <c r="K3405" t="inlineStr">
        <is>
          <t>On Time</t>
        </is>
      </c>
      <c r="L3405" t="n">
        <v>5</v>
      </c>
      <c r="M3405">
        <f>VLOOKUP(D3405,State_Lookup!$A$2:$B$28,2,FALSE)</f>
        <v/>
      </c>
    </row>
    <row r="3406">
      <c r="A3406" t="inlineStr">
        <is>
          <t>a8ad6062c04fe8e59731cf03daf951b0</t>
        </is>
      </c>
      <c r="B3406" t="inlineStr">
        <is>
          <t>2018-04-02</t>
        </is>
      </c>
      <c r="C3406" t="inlineStr">
        <is>
          <t>2018-04</t>
        </is>
      </c>
      <c r="D3406" t="inlineStr">
        <is>
          <t>MG</t>
        </is>
      </c>
      <c r="E3406" t="inlineStr">
        <is>
          <t>bed_bath_table</t>
        </is>
      </c>
      <c r="F3406" t="n">
        <v>1</v>
      </c>
      <c r="G3406" t="n">
        <v>78.98999999999999</v>
      </c>
      <c r="H3406" t="n">
        <v>19.52</v>
      </c>
      <c r="I3406" t="inlineStr">
        <is>
          <t>credit_card</t>
        </is>
      </c>
      <c r="J3406" t="n">
        <v>9</v>
      </c>
      <c r="K3406" t="inlineStr">
        <is>
          <t>On Time</t>
        </is>
      </c>
      <c r="L3406" t="n">
        <v>5</v>
      </c>
      <c r="M3406">
        <f>VLOOKUP(D3406,State_Lookup!$A$2:$B$28,2,FALSE)</f>
        <v/>
      </c>
    </row>
    <row r="3407">
      <c r="A3407" t="inlineStr">
        <is>
          <t>4437322bbcfa3948b387f1e5e3801a24</t>
        </is>
      </c>
      <c r="B3407" t="inlineStr">
        <is>
          <t>2018-04-02</t>
        </is>
      </c>
      <c r="C3407" t="inlineStr">
        <is>
          <t>2018-04</t>
        </is>
      </c>
      <c r="D3407" t="inlineStr">
        <is>
          <t>SP</t>
        </is>
      </c>
      <c r="E3407" t="inlineStr">
        <is>
          <t>home_appliances</t>
        </is>
      </c>
      <c r="F3407" t="n">
        <v>1</v>
      </c>
      <c r="G3407" t="n">
        <v>141.75</v>
      </c>
      <c r="H3407" t="n">
        <v>13.7</v>
      </c>
      <c r="I3407" t="inlineStr">
        <is>
          <t>credit_card</t>
        </is>
      </c>
      <c r="J3407" t="n">
        <v>2</v>
      </c>
      <c r="K3407" t="inlineStr">
        <is>
          <t>On Time</t>
        </is>
      </c>
      <c r="L3407" t="n">
        <v>5</v>
      </c>
      <c r="M3407">
        <f>VLOOKUP(D3407,State_Lookup!$A$2:$B$28,2,FALSE)</f>
        <v/>
      </c>
    </row>
    <row r="3408">
      <c r="A3408" t="inlineStr">
        <is>
          <t>7f61f0eeb7f603d49e02f6b2a7b709eb</t>
        </is>
      </c>
      <c r="B3408" t="inlineStr">
        <is>
          <t>2018-04-03</t>
        </is>
      </c>
      <c r="C3408" t="inlineStr">
        <is>
          <t>2018-04</t>
        </is>
      </c>
      <c r="D3408" t="inlineStr">
        <is>
          <t>SP</t>
        </is>
      </c>
      <c r="E3408" t="inlineStr">
        <is>
          <t>bed_bath_table</t>
        </is>
      </c>
      <c r="F3408" t="n">
        <v>1</v>
      </c>
      <c r="G3408" t="n">
        <v>35</v>
      </c>
      <c r="H3408" t="n">
        <v>12.79</v>
      </c>
      <c r="I3408" t="inlineStr">
        <is>
          <t>credit_card</t>
        </is>
      </c>
      <c r="J3408" t="n">
        <v>10</v>
      </c>
      <c r="K3408" t="inlineStr">
        <is>
          <t>On Time</t>
        </is>
      </c>
      <c r="L3408" t="n">
        <v>5</v>
      </c>
      <c r="M3408">
        <f>VLOOKUP(D3408,State_Lookup!$A$2:$B$28,2,FALSE)</f>
        <v/>
      </c>
    </row>
    <row r="3409">
      <c r="A3409" t="inlineStr">
        <is>
          <t>92719f3b4fbd484515110bfc47e8a808</t>
        </is>
      </c>
      <c r="B3409" t="inlineStr">
        <is>
          <t>2018-04-03</t>
        </is>
      </c>
      <c r="C3409" t="inlineStr">
        <is>
          <t>2018-04</t>
        </is>
      </c>
      <c r="D3409" t="inlineStr">
        <is>
          <t>AL</t>
        </is>
      </c>
      <c r="E3409" t="inlineStr">
        <is>
          <t>telephony</t>
        </is>
      </c>
      <c r="F3409" t="n">
        <v>1</v>
      </c>
      <c r="G3409" t="n">
        <v>12.99</v>
      </c>
      <c r="H3409" t="n">
        <v>22.85</v>
      </c>
      <c r="I3409" t="inlineStr">
        <is>
          <t>voucher</t>
        </is>
      </c>
      <c r="J3409" t="n">
        <v>44</v>
      </c>
      <c r="K3409" t="inlineStr">
        <is>
          <t>Late</t>
        </is>
      </c>
      <c r="L3409" t="n">
        <v>4</v>
      </c>
      <c r="M3409">
        <f>VLOOKUP(D3409,State_Lookup!$A$2:$B$28,2,FALSE)</f>
        <v/>
      </c>
    </row>
    <row r="3410">
      <c r="A3410" t="inlineStr">
        <is>
          <t>794d80f9e8620ca36ebf6adef63cb6ee</t>
        </is>
      </c>
      <c r="B3410" t="inlineStr">
        <is>
          <t>2018-04-03</t>
        </is>
      </c>
      <c r="C3410" t="inlineStr">
        <is>
          <t>2018-04</t>
        </is>
      </c>
      <c r="D3410" t="inlineStr">
        <is>
          <t>SP</t>
        </is>
      </c>
      <c r="E3410" t="inlineStr">
        <is>
          <t>small_appliances</t>
        </is>
      </c>
      <c r="F3410" t="n">
        <v>1</v>
      </c>
      <c r="G3410" t="n">
        <v>74.06</v>
      </c>
      <c r="H3410" t="n">
        <v>23.1</v>
      </c>
      <c r="I3410" t="inlineStr">
        <is>
          <t>credit_card</t>
        </is>
      </c>
      <c r="J3410" t="n">
        <v>7</v>
      </c>
      <c r="K3410" t="inlineStr">
        <is>
          <t>On Time</t>
        </is>
      </c>
      <c r="L3410" t="n">
        <v>4</v>
      </c>
      <c r="M3410">
        <f>VLOOKUP(D3410,State_Lookup!$A$2:$B$28,2,FALSE)</f>
        <v/>
      </c>
    </row>
    <row r="3411">
      <c r="A3411" t="inlineStr">
        <is>
          <t>14d669598f68c894de7412ad5b49d724</t>
        </is>
      </c>
      <c r="B3411" t="inlineStr">
        <is>
          <t>2018-04-03</t>
        </is>
      </c>
      <c r="C3411" t="inlineStr">
        <is>
          <t>2018-04</t>
        </is>
      </c>
      <c r="D3411" t="inlineStr">
        <is>
          <t>MG</t>
        </is>
      </c>
      <c r="E3411" t="inlineStr">
        <is>
          <t>sports_leisure</t>
        </is>
      </c>
      <c r="F3411" t="n">
        <v>1</v>
      </c>
      <c r="G3411" t="n">
        <v>32.49</v>
      </c>
      <c r="H3411" t="n">
        <v>18.23</v>
      </c>
      <c r="I3411" t="inlineStr">
        <is>
          <t>credit_card</t>
        </is>
      </c>
      <c r="J3411" t="n">
        <v>13</v>
      </c>
      <c r="K3411" t="inlineStr">
        <is>
          <t>On Time</t>
        </is>
      </c>
      <c r="L3411" t="n">
        <v>5</v>
      </c>
      <c r="M3411">
        <f>VLOOKUP(D3411,State_Lookup!$A$2:$B$28,2,FALSE)</f>
        <v/>
      </c>
    </row>
    <row r="3412">
      <c r="A3412" t="inlineStr">
        <is>
          <t>e4b53293134babaa7d3b418659ead610</t>
        </is>
      </c>
      <c r="B3412" t="inlineStr">
        <is>
          <t>2018-04-03</t>
        </is>
      </c>
      <c r="C3412" t="inlineStr">
        <is>
          <t>2018-04</t>
        </is>
      </c>
      <c r="D3412" t="inlineStr">
        <is>
          <t>GO</t>
        </is>
      </c>
      <c r="E3412" t="inlineStr">
        <is>
          <t>watches_gifts</t>
        </is>
      </c>
      <c r="F3412" t="n">
        <v>1</v>
      </c>
      <c r="G3412" t="n">
        <v>359</v>
      </c>
      <c r="H3412" t="n">
        <v>17.39</v>
      </c>
      <c r="I3412" t="inlineStr">
        <is>
          <t>credit_card</t>
        </is>
      </c>
      <c r="J3412" t="n">
        <v>10</v>
      </c>
      <c r="K3412" t="inlineStr">
        <is>
          <t>On Time</t>
        </is>
      </c>
      <c r="L3412" t="n">
        <v>5</v>
      </c>
      <c r="M3412">
        <f>VLOOKUP(D3412,State_Lookup!$A$2:$B$28,2,FALSE)</f>
        <v/>
      </c>
    </row>
    <row r="3413">
      <c r="A3413" t="inlineStr">
        <is>
          <t>8bb46e03bff515e6fceb90c2185880a9</t>
        </is>
      </c>
      <c r="B3413" t="inlineStr">
        <is>
          <t>2018-04-03</t>
        </is>
      </c>
      <c r="C3413" t="inlineStr">
        <is>
          <t>2018-04</t>
        </is>
      </c>
      <c r="D3413" t="inlineStr">
        <is>
          <t>SP</t>
        </is>
      </c>
      <c r="E3413" t="inlineStr">
        <is>
          <t>bed_bath_table</t>
        </is>
      </c>
      <c r="F3413" t="n">
        <v>1</v>
      </c>
      <c r="G3413" t="n">
        <v>25.5</v>
      </c>
      <c r="H3413" t="n">
        <v>7.87</v>
      </c>
      <c r="I3413" t="inlineStr">
        <is>
          <t>credit_card</t>
        </is>
      </c>
      <c r="J3413" t="n">
        <v>2</v>
      </c>
      <c r="K3413" t="inlineStr">
        <is>
          <t>On Time</t>
        </is>
      </c>
      <c r="L3413" t="n">
        <v>5</v>
      </c>
      <c r="M3413">
        <f>VLOOKUP(D3413,State_Lookup!$A$2:$B$28,2,FALSE)</f>
        <v/>
      </c>
    </row>
    <row r="3414">
      <c r="A3414" t="inlineStr">
        <is>
          <t>aa225b52da83ae9c797a46da556fa068</t>
        </is>
      </c>
      <c r="B3414" t="inlineStr">
        <is>
          <t>2018-04-03</t>
        </is>
      </c>
      <c r="C3414" t="inlineStr">
        <is>
          <t>2018-04</t>
        </is>
      </c>
      <c r="D3414" t="inlineStr">
        <is>
          <t>SP</t>
        </is>
      </c>
      <c r="E3414" t="inlineStr">
        <is>
          <t>sports_leisure</t>
        </is>
      </c>
      <c r="F3414" t="n">
        <v>1</v>
      </c>
      <c r="G3414" t="n">
        <v>19.49</v>
      </c>
      <c r="H3414" t="n">
        <v>7.87</v>
      </c>
      <c r="I3414" t="inlineStr">
        <is>
          <t>debit_card</t>
        </is>
      </c>
      <c r="J3414" t="n">
        <v>3</v>
      </c>
      <c r="K3414" t="inlineStr">
        <is>
          <t>On Time</t>
        </is>
      </c>
      <c r="L3414" t="n">
        <v>5</v>
      </c>
      <c r="M3414">
        <f>VLOOKUP(D3414,State_Lookup!$A$2:$B$28,2,FALSE)</f>
        <v/>
      </c>
    </row>
    <row r="3415">
      <c r="A3415" t="inlineStr">
        <is>
          <t>8431c1024f6407ab4f4b5f45a60fbb4f</t>
        </is>
      </c>
      <c r="B3415" t="inlineStr">
        <is>
          <t>2018-04-03</t>
        </is>
      </c>
      <c r="C3415" t="inlineStr">
        <is>
          <t>2018-04</t>
        </is>
      </c>
      <c r="D3415" t="inlineStr">
        <is>
          <t>SP</t>
        </is>
      </c>
      <c r="E3415" t="inlineStr">
        <is>
          <t>computers_accessories</t>
        </is>
      </c>
      <c r="F3415" t="n">
        <v>1</v>
      </c>
      <c r="G3415" t="n">
        <v>84.89</v>
      </c>
      <c r="H3415" t="n">
        <v>7.94</v>
      </c>
      <c r="I3415" t="inlineStr">
        <is>
          <t>credit_card</t>
        </is>
      </c>
      <c r="J3415" t="n">
        <v>7</v>
      </c>
      <c r="K3415" t="inlineStr">
        <is>
          <t>On Time</t>
        </is>
      </c>
      <c r="L3415" t="n">
        <v>5</v>
      </c>
      <c r="M3415">
        <f>VLOOKUP(D3415,State_Lookup!$A$2:$B$28,2,FALSE)</f>
        <v/>
      </c>
    </row>
    <row r="3416">
      <c r="A3416" t="inlineStr">
        <is>
          <t>146a8097be73570f2318c78e5b16b91b</t>
        </is>
      </c>
      <c r="B3416" t="inlineStr">
        <is>
          <t>2018-04-03</t>
        </is>
      </c>
      <c r="C3416" t="inlineStr">
        <is>
          <t>2018-04</t>
        </is>
      </c>
      <c r="D3416" t="inlineStr">
        <is>
          <t>SC</t>
        </is>
      </c>
      <c r="E3416" t="inlineStr">
        <is>
          <t>auto</t>
        </is>
      </c>
      <c r="F3416" t="n">
        <v>1</v>
      </c>
      <c r="G3416" t="n">
        <v>29.88</v>
      </c>
      <c r="H3416" t="n">
        <v>19.32</v>
      </c>
      <c r="I3416" t="inlineStr">
        <is>
          <t>credit_card</t>
        </is>
      </c>
      <c r="J3416" t="n">
        <v>8</v>
      </c>
      <c r="K3416" t="inlineStr">
        <is>
          <t>On Time</t>
        </is>
      </c>
      <c r="L3416" t="n">
        <v>5</v>
      </c>
      <c r="M3416">
        <f>VLOOKUP(D3416,State_Lookup!$A$2:$B$28,2,FALSE)</f>
        <v/>
      </c>
    </row>
    <row r="3417">
      <c r="A3417" t="inlineStr">
        <is>
          <t>feac81be070a43ec0bd168b52fb03485</t>
        </is>
      </c>
      <c r="B3417" t="inlineStr">
        <is>
          <t>2018-04-03</t>
        </is>
      </c>
      <c r="C3417" t="inlineStr">
        <is>
          <t>2018-04</t>
        </is>
      </c>
      <c r="D3417" t="inlineStr">
        <is>
          <t>SP</t>
        </is>
      </c>
      <c r="E3417" t="inlineStr">
        <is>
          <t>home_confort</t>
        </is>
      </c>
      <c r="F3417" t="n">
        <v>1</v>
      </c>
      <c r="G3417" t="n">
        <v>136</v>
      </c>
      <c r="H3417" t="n">
        <v>13.39</v>
      </c>
      <c r="I3417" t="inlineStr">
        <is>
          <t>credit_card</t>
        </is>
      </c>
      <c r="J3417" t="n">
        <v>9</v>
      </c>
      <c r="K3417" t="inlineStr">
        <is>
          <t>On Time</t>
        </is>
      </c>
      <c r="L3417" t="n">
        <v>5</v>
      </c>
      <c r="M3417">
        <f>VLOOKUP(D3417,State_Lookup!$A$2:$B$28,2,FALSE)</f>
        <v/>
      </c>
    </row>
    <row r="3418">
      <c r="A3418" t="inlineStr">
        <is>
          <t>6c110f11373e534d875da9554b318f26</t>
        </is>
      </c>
      <c r="B3418" t="inlineStr">
        <is>
          <t>2018-04-04</t>
        </is>
      </c>
      <c r="C3418" t="inlineStr">
        <is>
          <t>2018-04</t>
        </is>
      </c>
      <c r="D3418" t="inlineStr">
        <is>
          <t>SP</t>
        </is>
      </c>
      <c r="E3418" t="inlineStr">
        <is>
          <t>fixed_telephony</t>
        </is>
      </c>
      <c r="F3418" t="n">
        <v>1</v>
      </c>
      <c r="G3418" t="n">
        <v>18.99</v>
      </c>
      <c r="H3418" t="n">
        <v>7.39</v>
      </c>
      <c r="I3418" t="inlineStr">
        <is>
          <t>credit_card</t>
        </is>
      </c>
      <c r="J3418" t="n">
        <v>2</v>
      </c>
      <c r="K3418" t="inlineStr">
        <is>
          <t>On Time</t>
        </is>
      </c>
      <c r="L3418" t="n">
        <v>4</v>
      </c>
      <c r="M3418">
        <f>VLOOKUP(D3418,State_Lookup!$A$2:$B$28,2,FALSE)</f>
        <v/>
      </c>
    </row>
    <row r="3419">
      <c r="A3419" t="inlineStr">
        <is>
          <t>d01dff4d42c2ef5bdcb2085ccf391ed4</t>
        </is>
      </c>
      <c r="B3419" t="inlineStr">
        <is>
          <t>2018-04-04</t>
        </is>
      </c>
      <c r="C3419" t="inlineStr">
        <is>
          <t>2018-04</t>
        </is>
      </c>
      <c r="D3419" t="inlineStr">
        <is>
          <t>RJ</t>
        </is>
      </c>
      <c r="E3419" t="inlineStr">
        <is>
          <t>furniture_decor</t>
        </is>
      </c>
      <c r="F3419" t="n">
        <v>1</v>
      </c>
      <c r="G3419" t="n">
        <v>35</v>
      </c>
      <c r="H3419" t="n">
        <v>11.39</v>
      </c>
      <c r="I3419" t="inlineStr">
        <is>
          <t>credit_card</t>
        </is>
      </c>
      <c r="J3419" t="n">
        <v>6</v>
      </c>
      <c r="K3419" t="inlineStr">
        <is>
          <t>On Time</t>
        </is>
      </c>
      <c r="L3419" t="n">
        <v>5</v>
      </c>
      <c r="M3419">
        <f>VLOOKUP(D3419,State_Lookup!$A$2:$B$28,2,FALSE)</f>
        <v/>
      </c>
    </row>
    <row r="3420">
      <c r="A3420" t="inlineStr">
        <is>
          <t>d2f87ac39d8b31e615528ca52e5c8434</t>
        </is>
      </c>
      <c r="B3420" t="inlineStr">
        <is>
          <t>2018-04-04</t>
        </is>
      </c>
      <c r="C3420" t="inlineStr">
        <is>
          <t>2018-04</t>
        </is>
      </c>
      <c r="D3420" t="inlineStr">
        <is>
          <t>SP</t>
        </is>
      </c>
      <c r="E3420" t="inlineStr">
        <is>
          <t>toys</t>
        </is>
      </c>
      <c r="F3420" t="n">
        <v>1</v>
      </c>
      <c r="G3420" t="n">
        <v>29.68</v>
      </c>
      <c r="H3420" t="n">
        <v>12.79</v>
      </c>
      <c r="I3420" t="inlineStr">
        <is>
          <t>credit_card</t>
        </is>
      </c>
      <c r="J3420" t="n">
        <v>6</v>
      </c>
      <c r="K3420" t="inlineStr">
        <is>
          <t>On Time</t>
        </is>
      </c>
      <c r="L3420" t="n">
        <v>5</v>
      </c>
      <c r="M3420">
        <f>VLOOKUP(D3420,State_Lookup!$A$2:$B$28,2,FALSE)</f>
        <v/>
      </c>
    </row>
    <row r="3421">
      <c r="A3421" t="inlineStr">
        <is>
          <t>385183082e6bcd8f81769fe274d3654a</t>
        </is>
      </c>
      <c r="B3421" t="inlineStr">
        <is>
          <t>2018-04-04</t>
        </is>
      </c>
      <c r="C3421" t="inlineStr">
        <is>
          <t>2018-04</t>
        </is>
      </c>
      <c r="D3421" t="inlineStr">
        <is>
          <t>SP</t>
        </is>
      </c>
      <c r="E3421" t="inlineStr">
        <is>
          <t>electronics</t>
        </is>
      </c>
      <c r="F3421" t="n">
        <v>1</v>
      </c>
      <c r="G3421" t="n">
        <v>13.65</v>
      </c>
      <c r="H3421" t="n">
        <v>7.39</v>
      </c>
      <c r="I3421" t="inlineStr">
        <is>
          <t>credit_card</t>
        </is>
      </c>
      <c r="J3421" t="n">
        <v>1</v>
      </c>
      <c r="K3421" t="inlineStr">
        <is>
          <t>On Time</t>
        </is>
      </c>
      <c r="L3421" t="n">
        <v>5</v>
      </c>
      <c r="M3421">
        <f>VLOOKUP(D3421,State_Lookup!$A$2:$B$28,2,FALSE)</f>
        <v/>
      </c>
    </row>
    <row r="3422">
      <c r="A3422" t="inlineStr">
        <is>
          <t>a39f565fb24832fec6f96a476444b02b</t>
        </is>
      </c>
      <c r="B3422" t="inlineStr">
        <is>
          <t>2018-04-04</t>
        </is>
      </c>
      <c r="C3422" t="inlineStr">
        <is>
          <t>2018-04</t>
        </is>
      </c>
      <c r="D3422" t="inlineStr">
        <is>
          <t>SP</t>
        </is>
      </c>
      <c r="E3422" t="inlineStr">
        <is>
          <t>perfumery</t>
        </is>
      </c>
      <c r="F3422" t="n">
        <v>2</v>
      </c>
      <c r="G3422" t="n">
        <v>200</v>
      </c>
      <c r="H3422" t="n">
        <v>27.05</v>
      </c>
      <c r="I3422" t="inlineStr">
        <is>
          <t>credit_card</t>
        </is>
      </c>
      <c r="J3422" t="n">
        <v>5</v>
      </c>
      <c r="K3422" t="inlineStr">
        <is>
          <t>On Time</t>
        </is>
      </c>
      <c r="L3422" t="n">
        <v>5</v>
      </c>
      <c r="M3422">
        <f>VLOOKUP(D3422,State_Lookup!$A$2:$B$28,2,FALSE)</f>
        <v/>
      </c>
    </row>
    <row r="3423">
      <c r="A3423" t="inlineStr">
        <is>
          <t>8d7de30c33f737a080cdd433ec8670e4</t>
        </is>
      </c>
      <c r="B3423" t="inlineStr">
        <is>
          <t>2018-04-04</t>
        </is>
      </c>
      <c r="C3423" t="inlineStr">
        <is>
          <t>2018-04</t>
        </is>
      </c>
      <c r="D3423" t="inlineStr">
        <is>
          <t>SP</t>
        </is>
      </c>
      <c r="E3423" t="inlineStr">
        <is>
          <t>computers_accessories</t>
        </is>
      </c>
      <c r="F3423" t="n">
        <v>1</v>
      </c>
      <c r="G3423" t="n">
        <v>89.90000000000001</v>
      </c>
      <c r="H3423" t="n">
        <v>17.34</v>
      </c>
      <c r="I3423" t="inlineStr">
        <is>
          <t>credit_card</t>
        </is>
      </c>
      <c r="J3423" t="n">
        <v>10</v>
      </c>
      <c r="K3423" t="inlineStr">
        <is>
          <t>On Time</t>
        </is>
      </c>
      <c r="L3423" t="n">
        <v>4</v>
      </c>
      <c r="M3423">
        <f>VLOOKUP(D3423,State_Lookup!$A$2:$B$28,2,FALSE)</f>
        <v/>
      </c>
    </row>
    <row r="3424">
      <c r="A3424" t="inlineStr">
        <is>
          <t>c1dc9326b9f99f2db29af061a59cbe8d</t>
        </is>
      </c>
      <c r="B3424" t="inlineStr">
        <is>
          <t>2018-04-04</t>
        </is>
      </c>
      <c r="C3424" t="inlineStr">
        <is>
          <t>2018-04</t>
        </is>
      </c>
      <c r="D3424" t="inlineStr">
        <is>
          <t>RS</t>
        </is>
      </c>
      <c r="E3424" t="inlineStr">
        <is>
          <t>cool_stuff</t>
        </is>
      </c>
      <c r="F3424" t="n">
        <v>1</v>
      </c>
      <c r="G3424" t="n">
        <v>89.8</v>
      </c>
      <c r="H3424" t="n">
        <v>18.21</v>
      </c>
      <c r="I3424" t="inlineStr">
        <is>
          <t>boleto</t>
        </is>
      </c>
      <c r="J3424" t="n">
        <v>31</v>
      </c>
      <c r="K3424" t="inlineStr">
        <is>
          <t>Late</t>
        </is>
      </c>
      <c r="L3424" t="n">
        <v>4</v>
      </c>
      <c r="M3424">
        <f>VLOOKUP(D3424,State_Lookup!$A$2:$B$28,2,FALSE)</f>
        <v/>
      </c>
    </row>
    <row r="3425">
      <c r="A3425" t="inlineStr">
        <is>
          <t>0735a85a187bf67cfe490862c0e72bb0</t>
        </is>
      </c>
      <c r="B3425" t="inlineStr">
        <is>
          <t>2018-04-04</t>
        </is>
      </c>
      <c r="C3425" t="inlineStr">
        <is>
          <t>2018-04</t>
        </is>
      </c>
      <c r="D3425" t="inlineStr">
        <is>
          <t>SP</t>
        </is>
      </c>
      <c r="E3425" t="inlineStr">
        <is>
          <t>computers_accessories</t>
        </is>
      </c>
      <c r="F3425" t="n">
        <v>1</v>
      </c>
      <c r="G3425" t="n">
        <v>99.98999999999999</v>
      </c>
      <c r="H3425" t="n">
        <v>7.56</v>
      </c>
      <c r="I3425" t="inlineStr">
        <is>
          <t>credit_card</t>
        </is>
      </c>
      <c r="J3425" t="n">
        <v>2</v>
      </c>
      <c r="K3425" t="inlineStr">
        <is>
          <t>On Time</t>
        </is>
      </c>
      <c r="L3425" t="n">
        <v>5</v>
      </c>
      <c r="M3425">
        <f>VLOOKUP(D3425,State_Lookup!$A$2:$B$28,2,FALSE)</f>
        <v/>
      </c>
    </row>
    <row r="3426">
      <c r="A3426" t="inlineStr">
        <is>
          <t>5e1634961496211a38819595cbde5862</t>
        </is>
      </c>
      <c r="B3426" t="inlineStr">
        <is>
          <t>2018-04-04</t>
        </is>
      </c>
      <c r="C3426" t="inlineStr">
        <is>
          <t>2018-04</t>
        </is>
      </c>
      <c r="D3426" t="inlineStr">
        <is>
          <t>SP</t>
        </is>
      </c>
      <c r="E3426" t="inlineStr">
        <is>
          <t>stationery</t>
        </is>
      </c>
      <c r="F3426" t="n">
        <v>1</v>
      </c>
      <c r="G3426" t="n">
        <v>59</v>
      </c>
      <c r="H3426" t="n">
        <v>13.77</v>
      </c>
      <c r="I3426" t="inlineStr">
        <is>
          <t>credit_card</t>
        </is>
      </c>
      <c r="J3426" t="n">
        <v>8</v>
      </c>
      <c r="K3426" t="inlineStr">
        <is>
          <t>On Time</t>
        </is>
      </c>
      <c r="L3426" t="n">
        <v>5</v>
      </c>
      <c r="M3426">
        <f>VLOOKUP(D3426,State_Lookup!$A$2:$B$28,2,FALSE)</f>
        <v/>
      </c>
    </row>
    <row r="3427">
      <c r="A3427" t="inlineStr">
        <is>
          <t>75f19ffdc366b3e66a822a7fafa0db05</t>
        </is>
      </c>
      <c r="B3427" t="inlineStr">
        <is>
          <t>2018-04-04</t>
        </is>
      </c>
      <c r="C3427" t="inlineStr">
        <is>
          <t>2018-04</t>
        </is>
      </c>
      <c r="D3427" t="inlineStr">
        <is>
          <t>RJ</t>
        </is>
      </c>
      <c r="E3427" t="inlineStr">
        <is>
          <t>perfumery</t>
        </is>
      </c>
      <c r="F3427" t="n">
        <v>1</v>
      </c>
      <c r="G3427" t="n">
        <v>141.9</v>
      </c>
      <c r="H3427" t="n">
        <v>22.7</v>
      </c>
      <c r="I3427" t="inlineStr">
        <is>
          <t>credit_card</t>
        </is>
      </c>
      <c r="J3427" t="n">
        <v>10</v>
      </c>
      <c r="K3427" t="inlineStr">
        <is>
          <t>On Time</t>
        </is>
      </c>
      <c r="L3427" t="n">
        <v>5</v>
      </c>
      <c r="M3427">
        <f>VLOOKUP(D3427,State_Lookup!$A$2:$B$28,2,FALSE)</f>
        <v/>
      </c>
    </row>
    <row r="3428">
      <c r="A3428" t="inlineStr">
        <is>
          <t>36a9a3f459c7b3416f1caddf4d238f03</t>
        </is>
      </c>
      <c r="B3428" t="inlineStr">
        <is>
          <t>2018-04-05</t>
        </is>
      </c>
      <c r="C3428" t="inlineStr">
        <is>
          <t>2018-04</t>
        </is>
      </c>
      <c r="D3428" t="inlineStr">
        <is>
          <t>TO</t>
        </is>
      </c>
      <c r="E3428" t="inlineStr">
        <is>
          <t>auto</t>
        </is>
      </c>
      <c r="F3428" t="n">
        <v>1</v>
      </c>
      <c r="G3428" t="n">
        <v>52</v>
      </c>
      <c r="H3428" t="n">
        <v>37.05</v>
      </c>
      <c r="I3428" t="inlineStr">
        <is>
          <t>credit_card</t>
        </is>
      </c>
      <c r="J3428" t="n">
        <v>18</v>
      </c>
      <c r="K3428" t="inlineStr">
        <is>
          <t>On Time</t>
        </is>
      </c>
      <c r="L3428" t="n">
        <v>5</v>
      </c>
      <c r="M3428">
        <f>VLOOKUP(D3428,State_Lookup!$A$2:$B$28,2,FALSE)</f>
        <v/>
      </c>
    </row>
    <row r="3429">
      <c r="A3429" t="inlineStr">
        <is>
          <t>b100b7e34a9b4da2a73dcb55310d2199</t>
        </is>
      </c>
      <c r="B3429" t="inlineStr">
        <is>
          <t>2018-04-05</t>
        </is>
      </c>
      <c r="C3429" t="inlineStr">
        <is>
          <t>2018-04</t>
        </is>
      </c>
      <c r="D3429" t="inlineStr">
        <is>
          <t>SP</t>
        </is>
      </c>
      <c r="E3429" t="inlineStr">
        <is>
          <t>health_beauty</t>
        </is>
      </c>
      <c r="F3429" t="n">
        <v>1</v>
      </c>
      <c r="G3429" t="n">
        <v>252.5</v>
      </c>
      <c r="H3429" t="n">
        <v>14.67</v>
      </c>
      <c r="I3429" t="inlineStr">
        <is>
          <t>credit_card</t>
        </is>
      </c>
      <c r="J3429" t="n">
        <v>3</v>
      </c>
      <c r="K3429" t="inlineStr">
        <is>
          <t>On Time</t>
        </is>
      </c>
      <c r="L3429" t="n">
        <v>5</v>
      </c>
      <c r="M3429">
        <f>VLOOKUP(D3429,State_Lookup!$A$2:$B$28,2,FALSE)</f>
        <v/>
      </c>
    </row>
    <row r="3430">
      <c r="A3430" t="inlineStr">
        <is>
          <t>1cd29ff24c716ad3002179320343005a</t>
        </is>
      </c>
      <c r="B3430" t="inlineStr">
        <is>
          <t>2018-04-05</t>
        </is>
      </c>
      <c r="C3430" t="inlineStr">
        <is>
          <t>2018-04</t>
        </is>
      </c>
      <c r="D3430" t="inlineStr">
        <is>
          <t>PR</t>
        </is>
      </c>
      <c r="E3430" t="inlineStr">
        <is>
          <t>auto</t>
        </is>
      </c>
      <c r="F3430" t="n">
        <v>1</v>
      </c>
      <c r="G3430" t="n">
        <v>109.9</v>
      </c>
      <c r="H3430" t="n">
        <v>34.31</v>
      </c>
      <c r="I3430" t="inlineStr">
        <is>
          <t>boleto</t>
        </is>
      </c>
      <c r="J3430" t="n">
        <v>13</v>
      </c>
      <c r="K3430" t="inlineStr">
        <is>
          <t>On Time</t>
        </is>
      </c>
      <c r="L3430" t="n">
        <v>5</v>
      </c>
      <c r="M3430">
        <f>VLOOKUP(D3430,State_Lookup!$A$2:$B$28,2,FALSE)</f>
        <v/>
      </c>
    </row>
    <row r="3431">
      <c r="A3431" t="inlineStr">
        <is>
          <t>bd81ae8a9c5a8e0ec03a3415f1540921</t>
        </is>
      </c>
      <c r="B3431" t="inlineStr">
        <is>
          <t>2018-04-05</t>
        </is>
      </c>
      <c r="C3431" t="inlineStr">
        <is>
          <t>2018-04</t>
        </is>
      </c>
      <c r="D3431" t="inlineStr">
        <is>
          <t>SP</t>
        </is>
      </c>
      <c r="E3431" t="inlineStr">
        <is>
          <t>auto</t>
        </is>
      </c>
      <c r="F3431" t="n">
        <v>1</v>
      </c>
      <c r="G3431" t="n">
        <v>109.9</v>
      </c>
      <c r="H3431" t="n">
        <v>12.67</v>
      </c>
      <c r="I3431" t="inlineStr">
        <is>
          <t>credit_card</t>
        </is>
      </c>
      <c r="J3431" t="n">
        <v>2</v>
      </c>
      <c r="K3431" t="inlineStr">
        <is>
          <t>On Time</t>
        </is>
      </c>
      <c r="L3431" t="n">
        <v>4</v>
      </c>
      <c r="M3431">
        <f>VLOOKUP(D3431,State_Lookup!$A$2:$B$28,2,FALSE)</f>
        <v/>
      </c>
    </row>
    <row r="3432">
      <c r="A3432" t="inlineStr">
        <is>
          <t>3372398865ef7f00841c6ddeed00230d</t>
        </is>
      </c>
      <c r="B3432" t="inlineStr">
        <is>
          <t>2018-04-05</t>
        </is>
      </c>
      <c r="C3432" t="inlineStr">
        <is>
          <t>2018-04</t>
        </is>
      </c>
      <c r="D3432" t="inlineStr">
        <is>
          <t>SP</t>
        </is>
      </c>
      <c r="E3432" t="inlineStr">
        <is>
          <t>fashion_bags_accessories</t>
        </is>
      </c>
      <c r="F3432" t="n">
        <v>1</v>
      </c>
      <c r="G3432" t="n">
        <v>255</v>
      </c>
      <c r="H3432" t="n">
        <v>14.23</v>
      </c>
      <c r="I3432" t="inlineStr">
        <is>
          <t>credit_card</t>
        </is>
      </c>
      <c r="J3432" t="n">
        <v>6</v>
      </c>
      <c r="K3432" t="inlineStr">
        <is>
          <t>On Time</t>
        </is>
      </c>
      <c r="L3432" t="n">
        <v>5</v>
      </c>
      <c r="M3432">
        <f>VLOOKUP(D3432,State_Lookup!$A$2:$B$28,2,FALSE)</f>
        <v/>
      </c>
    </row>
    <row r="3433">
      <c r="A3433" t="inlineStr">
        <is>
          <t>09143df8420b4ae4770ea14dc443b487</t>
        </is>
      </c>
      <c r="B3433" t="inlineStr">
        <is>
          <t>2018-04-05</t>
        </is>
      </c>
      <c r="C3433" t="inlineStr">
        <is>
          <t>2018-04</t>
        </is>
      </c>
      <c r="D3433" t="inlineStr">
        <is>
          <t>SP</t>
        </is>
      </c>
      <c r="E3433" t="inlineStr">
        <is>
          <t>industry_commerce_and_business</t>
        </is>
      </c>
      <c r="F3433" t="n">
        <v>1</v>
      </c>
      <c r="G3433" t="n">
        <v>78</v>
      </c>
      <c r="H3433" t="n">
        <v>13.45</v>
      </c>
      <c r="I3433" t="inlineStr">
        <is>
          <t>boleto</t>
        </is>
      </c>
      <c r="J3433" t="n">
        <v>6</v>
      </c>
      <c r="K3433" t="inlineStr">
        <is>
          <t>On Time</t>
        </is>
      </c>
      <c r="L3433" t="n">
        <v>5</v>
      </c>
      <c r="M3433">
        <f>VLOOKUP(D3433,State_Lookup!$A$2:$B$28,2,FALSE)</f>
        <v/>
      </c>
    </row>
    <row r="3434">
      <c r="A3434" t="inlineStr">
        <is>
          <t>c5af6636b619b643a3d6e954e3a5b5de</t>
        </is>
      </c>
      <c r="B3434" t="inlineStr">
        <is>
          <t>2018-04-05</t>
        </is>
      </c>
      <c r="C3434" t="inlineStr">
        <is>
          <t>2018-04</t>
        </is>
      </c>
      <c r="D3434" t="inlineStr">
        <is>
          <t>MG</t>
        </is>
      </c>
      <c r="E3434" t="inlineStr">
        <is>
          <t>housewares</t>
        </is>
      </c>
      <c r="F3434" t="n">
        <v>1</v>
      </c>
      <c r="G3434" t="n">
        <v>68</v>
      </c>
      <c r="H3434" t="n">
        <v>21.56</v>
      </c>
      <c r="I3434" t="inlineStr">
        <is>
          <t>credit_card</t>
        </is>
      </c>
      <c r="J3434" t="n">
        <v>11</v>
      </c>
      <c r="K3434" t="inlineStr">
        <is>
          <t>On Time</t>
        </is>
      </c>
      <c r="L3434" t="n">
        <v>5</v>
      </c>
      <c r="M3434">
        <f>VLOOKUP(D3434,State_Lookup!$A$2:$B$28,2,FALSE)</f>
        <v/>
      </c>
    </row>
    <row r="3435">
      <c r="A3435" t="inlineStr">
        <is>
          <t>4aaae2aa1aaf68062749b93fbe24d6cc</t>
        </is>
      </c>
      <c r="B3435" t="inlineStr">
        <is>
          <t>2018-04-05</t>
        </is>
      </c>
      <c r="C3435" t="inlineStr">
        <is>
          <t>2018-04</t>
        </is>
      </c>
      <c r="D3435" t="inlineStr">
        <is>
          <t>MA</t>
        </is>
      </c>
      <c r="E3435" t="inlineStr">
        <is>
          <t>bed_bath_table</t>
        </is>
      </c>
      <c r="F3435" t="n">
        <v>1</v>
      </c>
      <c r="G3435" t="n">
        <v>68.90000000000001</v>
      </c>
      <c r="H3435" t="n">
        <v>52.61</v>
      </c>
      <c r="I3435" t="inlineStr">
        <is>
          <t>voucher</t>
        </is>
      </c>
      <c r="J3435" t="n">
        <v>24</v>
      </c>
      <c r="K3435" t="inlineStr">
        <is>
          <t>On Time</t>
        </is>
      </c>
      <c r="L3435" t="n">
        <v>5</v>
      </c>
      <c r="M3435">
        <f>VLOOKUP(D3435,State_Lookup!$A$2:$B$28,2,FALSE)</f>
        <v/>
      </c>
    </row>
    <row r="3436">
      <c r="A3436" t="inlineStr">
        <is>
          <t>9988bc711d2d6fead4af40481ff5de63</t>
        </is>
      </c>
      <c r="B3436" t="inlineStr">
        <is>
          <t>2018-04-05</t>
        </is>
      </c>
      <c r="C3436" t="inlineStr">
        <is>
          <t>2018-04</t>
        </is>
      </c>
      <c r="D3436" t="inlineStr">
        <is>
          <t>SP</t>
        </is>
      </c>
      <c r="E3436" t="inlineStr">
        <is>
          <t>perfumery</t>
        </is>
      </c>
      <c r="F3436" t="n">
        <v>2</v>
      </c>
      <c r="G3436" t="n">
        <v>116.3</v>
      </c>
      <c r="H3436" t="n">
        <v>25.7</v>
      </c>
      <c r="I3436" t="inlineStr">
        <is>
          <t>credit_card</t>
        </is>
      </c>
      <c r="J3436" t="n">
        <v>7</v>
      </c>
      <c r="K3436" t="inlineStr">
        <is>
          <t>On Time</t>
        </is>
      </c>
      <c r="L3436" t="n">
        <v>1</v>
      </c>
      <c r="M3436">
        <f>VLOOKUP(D3436,State_Lookup!$A$2:$B$28,2,FALSE)</f>
        <v/>
      </c>
    </row>
    <row r="3437">
      <c r="A3437" t="inlineStr">
        <is>
          <t>6bea4b3d238b2f7104807ff9f128f7e6</t>
        </is>
      </c>
      <c r="B3437" t="inlineStr">
        <is>
          <t>2018-04-05</t>
        </is>
      </c>
      <c r="C3437" t="inlineStr">
        <is>
          <t>2018-04</t>
        </is>
      </c>
      <c r="D3437" t="inlineStr">
        <is>
          <t>PE</t>
        </is>
      </c>
      <c r="E3437" t="inlineStr">
        <is>
          <t>watches_gifts</t>
        </is>
      </c>
      <c r="F3437" t="n">
        <v>1</v>
      </c>
      <c r="G3437" t="n">
        <v>54.99</v>
      </c>
      <c r="H3437" t="n">
        <v>21.28</v>
      </c>
      <c r="I3437" t="inlineStr">
        <is>
          <t>credit_card</t>
        </is>
      </c>
      <c r="J3437" t="n">
        <v>13</v>
      </c>
      <c r="K3437" t="inlineStr">
        <is>
          <t>On Time</t>
        </is>
      </c>
      <c r="L3437" t="n">
        <v>5</v>
      </c>
      <c r="M3437">
        <f>VLOOKUP(D3437,State_Lookup!$A$2:$B$28,2,FALSE)</f>
        <v/>
      </c>
    </row>
    <row r="3438">
      <c r="A3438" t="inlineStr">
        <is>
          <t>70373e9075b8d9c1c57bebf62ba3b59d</t>
        </is>
      </c>
      <c r="B3438" t="inlineStr">
        <is>
          <t>2018-04-06</t>
        </is>
      </c>
      <c r="C3438" t="inlineStr">
        <is>
          <t>2018-04</t>
        </is>
      </c>
      <c r="D3438" t="inlineStr">
        <is>
          <t>RJ</t>
        </is>
      </c>
      <c r="E3438" t="inlineStr">
        <is>
          <t>perfumery</t>
        </is>
      </c>
      <c r="F3438" t="n">
        <v>1</v>
      </c>
      <c r="G3438" t="n">
        <v>58.9</v>
      </c>
      <c r="H3438" t="n">
        <v>18.29</v>
      </c>
      <c r="I3438" t="inlineStr">
        <is>
          <t>credit_card</t>
        </is>
      </c>
      <c r="J3438" t="n">
        <v>13</v>
      </c>
      <c r="K3438" t="inlineStr">
        <is>
          <t>On Time</t>
        </is>
      </c>
      <c r="L3438" t="n">
        <v>5</v>
      </c>
      <c r="M3438">
        <f>VLOOKUP(D3438,State_Lookup!$A$2:$B$28,2,FALSE)</f>
        <v/>
      </c>
    </row>
    <row r="3439">
      <c r="A3439" t="inlineStr">
        <is>
          <t>7d9a11d31b7df7db17e3378158f465d2</t>
        </is>
      </c>
      <c r="B3439" t="inlineStr">
        <is>
          <t>2018-04-06</t>
        </is>
      </c>
      <c r="C3439" t="inlineStr">
        <is>
          <t>2018-04</t>
        </is>
      </c>
      <c r="D3439" t="inlineStr">
        <is>
          <t>SP</t>
        </is>
      </c>
      <c r="E3439" t="inlineStr">
        <is>
          <t>construction_tools_lights</t>
        </is>
      </c>
      <c r="F3439" t="n">
        <v>1</v>
      </c>
      <c r="G3439" t="n">
        <v>80</v>
      </c>
      <c r="H3439" t="n">
        <v>8.859999999999999</v>
      </c>
      <c r="I3439" t="inlineStr">
        <is>
          <t>credit_card</t>
        </is>
      </c>
      <c r="J3439" t="n">
        <v>4</v>
      </c>
      <c r="K3439" t="inlineStr">
        <is>
          <t>On Time</t>
        </is>
      </c>
      <c r="L3439" t="n">
        <v>4</v>
      </c>
      <c r="M3439">
        <f>VLOOKUP(D3439,State_Lookup!$A$2:$B$28,2,FALSE)</f>
        <v/>
      </c>
    </row>
    <row r="3440">
      <c r="A3440" t="inlineStr">
        <is>
          <t>fd4c1cc6d742f00dee7633f6a72cbe60</t>
        </is>
      </c>
      <c r="B3440" t="inlineStr">
        <is>
          <t>2018-04-06</t>
        </is>
      </c>
      <c r="C3440" t="inlineStr">
        <is>
          <t>2018-04</t>
        </is>
      </c>
      <c r="D3440" t="inlineStr">
        <is>
          <t>SP</t>
        </is>
      </c>
      <c r="E3440" t="inlineStr">
        <is>
          <t>health_beauty</t>
        </is>
      </c>
      <c r="F3440" t="n">
        <v>2</v>
      </c>
      <c r="G3440" t="n">
        <v>272.8</v>
      </c>
      <c r="H3440" t="n">
        <v>82.26000000000001</v>
      </c>
      <c r="I3440" t="inlineStr">
        <is>
          <t>credit_card</t>
        </is>
      </c>
      <c r="J3440" t="n">
        <v>14</v>
      </c>
      <c r="K3440" t="inlineStr">
        <is>
          <t>On Time</t>
        </is>
      </c>
      <c r="L3440" t="n">
        <v>3</v>
      </c>
      <c r="M3440">
        <f>VLOOKUP(D3440,State_Lookup!$A$2:$B$28,2,FALSE)</f>
        <v/>
      </c>
    </row>
    <row r="3441">
      <c r="A3441" t="inlineStr">
        <is>
          <t>47f545499e9ca5a70d3ec65e4e70adfd</t>
        </is>
      </c>
      <c r="B3441" t="inlineStr">
        <is>
          <t>2018-04-07</t>
        </is>
      </c>
      <c r="C3441" t="inlineStr">
        <is>
          <t>2018-04</t>
        </is>
      </c>
      <c r="D3441" t="inlineStr">
        <is>
          <t>SP</t>
        </is>
      </c>
      <c r="E3441" t="inlineStr">
        <is>
          <t>bed_bath_table</t>
        </is>
      </c>
      <c r="F3441" t="n">
        <v>1</v>
      </c>
      <c r="G3441" t="n">
        <v>79.90000000000001</v>
      </c>
      <c r="H3441" t="n">
        <v>13.92</v>
      </c>
      <c r="I3441" t="inlineStr">
        <is>
          <t>boleto</t>
        </is>
      </c>
      <c r="J3441" t="n">
        <v>13</v>
      </c>
      <c r="K3441" t="inlineStr">
        <is>
          <t>On Time</t>
        </is>
      </c>
      <c r="L3441" t="n">
        <v>4</v>
      </c>
      <c r="M3441">
        <f>VLOOKUP(D3441,State_Lookup!$A$2:$B$28,2,FALSE)</f>
        <v/>
      </c>
    </row>
    <row r="3442">
      <c r="A3442" t="inlineStr">
        <is>
          <t>f014aa85d8f495d824d120e9035faacb</t>
        </is>
      </c>
      <c r="B3442" t="inlineStr">
        <is>
          <t>2018-04-07</t>
        </is>
      </c>
      <c r="C3442" t="inlineStr">
        <is>
          <t>2018-04</t>
        </is>
      </c>
      <c r="D3442" t="inlineStr">
        <is>
          <t>SP</t>
        </is>
      </c>
      <c r="E3442" t="inlineStr">
        <is>
          <t>home_appliances</t>
        </is>
      </c>
      <c r="F3442" t="n">
        <v>1</v>
      </c>
      <c r="G3442" t="n">
        <v>40</v>
      </c>
      <c r="H3442" t="n">
        <v>9.44</v>
      </c>
      <c r="I3442" t="inlineStr">
        <is>
          <t>credit_card</t>
        </is>
      </c>
      <c r="J3442" t="n">
        <v>4</v>
      </c>
      <c r="K3442" t="inlineStr">
        <is>
          <t>On Time</t>
        </is>
      </c>
      <c r="L3442" t="n">
        <v>4.5</v>
      </c>
      <c r="M3442">
        <f>VLOOKUP(D3442,State_Lookup!$A$2:$B$28,2,FALSE)</f>
        <v/>
      </c>
    </row>
    <row r="3443">
      <c r="A3443" t="inlineStr">
        <is>
          <t>80a516f4d571d5fce4d688cc931b106f</t>
        </is>
      </c>
      <c r="B3443" t="inlineStr">
        <is>
          <t>2018-04-07</t>
        </is>
      </c>
      <c r="C3443" t="inlineStr">
        <is>
          <t>2018-04</t>
        </is>
      </c>
      <c r="D3443" t="inlineStr">
        <is>
          <t>SP</t>
        </is>
      </c>
      <c r="E3443" t="inlineStr">
        <is>
          <t>bed_bath_table</t>
        </is>
      </c>
      <c r="F3443" t="n">
        <v>2</v>
      </c>
      <c r="G3443" t="n">
        <v>140</v>
      </c>
      <c r="H3443" t="n">
        <v>25.76</v>
      </c>
      <c r="I3443" t="inlineStr">
        <is>
          <t>credit_card</t>
        </is>
      </c>
      <c r="J3443" t="n">
        <v>12</v>
      </c>
      <c r="K3443" t="inlineStr">
        <is>
          <t>On Time</t>
        </is>
      </c>
      <c r="L3443" t="n">
        <v>5</v>
      </c>
      <c r="M3443">
        <f>VLOOKUP(D3443,State_Lookup!$A$2:$B$28,2,FALSE)</f>
        <v/>
      </c>
    </row>
    <row r="3444">
      <c r="A3444" t="inlineStr">
        <is>
          <t>4444ee622d44353604947c0232f3f62d</t>
        </is>
      </c>
      <c r="B3444" t="inlineStr">
        <is>
          <t>2018-04-07</t>
        </is>
      </c>
      <c r="C3444" t="inlineStr">
        <is>
          <t>2018-04</t>
        </is>
      </c>
      <c r="D3444" t="inlineStr">
        <is>
          <t>PE</t>
        </is>
      </c>
      <c r="E3444" t="inlineStr">
        <is>
          <t>fashion_shoes</t>
        </is>
      </c>
      <c r="F3444" t="n">
        <v>1</v>
      </c>
      <c r="G3444" t="n">
        <v>157.9</v>
      </c>
      <c r="H3444" t="n">
        <v>43.17</v>
      </c>
      <c r="I3444" t="inlineStr">
        <is>
          <t>credit_card</t>
        </is>
      </c>
      <c r="J3444" t="n">
        <v>20</v>
      </c>
      <c r="K3444" t="inlineStr">
        <is>
          <t>On Time</t>
        </is>
      </c>
      <c r="L3444" t="n">
        <v>4</v>
      </c>
      <c r="M3444">
        <f>VLOOKUP(D3444,State_Lookup!$A$2:$B$28,2,FALSE)</f>
        <v/>
      </c>
    </row>
    <row r="3445">
      <c r="A3445" t="inlineStr">
        <is>
          <t>90729c9368dfbc80cac0f98648c70379</t>
        </is>
      </c>
      <c r="B3445" t="inlineStr">
        <is>
          <t>2018-04-07</t>
        </is>
      </c>
      <c r="C3445" t="inlineStr">
        <is>
          <t>2018-04</t>
        </is>
      </c>
      <c r="D3445" t="inlineStr">
        <is>
          <t>SP</t>
        </is>
      </c>
      <c r="E3445" t="inlineStr">
        <is>
          <t>sports_leisure</t>
        </is>
      </c>
      <c r="F3445" t="n">
        <v>1</v>
      </c>
      <c r="G3445" t="n">
        <v>23.99</v>
      </c>
      <c r="H3445" t="n">
        <v>7.39</v>
      </c>
      <c r="I3445" t="inlineStr">
        <is>
          <t>credit_card</t>
        </is>
      </c>
      <c r="J3445" t="n">
        <v>6</v>
      </c>
      <c r="K3445" t="inlineStr">
        <is>
          <t>On Time</t>
        </is>
      </c>
      <c r="L3445" t="n">
        <v>5</v>
      </c>
      <c r="M3445">
        <f>VLOOKUP(D3445,State_Lookup!$A$2:$B$28,2,FALSE)</f>
        <v/>
      </c>
    </row>
    <row r="3446">
      <c r="A3446" t="inlineStr">
        <is>
          <t>d889189b765c3c0257ebfbb1ddc34770</t>
        </is>
      </c>
      <c r="B3446" t="inlineStr">
        <is>
          <t>2018-04-07</t>
        </is>
      </c>
      <c r="C3446" t="inlineStr">
        <is>
          <t>2018-04</t>
        </is>
      </c>
      <c r="D3446" t="inlineStr">
        <is>
          <t>SP</t>
        </is>
      </c>
      <c r="E3446" t="inlineStr">
        <is>
          <t>bed_bath_table</t>
        </is>
      </c>
      <c r="F3446" t="n">
        <v>2</v>
      </c>
      <c r="G3446" t="n">
        <v>411.9</v>
      </c>
      <c r="H3446" t="n">
        <v>45.18</v>
      </c>
      <c r="I3446" t="inlineStr">
        <is>
          <t>credit_card</t>
        </is>
      </c>
      <c r="J3446" t="n">
        <v>6</v>
      </c>
      <c r="K3446" t="inlineStr">
        <is>
          <t>On Time</t>
        </is>
      </c>
      <c r="L3446" t="n">
        <v>3</v>
      </c>
      <c r="M3446">
        <f>VLOOKUP(D3446,State_Lookup!$A$2:$B$28,2,FALSE)</f>
        <v/>
      </c>
    </row>
    <row r="3447">
      <c r="A3447" t="inlineStr">
        <is>
          <t>cb2ed75db8803d99a171c1056638ae9b</t>
        </is>
      </c>
      <c r="B3447" t="inlineStr">
        <is>
          <t>2018-04-07</t>
        </is>
      </c>
      <c r="C3447" t="inlineStr">
        <is>
          <t>2018-04</t>
        </is>
      </c>
      <c r="D3447" t="inlineStr">
        <is>
          <t>RS</t>
        </is>
      </c>
      <c r="E3447" t="inlineStr">
        <is>
          <t>housewares</t>
        </is>
      </c>
      <c r="F3447" t="n">
        <v>1</v>
      </c>
      <c r="G3447" t="n">
        <v>36.9</v>
      </c>
      <c r="H3447" t="n">
        <v>19.32</v>
      </c>
      <c r="I3447" t="inlineStr">
        <is>
          <t>boleto</t>
        </is>
      </c>
      <c r="J3447" t="n">
        <v>16</v>
      </c>
      <c r="K3447" t="inlineStr">
        <is>
          <t>On Time</t>
        </is>
      </c>
      <c r="L3447" t="n">
        <v>5</v>
      </c>
      <c r="M3447">
        <f>VLOOKUP(D3447,State_Lookup!$A$2:$B$28,2,FALSE)</f>
        <v/>
      </c>
    </row>
    <row r="3448">
      <c r="A3448" t="inlineStr">
        <is>
          <t>4ece3211dc7b96c8b646fa8a727039e2</t>
        </is>
      </c>
      <c r="B3448" t="inlineStr">
        <is>
          <t>2018-04-07</t>
        </is>
      </c>
      <c r="C3448" t="inlineStr">
        <is>
          <t>2018-04</t>
        </is>
      </c>
      <c r="D3448" t="inlineStr">
        <is>
          <t>SP</t>
        </is>
      </c>
      <c r="E3448" t="inlineStr">
        <is>
          <t>housewares</t>
        </is>
      </c>
      <c r="F3448" t="n">
        <v>1</v>
      </c>
      <c r="G3448" t="n">
        <v>16</v>
      </c>
      <c r="H3448" t="n">
        <v>7.39</v>
      </c>
      <c r="I3448" t="inlineStr">
        <is>
          <t>boleto</t>
        </is>
      </c>
      <c r="J3448" t="n">
        <v>6</v>
      </c>
      <c r="K3448" t="inlineStr">
        <is>
          <t>On Time</t>
        </is>
      </c>
      <c r="L3448" t="n">
        <v>5</v>
      </c>
      <c r="M3448">
        <f>VLOOKUP(D3448,State_Lookup!$A$2:$B$28,2,FALSE)</f>
        <v/>
      </c>
    </row>
    <row r="3449">
      <c r="A3449" t="inlineStr">
        <is>
          <t>ace9787c2536f487f1491bac9707fd67</t>
        </is>
      </c>
      <c r="B3449" t="inlineStr">
        <is>
          <t>2018-04-07</t>
        </is>
      </c>
      <c r="C3449" t="inlineStr">
        <is>
          <t>2018-04</t>
        </is>
      </c>
      <c r="D3449" t="inlineStr">
        <is>
          <t>SP</t>
        </is>
      </c>
      <c r="E3449" t="inlineStr">
        <is>
          <t>housewares</t>
        </is>
      </c>
      <c r="F3449" t="n">
        <v>1</v>
      </c>
      <c r="G3449" t="n">
        <v>199.9</v>
      </c>
      <c r="H3449" t="n">
        <v>14.3</v>
      </c>
      <c r="I3449" t="inlineStr">
        <is>
          <t>boleto</t>
        </is>
      </c>
      <c r="J3449" t="n">
        <v>9</v>
      </c>
      <c r="K3449" t="inlineStr">
        <is>
          <t>On Time</t>
        </is>
      </c>
      <c r="L3449" t="n">
        <v>5</v>
      </c>
      <c r="M3449">
        <f>VLOOKUP(D3449,State_Lookup!$A$2:$B$28,2,FALSE)</f>
        <v/>
      </c>
    </row>
    <row r="3450">
      <c r="A3450" t="inlineStr">
        <is>
          <t>57b490831ac4a17a68d544c740bafe52</t>
        </is>
      </c>
      <c r="B3450" t="inlineStr">
        <is>
          <t>2018-04-07</t>
        </is>
      </c>
      <c r="C3450" t="inlineStr">
        <is>
          <t>2018-04</t>
        </is>
      </c>
      <c r="D3450" t="inlineStr">
        <is>
          <t>PR</t>
        </is>
      </c>
      <c r="E3450" t="inlineStr">
        <is>
          <t>telephony</t>
        </is>
      </c>
      <c r="F3450" t="n">
        <v>1</v>
      </c>
      <c r="G3450" t="n">
        <v>39.9</v>
      </c>
      <c r="H3450" t="n">
        <v>22.06</v>
      </c>
      <c r="I3450" t="inlineStr">
        <is>
          <t>credit_card</t>
        </is>
      </c>
      <c r="J3450" t="n">
        <v>20</v>
      </c>
      <c r="K3450" t="inlineStr">
        <is>
          <t>On Time</t>
        </is>
      </c>
      <c r="L3450" t="n">
        <v>5</v>
      </c>
      <c r="M3450">
        <f>VLOOKUP(D3450,State_Lookup!$A$2:$B$28,2,FALSE)</f>
        <v/>
      </c>
    </row>
    <row r="3451">
      <c r="A3451" t="inlineStr">
        <is>
          <t>642999e824c9af8073453b0abf40a075</t>
        </is>
      </c>
      <c r="B3451" t="inlineStr">
        <is>
          <t>2018-04-07</t>
        </is>
      </c>
      <c r="C3451" t="inlineStr">
        <is>
          <t>2018-04</t>
        </is>
      </c>
      <c r="D3451" t="inlineStr">
        <is>
          <t>SP</t>
        </is>
      </c>
      <c r="E3451" t="inlineStr">
        <is>
          <t>housewares</t>
        </is>
      </c>
      <c r="F3451" t="n">
        <v>1</v>
      </c>
      <c r="G3451" t="n">
        <v>19.99</v>
      </c>
      <c r="H3451" t="n">
        <v>7.39</v>
      </c>
      <c r="I3451" t="inlineStr">
        <is>
          <t>boleto</t>
        </is>
      </c>
      <c r="J3451" t="n">
        <v>5</v>
      </c>
      <c r="K3451" t="inlineStr">
        <is>
          <t>On Time</t>
        </is>
      </c>
      <c r="L3451" t="n">
        <v>4</v>
      </c>
      <c r="M3451">
        <f>VLOOKUP(D3451,State_Lookup!$A$2:$B$28,2,FALSE)</f>
        <v/>
      </c>
    </row>
    <row r="3452">
      <c r="A3452" t="inlineStr">
        <is>
          <t>891f571079436f35901706c6abe82ab0</t>
        </is>
      </c>
      <c r="B3452" t="inlineStr">
        <is>
          <t>2018-04-07</t>
        </is>
      </c>
      <c r="C3452" t="inlineStr">
        <is>
          <t>2018-04</t>
        </is>
      </c>
      <c r="D3452" t="inlineStr">
        <is>
          <t>MA</t>
        </is>
      </c>
      <c r="E3452" t="inlineStr">
        <is>
          <t>bed_bath_table</t>
        </is>
      </c>
      <c r="F3452" t="n">
        <v>1</v>
      </c>
      <c r="G3452" t="n">
        <v>21.99</v>
      </c>
      <c r="H3452" t="n">
        <v>50.85</v>
      </c>
      <c r="I3452" t="inlineStr">
        <is>
          <t>credit_card</t>
        </is>
      </c>
      <c r="J3452" t="n">
        <v>28</v>
      </c>
      <c r="K3452" t="inlineStr">
        <is>
          <t>Late</t>
        </is>
      </c>
      <c r="L3452" t="n">
        <v>1</v>
      </c>
      <c r="M3452">
        <f>VLOOKUP(D3452,State_Lookup!$A$2:$B$28,2,FALSE)</f>
        <v/>
      </c>
    </row>
    <row r="3453">
      <c r="A3453" t="inlineStr">
        <is>
          <t>68e3cd57e173ebad230c2879e6c78401</t>
        </is>
      </c>
      <c r="B3453" t="inlineStr">
        <is>
          <t>2018-04-07</t>
        </is>
      </c>
      <c r="C3453" t="inlineStr">
        <is>
          <t>2018-04</t>
        </is>
      </c>
      <c r="D3453" t="inlineStr">
        <is>
          <t>SP</t>
        </is>
      </c>
      <c r="E3453" t="inlineStr">
        <is>
          <t>electronics</t>
        </is>
      </c>
      <c r="F3453" t="n">
        <v>1</v>
      </c>
      <c r="G3453" t="n">
        <v>13.65</v>
      </c>
      <c r="H3453" t="n">
        <v>7.39</v>
      </c>
      <c r="I3453" t="inlineStr">
        <is>
          <t>boleto</t>
        </is>
      </c>
      <c r="J3453" t="n">
        <v>3</v>
      </c>
      <c r="K3453" t="inlineStr">
        <is>
          <t>On Time</t>
        </is>
      </c>
      <c r="L3453" t="n">
        <v>5</v>
      </c>
      <c r="M3453">
        <f>VLOOKUP(D3453,State_Lookup!$A$2:$B$28,2,FALSE)</f>
        <v/>
      </c>
    </row>
    <row r="3454">
      <c r="A3454" t="inlineStr">
        <is>
          <t>9c8b7e134959999ac945ed2b29537c8b</t>
        </is>
      </c>
      <c r="B3454" t="inlineStr">
        <is>
          <t>2018-04-07</t>
        </is>
      </c>
      <c r="C3454" t="inlineStr">
        <is>
          <t>2018-04</t>
        </is>
      </c>
      <c r="D3454" t="inlineStr">
        <is>
          <t>CE</t>
        </is>
      </c>
      <c r="E3454" t="inlineStr">
        <is>
          <t>health_beauty</t>
        </is>
      </c>
      <c r="F3454" t="n">
        <v>1</v>
      </c>
      <c r="G3454" t="n">
        <v>67.59999999999999</v>
      </c>
      <c r="H3454" t="n">
        <v>19.16</v>
      </c>
      <c r="I3454" t="inlineStr">
        <is>
          <t>credit_card</t>
        </is>
      </c>
      <c r="J3454" t="n">
        <v>60</v>
      </c>
      <c r="K3454" t="inlineStr">
        <is>
          <t>Late</t>
        </is>
      </c>
      <c r="L3454" t="n">
        <v>4</v>
      </c>
      <c r="M3454">
        <f>VLOOKUP(D3454,State_Lookup!$A$2:$B$28,2,FALSE)</f>
        <v/>
      </c>
    </row>
    <row r="3455">
      <c r="A3455" t="inlineStr">
        <is>
          <t>1874385b2e1267b83f06520d354ae9fd</t>
        </is>
      </c>
      <c r="B3455" t="inlineStr">
        <is>
          <t>2018-04-07</t>
        </is>
      </c>
      <c r="C3455" t="inlineStr">
        <is>
          <t>2018-04</t>
        </is>
      </c>
      <c r="D3455" t="inlineStr">
        <is>
          <t>DF</t>
        </is>
      </c>
      <c r="E3455" t="inlineStr">
        <is>
          <t>electronics</t>
        </is>
      </c>
      <c r="F3455" t="n">
        <v>1</v>
      </c>
      <c r="G3455" t="n">
        <v>19.89</v>
      </c>
      <c r="H3455" t="n">
        <v>7.71</v>
      </c>
      <c r="I3455" t="inlineStr">
        <is>
          <t>credit_card</t>
        </is>
      </c>
      <c r="J3455" t="n">
        <v>3</v>
      </c>
      <c r="K3455" t="inlineStr">
        <is>
          <t>On Time</t>
        </is>
      </c>
      <c r="L3455" t="n">
        <v>2</v>
      </c>
      <c r="M3455">
        <f>VLOOKUP(D3455,State_Lookup!$A$2:$B$28,2,FALSE)</f>
        <v/>
      </c>
    </row>
    <row r="3456">
      <c r="A3456" t="inlineStr">
        <is>
          <t>eb1340135e81ffed22e5703c6fbbe879</t>
        </is>
      </c>
      <c r="B3456" t="inlineStr">
        <is>
          <t>2018-04-07</t>
        </is>
      </c>
      <c r="C3456" t="inlineStr">
        <is>
          <t>2018-04</t>
        </is>
      </c>
      <c r="D3456" t="inlineStr">
        <is>
          <t>SP</t>
        </is>
      </c>
      <c r="E3456" t="inlineStr">
        <is>
          <t>bed_bath_table</t>
        </is>
      </c>
      <c r="F3456" t="n">
        <v>1</v>
      </c>
      <c r="G3456" t="n">
        <v>52.9</v>
      </c>
      <c r="H3456" t="n">
        <v>14.46</v>
      </c>
      <c r="I3456" t="inlineStr">
        <is>
          <t>credit_card</t>
        </is>
      </c>
      <c r="J3456" t="n">
        <v>9</v>
      </c>
      <c r="K3456" t="inlineStr">
        <is>
          <t>On Time</t>
        </is>
      </c>
      <c r="L3456" t="n">
        <v>5</v>
      </c>
      <c r="M3456">
        <f>VLOOKUP(D3456,State_Lookup!$A$2:$B$28,2,FALSE)</f>
        <v/>
      </c>
    </row>
    <row r="3457">
      <c r="A3457" t="inlineStr">
        <is>
          <t>89632ab0ec088829b4e3338a772f80b4</t>
        </is>
      </c>
      <c r="B3457" t="inlineStr">
        <is>
          <t>2018-04-08</t>
        </is>
      </c>
      <c r="C3457" t="inlineStr">
        <is>
          <t>2018-04</t>
        </is>
      </c>
      <c r="D3457" t="inlineStr">
        <is>
          <t>SP</t>
        </is>
      </c>
      <c r="E3457" t="inlineStr">
        <is>
          <t>bed_bath_table</t>
        </is>
      </c>
      <c r="F3457" t="n">
        <v>1</v>
      </c>
      <c r="G3457" t="n">
        <v>60.5</v>
      </c>
      <c r="H3457" t="n">
        <v>14.51</v>
      </c>
      <c r="I3457" t="inlineStr">
        <is>
          <t>boleto</t>
        </is>
      </c>
      <c r="J3457" t="n">
        <v>12</v>
      </c>
      <c r="K3457" t="inlineStr">
        <is>
          <t>On Time</t>
        </is>
      </c>
      <c r="L3457" t="n">
        <v>5</v>
      </c>
      <c r="M3457">
        <f>VLOOKUP(D3457,State_Lookup!$A$2:$B$28,2,FALSE)</f>
        <v/>
      </c>
    </row>
    <row r="3458">
      <c r="A3458" t="inlineStr">
        <is>
          <t>3f50858a49c788f7633204f2fd7bf63f</t>
        </is>
      </c>
      <c r="B3458" t="inlineStr">
        <is>
          <t>2018-04-08</t>
        </is>
      </c>
      <c r="C3458" t="inlineStr">
        <is>
          <t>2018-04</t>
        </is>
      </c>
      <c r="D3458" t="inlineStr">
        <is>
          <t>MG</t>
        </is>
      </c>
      <c r="E3458" t="inlineStr">
        <is>
          <t>furniture_decor</t>
        </is>
      </c>
      <c r="F3458" t="n">
        <v>1</v>
      </c>
      <c r="G3458" t="n">
        <v>334.8</v>
      </c>
      <c r="H3458" t="n">
        <v>17.22</v>
      </c>
      <c r="I3458" t="inlineStr">
        <is>
          <t>credit_card</t>
        </is>
      </c>
      <c r="J3458" t="n">
        <v>17</v>
      </c>
      <c r="K3458" t="inlineStr">
        <is>
          <t>On Time</t>
        </is>
      </c>
      <c r="L3458" t="n">
        <v>4</v>
      </c>
      <c r="M3458">
        <f>VLOOKUP(D3458,State_Lookup!$A$2:$B$28,2,FALSE)</f>
        <v/>
      </c>
    </row>
    <row r="3459">
      <c r="A3459" t="inlineStr">
        <is>
          <t>1e54c4fe23092d2cd26e7b40e2f7ac9b</t>
        </is>
      </c>
      <c r="B3459" t="inlineStr">
        <is>
          <t>2018-04-08</t>
        </is>
      </c>
      <c r="C3459" t="inlineStr">
        <is>
          <t>2018-04</t>
        </is>
      </c>
      <c r="D3459" t="inlineStr">
        <is>
          <t>MG</t>
        </is>
      </c>
      <c r="E3459" t="inlineStr">
        <is>
          <t>health_beauty</t>
        </is>
      </c>
      <c r="F3459" t="n">
        <v>1</v>
      </c>
      <c r="G3459" t="n">
        <v>16.49</v>
      </c>
      <c r="H3459" t="n">
        <v>18.23</v>
      </c>
      <c r="I3459" t="inlineStr">
        <is>
          <t>credit_card</t>
        </is>
      </c>
      <c r="J3459" t="n">
        <v>10</v>
      </c>
      <c r="K3459" t="inlineStr">
        <is>
          <t>On Time</t>
        </is>
      </c>
      <c r="L3459" t="n">
        <v>5</v>
      </c>
      <c r="M3459">
        <f>VLOOKUP(D3459,State_Lookup!$A$2:$B$28,2,FALSE)</f>
        <v/>
      </c>
    </row>
    <row r="3460">
      <c r="A3460" t="inlineStr">
        <is>
          <t>b4d6bee8b34f0daf1309fc764051cce5</t>
        </is>
      </c>
      <c r="B3460" t="inlineStr">
        <is>
          <t>2018-04-08</t>
        </is>
      </c>
      <c r="C3460" t="inlineStr">
        <is>
          <t>2018-04</t>
        </is>
      </c>
      <c r="D3460" t="inlineStr">
        <is>
          <t>GO</t>
        </is>
      </c>
      <c r="E3460" t="inlineStr">
        <is>
          <t>bed_bath_table</t>
        </is>
      </c>
      <c r="F3460" t="n">
        <v>2</v>
      </c>
      <c r="G3460" t="n">
        <v>119.8</v>
      </c>
      <c r="H3460" t="n">
        <v>105.1</v>
      </c>
      <c r="I3460" t="inlineStr">
        <is>
          <t>credit_card</t>
        </is>
      </c>
      <c r="J3460" t="n">
        <v>11</v>
      </c>
      <c r="K3460" t="inlineStr">
        <is>
          <t>On Time</t>
        </is>
      </c>
      <c r="L3460" t="n">
        <v>4</v>
      </c>
      <c r="M3460">
        <f>VLOOKUP(D3460,State_Lookup!$A$2:$B$28,2,FALSE)</f>
        <v/>
      </c>
    </row>
    <row r="3461">
      <c r="A3461" t="inlineStr">
        <is>
          <t>b3242decb71b67b79f3b2069effcbaa2</t>
        </is>
      </c>
      <c r="B3461" t="inlineStr">
        <is>
          <t>2018-04-08</t>
        </is>
      </c>
      <c r="C3461" t="inlineStr">
        <is>
          <t>2018-04</t>
        </is>
      </c>
      <c r="D3461" t="inlineStr">
        <is>
          <t>SC</t>
        </is>
      </c>
      <c r="E3461" t="inlineStr">
        <is>
          <t>furniture_decor</t>
        </is>
      </c>
      <c r="F3461" t="n">
        <v>1</v>
      </c>
      <c r="G3461" t="n">
        <v>159</v>
      </c>
      <c r="H3461" t="n">
        <v>41.87</v>
      </c>
      <c r="I3461" t="inlineStr">
        <is>
          <t>boleto</t>
        </is>
      </c>
      <c r="J3461" t="n">
        <v>10</v>
      </c>
      <c r="K3461" t="inlineStr">
        <is>
          <t>On Time</t>
        </is>
      </c>
      <c r="L3461" t="n">
        <v>5</v>
      </c>
      <c r="M3461">
        <f>VLOOKUP(D3461,State_Lookup!$A$2:$B$28,2,FALSE)</f>
        <v/>
      </c>
    </row>
    <row r="3462">
      <c r="A3462" t="inlineStr">
        <is>
          <t>7e1fd738713d62b9990ced922d2dff77</t>
        </is>
      </c>
      <c r="B3462" t="inlineStr">
        <is>
          <t>2018-04-08</t>
        </is>
      </c>
      <c r="C3462" t="inlineStr">
        <is>
          <t>2018-04</t>
        </is>
      </c>
      <c r="D3462" t="inlineStr">
        <is>
          <t>DF</t>
        </is>
      </c>
      <c r="E3462" t="inlineStr">
        <is>
          <t>housewares</t>
        </is>
      </c>
      <c r="F3462" t="n">
        <v>1</v>
      </c>
      <c r="G3462" t="n">
        <v>69.90000000000001</v>
      </c>
      <c r="H3462" t="n">
        <v>18.07</v>
      </c>
      <c r="I3462" t="inlineStr">
        <is>
          <t>credit_card</t>
        </is>
      </c>
      <c r="J3462" t="n">
        <v>10</v>
      </c>
      <c r="K3462" t="inlineStr">
        <is>
          <t>On Time</t>
        </is>
      </c>
      <c r="L3462" t="n">
        <v>4</v>
      </c>
      <c r="M3462">
        <f>VLOOKUP(D3462,State_Lookup!$A$2:$B$28,2,FALSE)</f>
        <v/>
      </c>
    </row>
    <row r="3463">
      <c r="A3463" t="inlineStr">
        <is>
          <t>a3e9c86c68a63188c0f9e47c68d6ceac</t>
        </is>
      </c>
      <c r="B3463" t="inlineStr">
        <is>
          <t>2018-04-08</t>
        </is>
      </c>
      <c r="C3463" t="inlineStr">
        <is>
          <t>2018-04</t>
        </is>
      </c>
      <c r="D3463" t="inlineStr">
        <is>
          <t>AL</t>
        </is>
      </c>
      <c r="E3463" t="inlineStr">
        <is>
          <t>fashion_bags_accessories</t>
        </is>
      </c>
      <c r="F3463" t="n">
        <v>1</v>
      </c>
      <c r="G3463" t="n">
        <v>35</v>
      </c>
      <c r="H3463" t="n">
        <v>22.85</v>
      </c>
      <c r="I3463" t="inlineStr">
        <is>
          <t>voucher</t>
        </is>
      </c>
      <c r="J3463" t="n">
        <v>8</v>
      </c>
      <c r="K3463" t="inlineStr">
        <is>
          <t>On Time</t>
        </is>
      </c>
      <c r="L3463" t="n">
        <v>4</v>
      </c>
      <c r="M3463">
        <f>VLOOKUP(D3463,State_Lookup!$A$2:$B$28,2,FALSE)</f>
        <v/>
      </c>
    </row>
    <row r="3464">
      <c r="A3464" t="inlineStr">
        <is>
          <t>03d3db2eb72705d4b4dd30987cf610f8</t>
        </is>
      </c>
      <c r="B3464" t="inlineStr">
        <is>
          <t>2018-04-09</t>
        </is>
      </c>
      <c r="C3464" t="inlineStr">
        <is>
          <t>2018-04</t>
        </is>
      </c>
      <c r="D3464" t="inlineStr">
        <is>
          <t>MG</t>
        </is>
      </c>
      <c r="E3464" t="inlineStr">
        <is>
          <t>health_beauty</t>
        </is>
      </c>
      <c r="F3464" t="n">
        <v>1</v>
      </c>
      <c r="G3464" t="n">
        <v>135.9</v>
      </c>
      <c r="H3464" t="n">
        <v>21.88</v>
      </c>
      <c r="I3464" t="inlineStr">
        <is>
          <t>credit_card</t>
        </is>
      </c>
      <c r="J3464" t="n">
        <v>14</v>
      </c>
      <c r="K3464" t="inlineStr">
        <is>
          <t>On Time</t>
        </is>
      </c>
      <c r="L3464" t="n">
        <v>5</v>
      </c>
      <c r="M3464">
        <f>VLOOKUP(D3464,State_Lookup!$A$2:$B$28,2,FALSE)</f>
        <v/>
      </c>
    </row>
    <row r="3465">
      <c r="A3465" t="inlineStr">
        <is>
          <t>4543bf01c903f993fb532fcd4e147267</t>
        </is>
      </c>
      <c r="B3465" t="inlineStr">
        <is>
          <t>2018-04-09</t>
        </is>
      </c>
      <c r="C3465" t="inlineStr">
        <is>
          <t>2018-04</t>
        </is>
      </c>
      <c r="D3465" t="inlineStr">
        <is>
          <t>RS</t>
        </is>
      </c>
      <c r="E3465" t="inlineStr">
        <is>
          <t>health_beauty</t>
        </is>
      </c>
      <c r="F3465" t="n">
        <v>1</v>
      </c>
      <c r="G3465" t="n">
        <v>255.65</v>
      </c>
      <c r="H3465" t="n">
        <v>23.5</v>
      </c>
      <c r="I3465" t="inlineStr">
        <is>
          <t>credit_card</t>
        </is>
      </c>
      <c r="J3465" t="n">
        <v>14</v>
      </c>
      <c r="K3465" t="inlineStr">
        <is>
          <t>On Time</t>
        </is>
      </c>
      <c r="L3465" t="n">
        <v>1</v>
      </c>
      <c r="M3465">
        <f>VLOOKUP(D3465,State_Lookup!$A$2:$B$28,2,FALSE)</f>
        <v/>
      </c>
    </row>
    <row r="3466">
      <c r="A3466" t="inlineStr">
        <is>
          <t>6c028cbba2a22fd7c9430fe9ab249faa</t>
        </is>
      </c>
      <c r="B3466" t="inlineStr">
        <is>
          <t>2018-04-09</t>
        </is>
      </c>
      <c r="C3466" t="inlineStr">
        <is>
          <t>2018-04</t>
        </is>
      </c>
      <c r="D3466" t="inlineStr">
        <is>
          <t>MG</t>
        </is>
      </c>
      <c r="E3466" t="inlineStr">
        <is>
          <t>watches_gifts</t>
        </is>
      </c>
      <c r="F3466" t="n">
        <v>1</v>
      </c>
      <c r="G3466" t="n">
        <v>189.99</v>
      </c>
      <c r="H3466" t="n">
        <v>19.21</v>
      </c>
      <c r="I3466" t="inlineStr">
        <is>
          <t>credit_card</t>
        </is>
      </c>
      <c r="J3466" t="n">
        <v>15</v>
      </c>
      <c r="K3466" t="inlineStr">
        <is>
          <t>On Time</t>
        </is>
      </c>
      <c r="L3466" t="n">
        <v>5</v>
      </c>
      <c r="M3466">
        <f>VLOOKUP(D3466,State_Lookup!$A$2:$B$28,2,FALSE)</f>
        <v/>
      </c>
    </row>
    <row r="3467">
      <c r="A3467" t="inlineStr">
        <is>
          <t>9facbaa96abaefc54aba2b8f3722b1a7</t>
        </is>
      </c>
      <c r="B3467" t="inlineStr">
        <is>
          <t>2018-04-09</t>
        </is>
      </c>
      <c r="C3467" t="inlineStr">
        <is>
          <t>2018-04</t>
        </is>
      </c>
      <c r="D3467" t="inlineStr">
        <is>
          <t>MG</t>
        </is>
      </c>
      <c r="E3467" t="inlineStr">
        <is>
          <t>construction_tools_construction</t>
        </is>
      </c>
      <c r="F3467" t="n">
        <v>1</v>
      </c>
      <c r="G3467" t="n">
        <v>99.97</v>
      </c>
      <c r="H3467" t="n">
        <v>18.58</v>
      </c>
      <c r="I3467" t="inlineStr">
        <is>
          <t>credit_card</t>
        </is>
      </c>
      <c r="J3467" t="n">
        <v>14</v>
      </c>
      <c r="K3467" t="inlineStr">
        <is>
          <t>On Time</t>
        </is>
      </c>
      <c r="L3467" t="n">
        <v>5</v>
      </c>
      <c r="M3467">
        <f>VLOOKUP(D3467,State_Lookup!$A$2:$B$28,2,FALSE)</f>
        <v/>
      </c>
    </row>
    <row r="3468">
      <c r="A3468" t="inlineStr">
        <is>
          <t>c9fc76586dbd1939395d3ddd999833bf</t>
        </is>
      </c>
      <c r="B3468" t="inlineStr">
        <is>
          <t>2018-04-09</t>
        </is>
      </c>
      <c r="C3468" t="inlineStr">
        <is>
          <t>2018-04</t>
        </is>
      </c>
      <c r="D3468" t="inlineStr">
        <is>
          <t>MG</t>
        </is>
      </c>
      <c r="E3468" t="inlineStr">
        <is>
          <t>perfumery</t>
        </is>
      </c>
      <c r="F3468" t="n">
        <v>1</v>
      </c>
      <c r="G3468" t="n">
        <v>79.98999999999999</v>
      </c>
      <c r="H3468" t="n">
        <v>15.38</v>
      </c>
      <c r="I3468" t="inlineStr">
        <is>
          <t>credit_card</t>
        </is>
      </c>
      <c r="J3468" t="n">
        <v>7</v>
      </c>
      <c r="K3468" t="inlineStr">
        <is>
          <t>On Time</t>
        </is>
      </c>
      <c r="L3468" t="n">
        <v>5</v>
      </c>
      <c r="M3468">
        <f>VLOOKUP(D3468,State_Lookup!$A$2:$B$28,2,FALSE)</f>
        <v/>
      </c>
    </row>
    <row r="3469">
      <c r="A3469" t="inlineStr">
        <is>
          <t>62a303159c09b65c288433ea06a99600</t>
        </is>
      </c>
      <c r="B3469" t="inlineStr">
        <is>
          <t>2018-04-09</t>
        </is>
      </c>
      <c r="C3469" t="inlineStr">
        <is>
          <t>2018-04</t>
        </is>
      </c>
      <c r="D3469" t="inlineStr">
        <is>
          <t>RJ</t>
        </is>
      </c>
      <c r="E3469" t="inlineStr">
        <is>
          <t>sports_leisure</t>
        </is>
      </c>
      <c r="F3469" t="n">
        <v>1</v>
      </c>
      <c r="G3469" t="n">
        <v>227</v>
      </c>
      <c r="H3469" t="n">
        <v>24.17</v>
      </c>
      <c r="I3469" t="inlineStr">
        <is>
          <t>credit_card</t>
        </is>
      </c>
      <c r="J3469" t="n">
        <v>35</v>
      </c>
      <c r="K3469" t="inlineStr">
        <is>
          <t>Late</t>
        </is>
      </c>
      <c r="L3469" t="n">
        <v>5</v>
      </c>
      <c r="M3469">
        <f>VLOOKUP(D3469,State_Lookup!$A$2:$B$28,2,FALSE)</f>
        <v/>
      </c>
    </row>
    <row r="3470">
      <c r="A3470" t="inlineStr">
        <is>
          <t>7efad59e360743b4d3d246741db76a37</t>
        </is>
      </c>
      <c r="B3470" t="inlineStr">
        <is>
          <t>2018-04-09</t>
        </is>
      </c>
      <c r="C3470" t="inlineStr">
        <is>
          <t>2018-04</t>
        </is>
      </c>
      <c r="D3470" t="inlineStr">
        <is>
          <t>SP</t>
        </is>
      </c>
      <c r="E3470" t="inlineStr">
        <is>
          <t>bed_bath_table</t>
        </is>
      </c>
      <c r="F3470" t="n">
        <v>1</v>
      </c>
      <c r="G3470" t="n">
        <v>79.90000000000001</v>
      </c>
      <c r="H3470" t="n">
        <v>13.92</v>
      </c>
      <c r="I3470" t="inlineStr">
        <is>
          <t>credit_card</t>
        </is>
      </c>
      <c r="J3470" t="n">
        <v>4</v>
      </c>
      <c r="K3470" t="inlineStr">
        <is>
          <t>On Time</t>
        </is>
      </c>
      <c r="L3470" t="n">
        <v>4</v>
      </c>
      <c r="M3470">
        <f>VLOOKUP(D3470,State_Lookup!$A$2:$B$28,2,FALSE)</f>
        <v/>
      </c>
    </row>
    <row r="3471">
      <c r="A3471" t="inlineStr">
        <is>
          <t>4245e49d026ef1f440041837b6eac52a</t>
        </is>
      </c>
      <c r="B3471" t="inlineStr">
        <is>
          <t>2018-04-09</t>
        </is>
      </c>
      <c r="C3471" t="inlineStr">
        <is>
          <t>2018-04</t>
        </is>
      </c>
      <c r="D3471" t="inlineStr">
        <is>
          <t>SP</t>
        </is>
      </c>
      <c r="E3471" t="inlineStr">
        <is>
          <t>garden_tools</t>
        </is>
      </c>
      <c r="F3471" t="n">
        <v>1</v>
      </c>
      <c r="G3471" t="n">
        <v>53.9</v>
      </c>
      <c r="H3471" t="n">
        <v>13.46</v>
      </c>
      <c r="I3471" t="inlineStr">
        <is>
          <t>credit_card</t>
        </is>
      </c>
      <c r="J3471" t="n">
        <v>7</v>
      </c>
      <c r="K3471" t="inlineStr">
        <is>
          <t>On Time</t>
        </is>
      </c>
      <c r="L3471" t="n">
        <v>5</v>
      </c>
      <c r="M3471">
        <f>VLOOKUP(D3471,State_Lookup!$A$2:$B$28,2,FALSE)</f>
        <v/>
      </c>
    </row>
    <row r="3472">
      <c r="A3472" t="inlineStr">
        <is>
          <t>8e89832cd01aae257e9608ce09e0caad</t>
        </is>
      </c>
      <c r="B3472" t="inlineStr">
        <is>
          <t>2018-04-09</t>
        </is>
      </c>
      <c r="C3472" t="inlineStr">
        <is>
          <t>2018-04</t>
        </is>
      </c>
      <c r="D3472" t="inlineStr">
        <is>
          <t>AM</t>
        </is>
      </c>
      <c r="E3472" t="inlineStr">
        <is>
          <t>pet_shop</t>
        </is>
      </c>
      <c r="F3472" t="n">
        <v>1</v>
      </c>
      <c r="G3472" t="n">
        <v>149.99</v>
      </c>
      <c r="H3472" t="n">
        <v>88.95999999999999</v>
      </c>
      <c r="I3472" t="inlineStr">
        <is>
          <t>credit_card</t>
        </is>
      </c>
      <c r="J3472" t="n">
        <v>12</v>
      </c>
      <c r="K3472" t="inlineStr">
        <is>
          <t>On Time</t>
        </is>
      </c>
      <c r="L3472" t="n">
        <v>5</v>
      </c>
      <c r="M3472">
        <f>VLOOKUP(D3472,State_Lookup!$A$2:$B$28,2,FALSE)</f>
        <v/>
      </c>
    </row>
    <row r="3473">
      <c r="A3473" t="inlineStr">
        <is>
          <t>d08a79ed250412c79cc17a81c4abcf86</t>
        </is>
      </c>
      <c r="B3473" t="inlineStr">
        <is>
          <t>2018-04-09</t>
        </is>
      </c>
      <c r="C3473" t="inlineStr">
        <is>
          <t>2018-04</t>
        </is>
      </c>
      <c r="D3473" t="inlineStr">
        <is>
          <t>SP</t>
        </is>
      </c>
      <c r="E3473" t="inlineStr">
        <is>
          <t>electronics</t>
        </is>
      </c>
      <c r="F3473" t="n">
        <v>1</v>
      </c>
      <c r="G3473" t="n">
        <v>13.65</v>
      </c>
      <c r="H3473" t="n">
        <v>7.39</v>
      </c>
      <c r="I3473" t="inlineStr">
        <is>
          <t>boleto</t>
        </is>
      </c>
      <c r="J3473" t="n">
        <v>3</v>
      </c>
      <c r="K3473" t="inlineStr">
        <is>
          <t>On Time</t>
        </is>
      </c>
      <c r="L3473" t="n">
        <v>5</v>
      </c>
      <c r="M3473">
        <f>VLOOKUP(D3473,State_Lookup!$A$2:$B$28,2,FALSE)</f>
        <v/>
      </c>
    </row>
    <row r="3474">
      <c r="A3474" t="inlineStr">
        <is>
          <t>3ff3ef2712ca7c33e82afe0697183621</t>
        </is>
      </c>
      <c r="B3474" t="inlineStr">
        <is>
          <t>2018-04-09</t>
        </is>
      </c>
      <c r="C3474" t="inlineStr">
        <is>
          <t>2018-04</t>
        </is>
      </c>
      <c r="D3474" t="inlineStr">
        <is>
          <t>MG</t>
        </is>
      </c>
      <c r="E3474" t="inlineStr">
        <is>
          <t>telephony</t>
        </is>
      </c>
      <c r="F3474" t="n">
        <v>1</v>
      </c>
      <c r="G3474" t="n">
        <v>199.9</v>
      </c>
      <c r="H3474" t="n">
        <v>19.28</v>
      </c>
      <c r="I3474" t="inlineStr">
        <is>
          <t>boleto</t>
        </is>
      </c>
      <c r="J3474" t="n">
        <v>10</v>
      </c>
      <c r="K3474" t="inlineStr">
        <is>
          <t>On Time</t>
        </is>
      </c>
      <c r="L3474" t="n">
        <v>5</v>
      </c>
      <c r="M3474">
        <f>VLOOKUP(D3474,State_Lookup!$A$2:$B$28,2,FALSE)</f>
        <v/>
      </c>
    </row>
    <row r="3475">
      <c r="A3475" t="inlineStr">
        <is>
          <t>ff23c2ed75e1dd692c237538513b27a6</t>
        </is>
      </c>
      <c r="B3475" t="inlineStr">
        <is>
          <t>2018-04-09</t>
        </is>
      </c>
      <c r="C3475" t="inlineStr">
        <is>
          <t>2018-04</t>
        </is>
      </c>
      <c r="D3475" t="inlineStr">
        <is>
          <t>SP</t>
        </is>
      </c>
      <c r="E3475" t="inlineStr">
        <is>
          <t>computers_accessories</t>
        </is>
      </c>
      <c r="F3475" t="n">
        <v>1</v>
      </c>
      <c r="G3475" t="n">
        <v>93</v>
      </c>
      <c r="H3475" t="n">
        <v>18.53</v>
      </c>
      <c r="I3475" t="inlineStr">
        <is>
          <t>credit_card</t>
        </is>
      </c>
      <c r="J3475" t="n">
        <v>13</v>
      </c>
      <c r="K3475" t="inlineStr">
        <is>
          <t>On Time</t>
        </is>
      </c>
      <c r="L3475" t="n">
        <v>5</v>
      </c>
      <c r="M3475">
        <f>VLOOKUP(D3475,State_Lookup!$A$2:$B$28,2,FALSE)</f>
        <v/>
      </c>
    </row>
    <row r="3476">
      <c r="A3476" t="inlineStr">
        <is>
          <t>f9d2e3d2cc060d2d5fbbaef4fba580b1</t>
        </is>
      </c>
      <c r="B3476" t="inlineStr">
        <is>
          <t>2018-04-09</t>
        </is>
      </c>
      <c r="C3476" t="inlineStr">
        <is>
          <t>2018-04</t>
        </is>
      </c>
      <c r="D3476" t="inlineStr">
        <is>
          <t>CE</t>
        </is>
      </c>
      <c r="E3476" t="inlineStr">
        <is>
          <t>electronics</t>
        </is>
      </c>
      <c r="F3476" t="n">
        <v>1</v>
      </c>
      <c r="G3476" t="n">
        <v>14.99</v>
      </c>
      <c r="H3476" t="n">
        <v>19.04</v>
      </c>
      <c r="I3476" t="inlineStr">
        <is>
          <t>credit_card</t>
        </is>
      </c>
      <c r="J3476" t="n">
        <v>31</v>
      </c>
      <c r="K3476" t="inlineStr">
        <is>
          <t>Late</t>
        </is>
      </c>
      <c r="L3476" t="n">
        <v>1</v>
      </c>
      <c r="M3476">
        <f>VLOOKUP(D3476,State_Lookup!$A$2:$B$28,2,FALSE)</f>
        <v/>
      </c>
    </row>
    <row r="3477">
      <c r="A3477" t="inlineStr">
        <is>
          <t>3d37b8d5d488bfee6a6f456504d2fb82</t>
        </is>
      </c>
      <c r="B3477" t="inlineStr">
        <is>
          <t>2018-04-10</t>
        </is>
      </c>
      <c r="C3477" t="inlineStr">
        <is>
          <t>2018-04</t>
        </is>
      </c>
      <c r="D3477" t="inlineStr">
        <is>
          <t>MG</t>
        </is>
      </c>
      <c r="E3477" t="inlineStr">
        <is>
          <t>toys</t>
        </is>
      </c>
      <c r="F3477" t="n">
        <v>1</v>
      </c>
      <c r="G3477" t="n">
        <v>17.99</v>
      </c>
      <c r="H3477" t="n">
        <v>12.79</v>
      </c>
      <c r="I3477" t="inlineStr">
        <is>
          <t>boleto</t>
        </is>
      </c>
      <c r="J3477" t="n">
        <v>10</v>
      </c>
      <c r="K3477" t="inlineStr">
        <is>
          <t>On Time</t>
        </is>
      </c>
      <c r="L3477" t="n">
        <v>5</v>
      </c>
      <c r="M3477">
        <f>VLOOKUP(D3477,State_Lookup!$A$2:$B$28,2,FALSE)</f>
        <v/>
      </c>
    </row>
    <row r="3478">
      <c r="A3478" t="inlineStr">
        <is>
          <t>12c876d1fcac530f4415cb03afc041a6</t>
        </is>
      </c>
      <c r="B3478" t="inlineStr">
        <is>
          <t>2018-04-10</t>
        </is>
      </c>
      <c r="C3478" t="inlineStr">
        <is>
          <t>2018-04</t>
        </is>
      </c>
      <c r="D3478" t="inlineStr">
        <is>
          <t>DF</t>
        </is>
      </c>
      <c r="E3478" t="inlineStr">
        <is>
          <t>health_beauty</t>
        </is>
      </c>
      <c r="F3478" t="n">
        <v>1</v>
      </c>
      <c r="G3478" t="n">
        <v>58.99</v>
      </c>
      <c r="H3478" t="n">
        <v>16.73</v>
      </c>
      <c r="I3478" t="inlineStr">
        <is>
          <t>credit_card</t>
        </is>
      </c>
      <c r="J3478" t="n">
        <v>9</v>
      </c>
      <c r="K3478" t="inlineStr">
        <is>
          <t>On Time</t>
        </is>
      </c>
      <c r="L3478" t="n">
        <v>2</v>
      </c>
      <c r="M3478">
        <f>VLOOKUP(D3478,State_Lookup!$A$2:$B$28,2,FALSE)</f>
        <v/>
      </c>
    </row>
    <row r="3479">
      <c r="A3479" t="inlineStr">
        <is>
          <t>69c3c3c160e3c97d69fc07a52b4d98d2</t>
        </is>
      </c>
      <c r="B3479" t="inlineStr">
        <is>
          <t>2018-04-10</t>
        </is>
      </c>
      <c r="C3479" t="inlineStr">
        <is>
          <t>2018-04</t>
        </is>
      </c>
      <c r="D3479" t="inlineStr">
        <is>
          <t>SP</t>
        </is>
      </c>
      <c r="E3479" t="inlineStr">
        <is>
          <t>watches_gifts</t>
        </is>
      </c>
      <c r="F3479" t="n">
        <v>1</v>
      </c>
      <c r="G3479" t="n">
        <v>178.99</v>
      </c>
      <c r="H3479" t="n">
        <v>13.69</v>
      </c>
      <c r="I3479" t="inlineStr">
        <is>
          <t>credit_card</t>
        </is>
      </c>
      <c r="J3479" t="n">
        <v>6</v>
      </c>
      <c r="K3479" t="inlineStr">
        <is>
          <t>On Time</t>
        </is>
      </c>
      <c r="L3479" t="n">
        <v>5</v>
      </c>
      <c r="M3479">
        <f>VLOOKUP(D3479,State_Lookup!$A$2:$B$28,2,FALSE)</f>
        <v/>
      </c>
    </row>
    <row r="3480">
      <c r="A3480" t="inlineStr">
        <is>
          <t>199d865a833111b42fa9115901dbf975</t>
        </is>
      </c>
      <c r="B3480" t="inlineStr">
        <is>
          <t>2018-04-10</t>
        </is>
      </c>
      <c r="C3480" t="inlineStr">
        <is>
          <t>2018-04</t>
        </is>
      </c>
      <c r="D3480" t="inlineStr">
        <is>
          <t>RS</t>
        </is>
      </c>
      <c r="E3480" t="inlineStr">
        <is>
          <t>baby</t>
        </is>
      </c>
      <c r="F3480" t="n">
        <v>1</v>
      </c>
      <c r="G3480" t="n">
        <v>109.9</v>
      </c>
      <c r="H3480" t="n">
        <v>23.35</v>
      </c>
      <c r="I3480" t="inlineStr">
        <is>
          <t>credit_card</t>
        </is>
      </c>
      <c r="J3480" t="n">
        <v>6</v>
      </c>
      <c r="K3480" t="inlineStr">
        <is>
          <t>On Time</t>
        </is>
      </c>
      <c r="L3480" t="n">
        <v>5</v>
      </c>
      <c r="M3480">
        <f>VLOOKUP(D3480,State_Lookup!$A$2:$B$28,2,FALSE)</f>
        <v/>
      </c>
    </row>
    <row r="3481">
      <c r="A3481" t="inlineStr">
        <is>
          <t>fb9d7568d1c3618c043135be4c5b3cfd</t>
        </is>
      </c>
      <c r="B3481" t="inlineStr">
        <is>
          <t>2018-04-10</t>
        </is>
      </c>
      <c r="C3481" t="inlineStr">
        <is>
          <t>2018-04</t>
        </is>
      </c>
      <c r="D3481" t="inlineStr">
        <is>
          <t>DF</t>
        </is>
      </c>
      <c r="E3481" t="inlineStr">
        <is>
          <t>furniture_decor</t>
        </is>
      </c>
      <c r="F3481" t="n">
        <v>1</v>
      </c>
      <c r="G3481" t="n">
        <v>102</v>
      </c>
      <c r="H3481" t="n">
        <v>19.68</v>
      </c>
      <c r="I3481" t="inlineStr">
        <is>
          <t>credit_card</t>
        </is>
      </c>
      <c r="J3481" t="n">
        <v>16</v>
      </c>
      <c r="K3481" t="inlineStr">
        <is>
          <t>On Time</t>
        </is>
      </c>
      <c r="L3481" t="n">
        <v>5</v>
      </c>
      <c r="M3481">
        <f>VLOOKUP(D3481,State_Lookup!$A$2:$B$28,2,FALSE)</f>
        <v/>
      </c>
    </row>
    <row r="3482">
      <c r="A3482" t="inlineStr">
        <is>
          <t>d8962b14d78c6bc197f6508354109936</t>
        </is>
      </c>
      <c r="B3482" t="inlineStr">
        <is>
          <t>2018-04-10</t>
        </is>
      </c>
      <c r="C3482" t="inlineStr">
        <is>
          <t>2018-04</t>
        </is>
      </c>
      <c r="D3482" t="inlineStr">
        <is>
          <t>SP</t>
        </is>
      </c>
      <c r="E3482" t="inlineStr">
        <is>
          <t>furniture_decor</t>
        </is>
      </c>
      <c r="F3482" t="n">
        <v>1</v>
      </c>
      <c r="G3482" t="n">
        <v>29.9</v>
      </c>
      <c r="H3482" t="n">
        <v>12.79</v>
      </c>
      <c r="I3482" t="inlineStr">
        <is>
          <t>credit_card</t>
        </is>
      </c>
      <c r="J3482" t="n">
        <v>5</v>
      </c>
      <c r="K3482" t="inlineStr">
        <is>
          <t>On Time</t>
        </is>
      </c>
      <c r="L3482" t="n">
        <v>5</v>
      </c>
      <c r="M3482">
        <f>VLOOKUP(D3482,State_Lookup!$A$2:$B$28,2,FALSE)</f>
        <v/>
      </c>
    </row>
    <row r="3483">
      <c r="A3483" t="inlineStr">
        <is>
          <t>6f6938612fdf53d7b863eec877c1fbfe</t>
        </is>
      </c>
      <c r="B3483" t="inlineStr">
        <is>
          <t>2018-04-10</t>
        </is>
      </c>
      <c r="C3483" t="inlineStr">
        <is>
          <t>2018-04</t>
        </is>
      </c>
      <c r="D3483" t="inlineStr">
        <is>
          <t>MT</t>
        </is>
      </c>
      <c r="E3483" t="inlineStr">
        <is>
          <t>watches_gifts</t>
        </is>
      </c>
      <c r="F3483" t="n">
        <v>1</v>
      </c>
      <c r="G3483" t="n">
        <v>78</v>
      </c>
      <c r="H3483" t="n">
        <v>22.26</v>
      </c>
      <c r="I3483" t="inlineStr">
        <is>
          <t>credit_card</t>
        </is>
      </c>
      <c r="J3483" t="n">
        <v>6</v>
      </c>
      <c r="K3483" t="inlineStr">
        <is>
          <t>On Time</t>
        </is>
      </c>
      <c r="L3483" t="n">
        <v>4</v>
      </c>
      <c r="M3483">
        <f>VLOOKUP(D3483,State_Lookup!$A$2:$B$28,2,FALSE)</f>
        <v/>
      </c>
    </row>
    <row r="3484">
      <c r="A3484" t="inlineStr">
        <is>
          <t>d4c17074d3c22044f71a0faa32f99564</t>
        </is>
      </c>
      <c r="B3484" t="inlineStr">
        <is>
          <t>2018-04-10</t>
        </is>
      </c>
      <c r="C3484" t="inlineStr">
        <is>
          <t>2018-04</t>
        </is>
      </c>
      <c r="D3484" t="inlineStr">
        <is>
          <t>MG</t>
        </is>
      </c>
      <c r="E3484" t="inlineStr">
        <is>
          <t>cool_stuff</t>
        </is>
      </c>
      <c r="F3484" t="n">
        <v>1</v>
      </c>
      <c r="G3484" t="n">
        <v>75</v>
      </c>
      <c r="H3484" t="n">
        <v>26.61</v>
      </c>
      <c r="I3484" t="inlineStr">
        <is>
          <t>credit_card</t>
        </is>
      </c>
      <c r="J3484" t="n">
        <v>17</v>
      </c>
      <c r="K3484" t="inlineStr">
        <is>
          <t>On Time</t>
        </is>
      </c>
      <c r="L3484" t="n">
        <v>1</v>
      </c>
      <c r="M3484">
        <f>VLOOKUP(D3484,State_Lookup!$A$2:$B$28,2,FALSE)</f>
        <v/>
      </c>
    </row>
    <row r="3485">
      <c r="A3485" t="inlineStr">
        <is>
          <t>10aa0d0d910582b19666c38c58588868</t>
        </is>
      </c>
      <c r="B3485" t="inlineStr">
        <is>
          <t>2018-04-11</t>
        </is>
      </c>
      <c r="C3485" t="inlineStr">
        <is>
          <t>2018-04</t>
        </is>
      </c>
      <c r="D3485" t="inlineStr">
        <is>
          <t>SP</t>
        </is>
      </c>
      <c r="E3485" t="inlineStr">
        <is>
          <t>books_imported</t>
        </is>
      </c>
      <c r="F3485" t="n">
        <v>1</v>
      </c>
      <c r="G3485" t="n">
        <v>125</v>
      </c>
      <c r="H3485" t="n">
        <v>9.609999999999999</v>
      </c>
      <c r="I3485" t="inlineStr">
        <is>
          <t>credit_card</t>
        </is>
      </c>
      <c r="J3485" t="n">
        <v>1</v>
      </c>
      <c r="K3485" t="inlineStr">
        <is>
          <t>On Time</t>
        </is>
      </c>
      <c r="L3485" t="n">
        <v>5</v>
      </c>
      <c r="M3485">
        <f>VLOOKUP(D3485,State_Lookup!$A$2:$B$28,2,FALSE)</f>
        <v/>
      </c>
    </row>
    <row r="3486">
      <c r="A3486" t="inlineStr">
        <is>
          <t>8a1bc477742faefa8ff9f614dc582244</t>
        </is>
      </c>
      <c r="B3486" t="inlineStr">
        <is>
          <t>2018-04-11</t>
        </is>
      </c>
      <c r="C3486" t="inlineStr">
        <is>
          <t>2018-04</t>
        </is>
      </c>
      <c r="D3486" t="inlineStr">
        <is>
          <t>SP</t>
        </is>
      </c>
      <c r="E3486" t="inlineStr">
        <is>
          <t>sports_leisure</t>
        </is>
      </c>
      <c r="F3486" t="n">
        <v>1</v>
      </c>
      <c r="G3486" t="n">
        <v>67.90000000000001</v>
      </c>
      <c r="H3486" t="n">
        <v>8.880000000000001</v>
      </c>
      <c r="I3486" t="inlineStr">
        <is>
          <t>credit_card</t>
        </is>
      </c>
      <c r="J3486" t="n">
        <v>1</v>
      </c>
      <c r="K3486" t="inlineStr">
        <is>
          <t>On Time</t>
        </is>
      </c>
      <c r="L3486" t="n">
        <v>5</v>
      </c>
      <c r="M3486">
        <f>VLOOKUP(D3486,State_Lookup!$A$2:$B$28,2,FALSE)</f>
        <v/>
      </c>
    </row>
    <row r="3487">
      <c r="A3487" t="inlineStr">
        <is>
          <t>b99e5b462412361aab3168e1a40bdde8</t>
        </is>
      </c>
      <c r="B3487" t="inlineStr">
        <is>
          <t>2018-04-11</t>
        </is>
      </c>
      <c r="C3487" t="inlineStr">
        <is>
          <t>2018-04</t>
        </is>
      </c>
      <c r="D3487" t="inlineStr">
        <is>
          <t>SP</t>
        </is>
      </c>
      <c r="E3487" t="inlineStr">
        <is>
          <t>unknown</t>
        </is>
      </c>
      <c r="F3487" t="n">
        <v>1</v>
      </c>
      <c r="G3487" t="n">
        <v>122.99</v>
      </c>
      <c r="H3487" t="n">
        <v>8.630000000000001</v>
      </c>
      <c r="I3487" t="inlineStr">
        <is>
          <t>credit_card</t>
        </is>
      </c>
      <c r="J3487" t="n">
        <v>2</v>
      </c>
      <c r="K3487" t="inlineStr">
        <is>
          <t>On Time</t>
        </is>
      </c>
      <c r="L3487" t="n">
        <v>5</v>
      </c>
      <c r="M3487">
        <f>VLOOKUP(D3487,State_Lookup!$A$2:$B$28,2,FALSE)</f>
        <v/>
      </c>
    </row>
    <row r="3488">
      <c r="A3488" t="inlineStr">
        <is>
          <t>977b4442a3c1dfc2f22496727bf1ce97</t>
        </is>
      </c>
      <c r="B3488" t="inlineStr">
        <is>
          <t>2018-04-11</t>
        </is>
      </c>
      <c r="C3488" t="inlineStr">
        <is>
          <t>2018-04</t>
        </is>
      </c>
      <c r="D3488" t="inlineStr">
        <is>
          <t>MG</t>
        </is>
      </c>
      <c r="E3488" t="inlineStr">
        <is>
          <t>watches_gifts</t>
        </is>
      </c>
      <c r="F3488" t="n">
        <v>1</v>
      </c>
      <c r="G3488" t="n">
        <v>78</v>
      </c>
      <c r="H3488" t="n">
        <v>15.43</v>
      </c>
      <c r="I3488" t="inlineStr">
        <is>
          <t>credit_card</t>
        </is>
      </c>
      <c r="J3488" t="n">
        <v>6</v>
      </c>
      <c r="K3488" t="inlineStr">
        <is>
          <t>On Time</t>
        </is>
      </c>
      <c r="L3488" t="n">
        <v>5</v>
      </c>
      <c r="M3488">
        <f>VLOOKUP(D3488,State_Lookup!$A$2:$B$28,2,FALSE)</f>
        <v/>
      </c>
    </row>
    <row r="3489">
      <c r="A3489" t="inlineStr">
        <is>
          <t>4dae49f3bd8b5abe8d252762a1c88a1f</t>
        </is>
      </c>
      <c r="B3489" t="inlineStr">
        <is>
          <t>2018-04-11</t>
        </is>
      </c>
      <c r="C3489" t="inlineStr">
        <is>
          <t>2018-04</t>
        </is>
      </c>
      <c r="D3489" t="inlineStr">
        <is>
          <t>SP</t>
        </is>
      </c>
      <c r="E3489" t="inlineStr">
        <is>
          <t>housewares</t>
        </is>
      </c>
      <c r="F3489" t="n">
        <v>1</v>
      </c>
      <c r="G3489" t="n">
        <v>49.9</v>
      </c>
      <c r="H3489" t="n">
        <v>8.880000000000001</v>
      </c>
      <c r="I3489" t="inlineStr">
        <is>
          <t>boleto</t>
        </is>
      </c>
      <c r="J3489" t="n">
        <v>5</v>
      </c>
      <c r="K3489" t="inlineStr">
        <is>
          <t>On Time</t>
        </is>
      </c>
      <c r="L3489" t="n">
        <v>5</v>
      </c>
      <c r="M3489">
        <f>VLOOKUP(D3489,State_Lookup!$A$2:$B$28,2,FALSE)</f>
        <v/>
      </c>
    </row>
    <row r="3490">
      <c r="A3490" t="inlineStr">
        <is>
          <t>dcf7ef0799c6be6d3c89ea5083017e62</t>
        </is>
      </c>
      <c r="B3490" t="inlineStr">
        <is>
          <t>2018-04-11</t>
        </is>
      </c>
      <c r="C3490" t="inlineStr">
        <is>
          <t>2018-04</t>
        </is>
      </c>
      <c r="D3490" t="inlineStr">
        <is>
          <t>SP</t>
        </is>
      </c>
      <c r="E3490" t="inlineStr">
        <is>
          <t>health_beauty</t>
        </is>
      </c>
      <c r="F3490" t="n">
        <v>1</v>
      </c>
      <c r="G3490" t="n">
        <v>29.9</v>
      </c>
      <c r="H3490" t="n">
        <v>7.71</v>
      </c>
      <c r="I3490" t="inlineStr">
        <is>
          <t>credit_card</t>
        </is>
      </c>
      <c r="J3490" t="n">
        <v>5</v>
      </c>
      <c r="K3490" t="inlineStr">
        <is>
          <t>On Time</t>
        </is>
      </c>
      <c r="L3490" t="n">
        <v>5</v>
      </c>
      <c r="M3490">
        <f>VLOOKUP(D3490,State_Lookup!$A$2:$B$28,2,FALSE)</f>
        <v/>
      </c>
    </row>
    <row r="3491">
      <c r="A3491" t="inlineStr">
        <is>
          <t>5aa709ad0b286644ffbb7c9aa6a1db27</t>
        </is>
      </c>
      <c r="B3491" t="inlineStr">
        <is>
          <t>2018-04-11</t>
        </is>
      </c>
      <c r="C3491" t="inlineStr">
        <is>
          <t>2018-04</t>
        </is>
      </c>
      <c r="D3491" t="inlineStr">
        <is>
          <t>RJ</t>
        </is>
      </c>
      <c r="E3491" t="inlineStr">
        <is>
          <t>bed_bath_table</t>
        </is>
      </c>
      <c r="F3491" t="n">
        <v>1</v>
      </c>
      <c r="G3491" t="n">
        <v>259.9</v>
      </c>
      <c r="H3491" t="n">
        <v>35.36</v>
      </c>
      <c r="I3491" t="inlineStr">
        <is>
          <t>credit_card</t>
        </is>
      </c>
      <c r="J3491" t="n">
        <v>9</v>
      </c>
      <c r="K3491" t="inlineStr">
        <is>
          <t>On Time</t>
        </is>
      </c>
      <c r="L3491" t="n">
        <v>5</v>
      </c>
      <c r="M3491">
        <f>VLOOKUP(D3491,State_Lookup!$A$2:$B$28,2,FALSE)</f>
        <v/>
      </c>
    </row>
    <row r="3492">
      <c r="A3492" t="inlineStr">
        <is>
          <t>68005513d670f9fc899928aed4963d22</t>
        </is>
      </c>
      <c r="B3492" t="inlineStr">
        <is>
          <t>2018-04-11</t>
        </is>
      </c>
      <c r="C3492" t="inlineStr">
        <is>
          <t>2018-04</t>
        </is>
      </c>
      <c r="D3492" t="inlineStr">
        <is>
          <t>SP</t>
        </is>
      </c>
      <c r="E3492" t="inlineStr">
        <is>
          <t>housewares</t>
        </is>
      </c>
      <c r="F3492" t="n">
        <v>1</v>
      </c>
      <c r="G3492" t="n">
        <v>56.25</v>
      </c>
      <c r="H3492" t="n">
        <v>14.48</v>
      </c>
      <c r="I3492" t="inlineStr">
        <is>
          <t>credit_card</t>
        </is>
      </c>
      <c r="J3492" t="n">
        <v>9</v>
      </c>
      <c r="K3492" t="inlineStr">
        <is>
          <t>On Time</t>
        </is>
      </c>
      <c r="L3492" t="n">
        <v>5</v>
      </c>
      <c r="M3492">
        <f>VLOOKUP(D3492,State_Lookup!$A$2:$B$28,2,FALSE)</f>
        <v/>
      </c>
    </row>
    <row r="3493">
      <c r="A3493" t="inlineStr">
        <is>
          <t>33209e0f87b2ed543a0876812c9c5c40</t>
        </is>
      </c>
      <c r="B3493" t="inlineStr">
        <is>
          <t>2018-04-11</t>
        </is>
      </c>
      <c r="C3493" t="inlineStr">
        <is>
          <t>2018-04</t>
        </is>
      </c>
      <c r="D3493" t="inlineStr">
        <is>
          <t>SP</t>
        </is>
      </c>
      <c r="E3493" t="inlineStr">
        <is>
          <t>furniture_decor</t>
        </is>
      </c>
      <c r="F3493" t="n">
        <v>1</v>
      </c>
      <c r="G3493" t="n">
        <v>159.9</v>
      </c>
      <c r="H3493" t="n">
        <v>37.05</v>
      </c>
      <c r="I3493" t="inlineStr">
        <is>
          <t>credit_card</t>
        </is>
      </c>
      <c r="J3493" t="n">
        <v>2</v>
      </c>
      <c r="K3493" t="inlineStr">
        <is>
          <t>On Time</t>
        </is>
      </c>
      <c r="L3493" t="n">
        <v>3</v>
      </c>
      <c r="M3493">
        <f>VLOOKUP(D3493,State_Lookup!$A$2:$B$28,2,FALSE)</f>
        <v/>
      </c>
    </row>
    <row r="3494">
      <c r="A3494" t="inlineStr">
        <is>
          <t>1d643b8cef95dfa4cf580061a62c6075</t>
        </is>
      </c>
      <c r="B3494" t="inlineStr">
        <is>
          <t>2018-04-11</t>
        </is>
      </c>
      <c r="C3494" t="inlineStr">
        <is>
          <t>2018-04</t>
        </is>
      </c>
      <c r="D3494" t="inlineStr">
        <is>
          <t>SP</t>
        </is>
      </c>
      <c r="E3494" t="inlineStr">
        <is>
          <t>health_beauty</t>
        </is>
      </c>
      <c r="F3494" t="n">
        <v>1</v>
      </c>
      <c r="G3494" t="n">
        <v>120</v>
      </c>
      <c r="H3494" t="n">
        <v>13.28</v>
      </c>
      <c r="I3494" t="inlineStr">
        <is>
          <t>credit_card</t>
        </is>
      </c>
      <c r="J3494" t="n">
        <v>7</v>
      </c>
      <c r="K3494" t="inlineStr">
        <is>
          <t>On Time</t>
        </is>
      </c>
      <c r="L3494" t="n">
        <v>5</v>
      </c>
      <c r="M3494">
        <f>VLOOKUP(D3494,State_Lookup!$A$2:$B$28,2,FALSE)</f>
        <v/>
      </c>
    </row>
    <row r="3495">
      <c r="A3495" t="inlineStr">
        <is>
          <t>bb1af69d9c3122c683d442d8af845410</t>
        </is>
      </c>
      <c r="B3495" t="inlineStr">
        <is>
          <t>2018-04-11</t>
        </is>
      </c>
      <c r="C3495" t="inlineStr">
        <is>
          <t>2018-04</t>
        </is>
      </c>
      <c r="D3495" t="inlineStr">
        <is>
          <t>SP</t>
        </is>
      </c>
      <c r="E3495" t="inlineStr">
        <is>
          <t>unknown</t>
        </is>
      </c>
      <c r="F3495" t="n">
        <v>1</v>
      </c>
      <c r="G3495" t="n">
        <v>122.99</v>
      </c>
      <c r="H3495" t="n">
        <v>8.630000000000001</v>
      </c>
      <c r="I3495" t="inlineStr">
        <is>
          <t>credit_card</t>
        </is>
      </c>
      <c r="J3495" t="n">
        <v>2</v>
      </c>
      <c r="K3495" t="inlineStr">
        <is>
          <t>On Time</t>
        </is>
      </c>
      <c r="L3495" t="n">
        <v>5</v>
      </c>
      <c r="M3495">
        <f>VLOOKUP(D3495,State_Lookup!$A$2:$B$28,2,FALSE)</f>
        <v/>
      </c>
    </row>
    <row r="3496">
      <c r="A3496" t="inlineStr">
        <is>
          <t>ccbc6d72962da1952d471d3bb26cd5dc</t>
        </is>
      </c>
      <c r="B3496" t="inlineStr">
        <is>
          <t>2018-04-11</t>
        </is>
      </c>
      <c r="C3496" t="inlineStr">
        <is>
          <t>2018-04</t>
        </is>
      </c>
      <c r="D3496" t="inlineStr">
        <is>
          <t>ES</t>
        </is>
      </c>
      <c r="E3496" t="inlineStr">
        <is>
          <t>bed_bath_table</t>
        </is>
      </c>
      <c r="F3496" t="n">
        <v>2</v>
      </c>
      <c r="G3496" t="n">
        <v>138</v>
      </c>
      <c r="H3496" t="n">
        <v>46.12</v>
      </c>
      <c r="I3496" t="inlineStr">
        <is>
          <t>credit_card</t>
        </is>
      </c>
      <c r="J3496" t="n">
        <v>19</v>
      </c>
      <c r="K3496" t="inlineStr">
        <is>
          <t>On Time</t>
        </is>
      </c>
      <c r="L3496" t="n">
        <v>4</v>
      </c>
      <c r="M3496">
        <f>VLOOKUP(D3496,State_Lookup!$A$2:$B$28,2,FALSE)</f>
        <v/>
      </c>
    </row>
    <row r="3497">
      <c r="A3497" t="inlineStr">
        <is>
          <t>8dcc55ec15c19cb7dc05d6eb1daf8802</t>
        </is>
      </c>
      <c r="B3497" t="inlineStr">
        <is>
          <t>2018-04-11</t>
        </is>
      </c>
      <c r="C3497" t="inlineStr">
        <is>
          <t>2018-04</t>
        </is>
      </c>
      <c r="D3497" t="inlineStr">
        <is>
          <t>PI</t>
        </is>
      </c>
      <c r="E3497" t="inlineStr">
        <is>
          <t>watches_gifts</t>
        </is>
      </c>
      <c r="F3497" t="n">
        <v>1</v>
      </c>
      <c r="G3497" t="n">
        <v>599</v>
      </c>
      <c r="H3497" t="n">
        <v>64.25</v>
      </c>
      <c r="I3497" t="inlineStr">
        <is>
          <t>credit_card</t>
        </is>
      </c>
      <c r="J3497" t="n">
        <v>15</v>
      </c>
      <c r="K3497" t="inlineStr">
        <is>
          <t>On Time</t>
        </is>
      </c>
      <c r="L3497" t="n">
        <v>5</v>
      </c>
      <c r="M3497">
        <f>VLOOKUP(D3497,State_Lookup!$A$2:$B$28,2,FALSE)</f>
        <v/>
      </c>
    </row>
    <row r="3498">
      <c r="A3498" t="inlineStr">
        <is>
          <t>2282f08c7a3e5bc3e7b84bb444d6e1e6</t>
        </is>
      </c>
      <c r="B3498" t="inlineStr">
        <is>
          <t>2018-04-11</t>
        </is>
      </c>
      <c r="C3498" t="inlineStr">
        <is>
          <t>2018-04</t>
        </is>
      </c>
      <c r="D3498" t="inlineStr">
        <is>
          <t>RJ</t>
        </is>
      </c>
      <c r="E3498" t="inlineStr">
        <is>
          <t>housewares</t>
        </is>
      </c>
      <c r="F3498" t="n">
        <v>1</v>
      </c>
      <c r="G3498" t="n">
        <v>29.9</v>
      </c>
      <c r="H3498" t="n">
        <v>16.32</v>
      </c>
      <c r="I3498" t="inlineStr">
        <is>
          <t>credit_card</t>
        </is>
      </c>
      <c r="J3498" t="n">
        <v>15</v>
      </c>
      <c r="K3498" t="inlineStr">
        <is>
          <t>On Time</t>
        </is>
      </c>
      <c r="L3498" t="n">
        <v>5</v>
      </c>
      <c r="M3498">
        <f>VLOOKUP(D3498,State_Lookup!$A$2:$B$28,2,FALSE)</f>
        <v/>
      </c>
    </row>
    <row r="3499">
      <c r="A3499" t="inlineStr">
        <is>
          <t>0f14db1abb2772e95d78a72c30d69678</t>
        </is>
      </c>
      <c r="B3499" t="inlineStr">
        <is>
          <t>2018-04-11</t>
        </is>
      </c>
      <c r="C3499" t="inlineStr">
        <is>
          <t>2018-04</t>
        </is>
      </c>
      <c r="D3499" t="inlineStr">
        <is>
          <t>SC</t>
        </is>
      </c>
      <c r="E3499" t="inlineStr">
        <is>
          <t>furniture_decor</t>
        </is>
      </c>
      <c r="F3499" t="n">
        <v>4</v>
      </c>
      <c r="G3499" t="n">
        <v>132.6</v>
      </c>
      <c r="H3499" t="n">
        <v>76.44</v>
      </c>
      <c r="I3499" t="inlineStr">
        <is>
          <t>credit_card</t>
        </is>
      </c>
      <c r="J3499" t="n">
        <v>9</v>
      </c>
      <c r="K3499" t="inlineStr">
        <is>
          <t>On Time</t>
        </is>
      </c>
      <c r="L3499" t="n">
        <v>3</v>
      </c>
      <c r="M3499">
        <f>VLOOKUP(D3499,State_Lookup!$A$2:$B$28,2,FALSE)</f>
        <v/>
      </c>
    </row>
    <row r="3500">
      <c r="A3500" t="inlineStr">
        <is>
          <t>f330860e4cc30640994fc5d022b00934</t>
        </is>
      </c>
      <c r="B3500" t="inlineStr">
        <is>
          <t>2018-04-11</t>
        </is>
      </c>
      <c r="C3500" t="inlineStr">
        <is>
          <t>2018-04</t>
        </is>
      </c>
      <c r="D3500" t="inlineStr">
        <is>
          <t>MG</t>
        </is>
      </c>
      <c r="E3500" t="inlineStr">
        <is>
          <t>unknown</t>
        </is>
      </c>
      <c r="F3500" t="n">
        <v>1</v>
      </c>
      <c r="G3500" t="n">
        <v>122.99</v>
      </c>
      <c r="H3500" t="n">
        <v>18.74</v>
      </c>
      <c r="I3500" t="inlineStr">
        <is>
          <t>credit_card</t>
        </is>
      </c>
      <c r="J3500" t="inlineStr"/>
      <c r="K3500" t="inlineStr">
        <is>
          <t>Not Delivered</t>
        </is>
      </c>
      <c r="L3500" t="n">
        <v>1</v>
      </c>
      <c r="M3500">
        <f>VLOOKUP(D3500,State_Lookup!$A$2:$B$28,2,FALSE)</f>
        <v/>
      </c>
    </row>
    <row r="3501">
      <c r="A3501" t="inlineStr">
        <is>
          <t>8a37cae0305cc1e69d6f5d0629719e9a</t>
        </is>
      </c>
      <c r="B3501" t="inlineStr">
        <is>
          <t>2018-04-11</t>
        </is>
      </c>
      <c r="C3501" t="inlineStr">
        <is>
          <t>2018-04</t>
        </is>
      </c>
      <c r="D3501" t="inlineStr">
        <is>
          <t>RS</t>
        </is>
      </c>
      <c r="E3501" t="inlineStr">
        <is>
          <t>watches_gifts</t>
        </is>
      </c>
      <c r="F3501" t="n">
        <v>1</v>
      </c>
      <c r="G3501" t="n">
        <v>55</v>
      </c>
      <c r="H3501" t="n">
        <v>18.27</v>
      </c>
      <c r="I3501" t="inlineStr">
        <is>
          <t>credit_card</t>
        </is>
      </c>
      <c r="J3501" t="n">
        <v>7</v>
      </c>
      <c r="K3501" t="inlineStr">
        <is>
          <t>On Time</t>
        </is>
      </c>
      <c r="L3501" t="n">
        <v>1</v>
      </c>
      <c r="M3501">
        <f>VLOOKUP(D3501,State_Lookup!$A$2:$B$28,2,FALSE)</f>
        <v/>
      </c>
    </row>
    <row r="3502">
      <c r="A3502" t="inlineStr">
        <is>
          <t>81508881aee7b223104b4a5d4b28f786</t>
        </is>
      </c>
      <c r="B3502" t="inlineStr">
        <is>
          <t>2018-04-11</t>
        </is>
      </c>
      <c r="C3502" t="inlineStr">
        <is>
          <t>2018-04</t>
        </is>
      </c>
      <c r="D3502" t="inlineStr">
        <is>
          <t>SP</t>
        </is>
      </c>
      <c r="E3502" t="inlineStr">
        <is>
          <t>health_beauty</t>
        </is>
      </c>
      <c r="F3502" t="n">
        <v>1</v>
      </c>
      <c r="G3502" t="n">
        <v>119.9</v>
      </c>
      <c r="H3502" t="n">
        <v>18.43</v>
      </c>
      <c r="I3502" t="inlineStr">
        <is>
          <t>credit_card</t>
        </is>
      </c>
      <c r="J3502" t="n">
        <v>8</v>
      </c>
      <c r="K3502" t="inlineStr">
        <is>
          <t>On Time</t>
        </is>
      </c>
      <c r="L3502" t="n">
        <v>5</v>
      </c>
      <c r="M3502">
        <f>VLOOKUP(D3502,State_Lookup!$A$2:$B$28,2,FALSE)</f>
        <v/>
      </c>
    </row>
    <row r="3503">
      <c r="A3503" t="inlineStr">
        <is>
          <t>e0babb29f62b941d1b6c1f2f6659973d</t>
        </is>
      </c>
      <c r="B3503" t="inlineStr">
        <is>
          <t>2018-04-11</t>
        </is>
      </c>
      <c r="C3503" t="inlineStr">
        <is>
          <t>2018-04</t>
        </is>
      </c>
      <c r="D3503" t="inlineStr">
        <is>
          <t>RS</t>
        </is>
      </c>
      <c r="E3503" t="inlineStr">
        <is>
          <t>auto</t>
        </is>
      </c>
      <c r="F3503" t="n">
        <v>1</v>
      </c>
      <c r="G3503" t="n">
        <v>79.98999999999999</v>
      </c>
      <c r="H3503" t="n">
        <v>15.44</v>
      </c>
      <c r="I3503" t="inlineStr">
        <is>
          <t>credit_card</t>
        </is>
      </c>
      <c r="J3503" t="n">
        <v>10</v>
      </c>
      <c r="K3503" t="inlineStr">
        <is>
          <t>On Time</t>
        </is>
      </c>
      <c r="L3503" t="n">
        <v>5</v>
      </c>
      <c r="M3503">
        <f>VLOOKUP(D3503,State_Lookup!$A$2:$B$28,2,FALSE)</f>
        <v/>
      </c>
    </row>
    <row r="3504">
      <c r="A3504" t="inlineStr">
        <is>
          <t>0227da6a9a5c5d03b593cc9c2bce3463</t>
        </is>
      </c>
      <c r="B3504" t="inlineStr">
        <is>
          <t>2018-04-11</t>
        </is>
      </c>
      <c r="C3504" t="inlineStr">
        <is>
          <t>2018-04</t>
        </is>
      </c>
      <c r="D3504" t="inlineStr">
        <is>
          <t>SP</t>
        </is>
      </c>
      <c r="E3504" t="inlineStr">
        <is>
          <t>cool_stuff</t>
        </is>
      </c>
      <c r="F3504" t="n">
        <v>1</v>
      </c>
      <c r="G3504" t="n">
        <v>49.9</v>
      </c>
      <c r="H3504" t="n">
        <v>11.62</v>
      </c>
      <c r="I3504" t="inlineStr">
        <is>
          <t>credit_card</t>
        </is>
      </c>
      <c r="J3504" t="n">
        <v>6</v>
      </c>
      <c r="K3504" t="inlineStr">
        <is>
          <t>On Time</t>
        </is>
      </c>
      <c r="L3504" t="n">
        <v>5</v>
      </c>
      <c r="M3504">
        <f>VLOOKUP(D3504,State_Lookup!$A$2:$B$28,2,FALSE)</f>
        <v/>
      </c>
    </row>
    <row r="3505">
      <c r="A3505" t="inlineStr">
        <is>
          <t>d2e4ad2926dc435008abc29210ace9f3</t>
        </is>
      </c>
      <c r="B3505" t="inlineStr">
        <is>
          <t>2018-04-11</t>
        </is>
      </c>
      <c r="C3505" t="inlineStr">
        <is>
          <t>2018-04</t>
        </is>
      </c>
      <c r="D3505" t="inlineStr">
        <is>
          <t>SP</t>
        </is>
      </c>
      <c r="E3505" t="inlineStr">
        <is>
          <t>health_beauty</t>
        </is>
      </c>
      <c r="F3505" t="n">
        <v>1</v>
      </c>
      <c r="G3505" t="n">
        <v>88</v>
      </c>
      <c r="H3505" t="n">
        <v>14.71</v>
      </c>
      <c r="I3505" t="inlineStr">
        <is>
          <t>credit_card</t>
        </is>
      </c>
      <c r="J3505" t="n">
        <v>7</v>
      </c>
      <c r="K3505" t="inlineStr">
        <is>
          <t>On Time</t>
        </is>
      </c>
      <c r="L3505" t="n">
        <v>5</v>
      </c>
      <c r="M3505">
        <f>VLOOKUP(D3505,State_Lookup!$A$2:$B$28,2,FALSE)</f>
        <v/>
      </c>
    </row>
    <row r="3506">
      <c r="A3506" t="inlineStr">
        <is>
          <t>7aaf9721911fe977bb8e6640c442aeb4</t>
        </is>
      </c>
      <c r="B3506" t="inlineStr">
        <is>
          <t>2018-04-12</t>
        </is>
      </c>
      <c r="C3506" t="inlineStr">
        <is>
          <t>2018-04</t>
        </is>
      </c>
      <c r="D3506" t="inlineStr">
        <is>
          <t>PE</t>
        </is>
      </c>
      <c r="E3506" t="inlineStr">
        <is>
          <t>computers_accessories</t>
        </is>
      </c>
      <c r="F3506" t="n">
        <v>1</v>
      </c>
      <c r="G3506" t="n">
        <v>129</v>
      </c>
      <c r="H3506" t="n">
        <v>19.59</v>
      </c>
      <c r="I3506" t="inlineStr">
        <is>
          <t>boleto</t>
        </is>
      </c>
      <c r="J3506" t="n">
        <v>11</v>
      </c>
      <c r="K3506" t="inlineStr">
        <is>
          <t>On Time</t>
        </is>
      </c>
      <c r="L3506" t="n">
        <v>5</v>
      </c>
      <c r="M3506">
        <f>VLOOKUP(D3506,State_Lookup!$A$2:$B$28,2,FALSE)</f>
        <v/>
      </c>
    </row>
    <row r="3507">
      <c r="A3507" t="inlineStr">
        <is>
          <t>b086c1a7c7ed350b2faeb2869ac483ec</t>
        </is>
      </c>
      <c r="B3507" t="inlineStr">
        <is>
          <t>2018-04-12</t>
        </is>
      </c>
      <c r="C3507" t="inlineStr">
        <is>
          <t>2018-04</t>
        </is>
      </c>
      <c r="D3507" t="inlineStr">
        <is>
          <t>SP</t>
        </is>
      </c>
      <c r="E3507" t="inlineStr">
        <is>
          <t>housewares</t>
        </is>
      </c>
      <c r="F3507" t="n">
        <v>2</v>
      </c>
      <c r="G3507" t="n">
        <v>69.8</v>
      </c>
      <c r="H3507" t="n">
        <v>34.52</v>
      </c>
      <c r="I3507" t="inlineStr">
        <is>
          <t>credit_card</t>
        </is>
      </c>
      <c r="J3507" t="n">
        <v>7</v>
      </c>
      <c r="K3507" t="inlineStr">
        <is>
          <t>On Time</t>
        </is>
      </c>
      <c r="L3507" t="n">
        <v>5</v>
      </c>
      <c r="M3507">
        <f>VLOOKUP(D3507,State_Lookup!$A$2:$B$28,2,FALSE)</f>
        <v/>
      </c>
    </row>
    <row r="3508">
      <c r="A3508" t="inlineStr">
        <is>
          <t>e34b841641aa07f65aedb6b71194a2e2</t>
        </is>
      </c>
      <c r="B3508" t="inlineStr">
        <is>
          <t>2018-04-12</t>
        </is>
      </c>
      <c r="C3508" t="inlineStr">
        <is>
          <t>2018-04</t>
        </is>
      </c>
      <c r="D3508" t="inlineStr">
        <is>
          <t>SP</t>
        </is>
      </c>
      <c r="E3508" t="inlineStr">
        <is>
          <t>furniture_decor</t>
        </is>
      </c>
      <c r="F3508" t="n">
        <v>1</v>
      </c>
      <c r="G3508" t="n">
        <v>129.05</v>
      </c>
      <c r="H3508" t="n">
        <v>19.87</v>
      </c>
      <c r="I3508" t="inlineStr">
        <is>
          <t>credit_card</t>
        </is>
      </c>
      <c r="J3508" t="n">
        <v>6</v>
      </c>
      <c r="K3508" t="inlineStr">
        <is>
          <t>On Time</t>
        </is>
      </c>
      <c r="L3508" t="n">
        <v>4</v>
      </c>
      <c r="M3508">
        <f>VLOOKUP(D3508,State_Lookup!$A$2:$B$28,2,FALSE)</f>
        <v/>
      </c>
    </row>
    <row r="3509">
      <c r="A3509" t="inlineStr">
        <is>
          <t>1852019948d9a47a6c035457a6f71410</t>
        </is>
      </c>
      <c r="B3509" t="inlineStr">
        <is>
          <t>2018-04-12</t>
        </is>
      </c>
      <c r="C3509" t="inlineStr">
        <is>
          <t>2018-04</t>
        </is>
      </c>
      <c r="D3509" t="inlineStr">
        <is>
          <t>SP</t>
        </is>
      </c>
      <c r="E3509" t="inlineStr">
        <is>
          <t>small_appliances</t>
        </is>
      </c>
      <c r="F3509" t="n">
        <v>2</v>
      </c>
      <c r="G3509" t="n">
        <v>59.68</v>
      </c>
      <c r="H3509" t="n">
        <v>28.86</v>
      </c>
      <c r="I3509" t="inlineStr">
        <is>
          <t>boleto</t>
        </is>
      </c>
      <c r="J3509" t="n">
        <v>6</v>
      </c>
      <c r="K3509" t="inlineStr">
        <is>
          <t>On Time</t>
        </is>
      </c>
      <c r="L3509" t="n">
        <v>5</v>
      </c>
      <c r="M3509">
        <f>VLOOKUP(D3509,State_Lookup!$A$2:$B$28,2,FALSE)</f>
        <v/>
      </c>
    </row>
    <row r="3510">
      <c r="A3510" t="inlineStr">
        <is>
          <t>a6044c1de1912da29cb76976738d1e2a</t>
        </is>
      </c>
      <c r="B3510" t="inlineStr">
        <is>
          <t>2018-04-12</t>
        </is>
      </c>
      <c r="C3510" t="inlineStr">
        <is>
          <t>2018-04</t>
        </is>
      </c>
      <c r="D3510" t="inlineStr">
        <is>
          <t>BA</t>
        </is>
      </c>
      <c r="E3510" t="inlineStr">
        <is>
          <t>watches_gifts</t>
        </is>
      </c>
      <c r="F3510" t="n">
        <v>1</v>
      </c>
      <c r="G3510" t="n">
        <v>50.99</v>
      </c>
      <c r="H3510" t="n">
        <v>22.07</v>
      </c>
      <c r="I3510" t="inlineStr">
        <is>
          <t>credit_card</t>
        </is>
      </c>
      <c r="J3510" t="n">
        <v>27</v>
      </c>
      <c r="K3510" t="inlineStr">
        <is>
          <t>On Time</t>
        </is>
      </c>
      <c r="L3510" t="n">
        <v>5</v>
      </c>
      <c r="M3510">
        <f>VLOOKUP(D3510,State_Lookup!$A$2:$B$28,2,FALSE)</f>
        <v/>
      </c>
    </row>
    <row r="3511">
      <c r="A3511" t="inlineStr">
        <is>
          <t>06f544e5c7afe6215b9e2a26b4f08442</t>
        </is>
      </c>
      <c r="B3511" t="inlineStr">
        <is>
          <t>2018-04-12</t>
        </is>
      </c>
      <c r="C3511" t="inlineStr">
        <is>
          <t>2018-04</t>
        </is>
      </c>
      <c r="D3511" t="inlineStr">
        <is>
          <t>GO</t>
        </is>
      </c>
      <c r="E3511" t="inlineStr">
        <is>
          <t>auto</t>
        </is>
      </c>
      <c r="F3511" t="n">
        <v>1</v>
      </c>
      <c r="G3511" t="n">
        <v>117.3</v>
      </c>
      <c r="H3511" t="n">
        <v>21.73</v>
      </c>
      <c r="I3511" t="inlineStr">
        <is>
          <t>credit_card</t>
        </is>
      </c>
      <c r="J3511" t="n">
        <v>12</v>
      </c>
      <c r="K3511" t="inlineStr">
        <is>
          <t>On Time</t>
        </is>
      </c>
      <c r="L3511" t="n">
        <v>5</v>
      </c>
      <c r="M3511">
        <f>VLOOKUP(D3511,State_Lookup!$A$2:$B$28,2,FALSE)</f>
        <v/>
      </c>
    </row>
    <row r="3512">
      <c r="A3512" t="inlineStr">
        <is>
          <t>d90f36f9fe6a2fda4bbc5498a14b81d6</t>
        </is>
      </c>
      <c r="B3512" t="inlineStr">
        <is>
          <t>2018-04-12</t>
        </is>
      </c>
      <c r="C3512" t="inlineStr">
        <is>
          <t>2018-04</t>
        </is>
      </c>
      <c r="D3512" t="inlineStr">
        <is>
          <t>SP</t>
        </is>
      </c>
      <c r="E3512" t="inlineStr">
        <is>
          <t>bed_bath_table</t>
        </is>
      </c>
      <c r="F3512" t="n">
        <v>1</v>
      </c>
      <c r="G3512" t="n">
        <v>179.9</v>
      </c>
      <c r="H3512" t="n">
        <v>18.17</v>
      </c>
      <c r="I3512" t="inlineStr">
        <is>
          <t>boleto</t>
        </is>
      </c>
      <c r="J3512" t="n">
        <v>6</v>
      </c>
      <c r="K3512" t="inlineStr">
        <is>
          <t>On Time</t>
        </is>
      </c>
      <c r="L3512" t="n">
        <v>5</v>
      </c>
      <c r="M3512">
        <f>VLOOKUP(D3512,State_Lookup!$A$2:$B$28,2,FALSE)</f>
        <v/>
      </c>
    </row>
    <row r="3513">
      <c r="A3513" t="inlineStr">
        <is>
          <t>cc9f137560ea711d7750050acf6c9ab3</t>
        </is>
      </c>
      <c r="B3513" t="inlineStr">
        <is>
          <t>2018-04-12</t>
        </is>
      </c>
      <c r="C3513" t="inlineStr">
        <is>
          <t>2018-04</t>
        </is>
      </c>
      <c r="D3513" t="inlineStr">
        <is>
          <t>RJ</t>
        </is>
      </c>
      <c r="E3513" t="inlineStr">
        <is>
          <t>unknown</t>
        </is>
      </c>
      <c r="F3513" t="n">
        <v>1</v>
      </c>
      <c r="G3513" t="n">
        <v>99.90000000000001</v>
      </c>
      <c r="H3513" t="n">
        <v>17.41</v>
      </c>
      <c r="I3513" t="inlineStr">
        <is>
          <t>debit_card</t>
        </is>
      </c>
      <c r="J3513" t="n">
        <v>27</v>
      </c>
      <c r="K3513" t="inlineStr">
        <is>
          <t>On Time</t>
        </is>
      </c>
      <c r="L3513" t="n">
        <v>5</v>
      </c>
      <c r="M3513">
        <f>VLOOKUP(D3513,State_Lookup!$A$2:$B$28,2,FALSE)</f>
        <v/>
      </c>
    </row>
    <row r="3514">
      <c r="A3514" t="inlineStr">
        <is>
          <t>7772d2a6ca50ce99296982433145582b</t>
        </is>
      </c>
      <c r="B3514" t="inlineStr">
        <is>
          <t>2018-04-12</t>
        </is>
      </c>
      <c r="C3514" t="inlineStr">
        <is>
          <t>2018-04</t>
        </is>
      </c>
      <c r="D3514" t="inlineStr">
        <is>
          <t>DF</t>
        </is>
      </c>
      <c r="E3514" t="inlineStr">
        <is>
          <t>books_technical</t>
        </is>
      </c>
      <c r="F3514" t="n">
        <v>1</v>
      </c>
      <c r="G3514" t="n">
        <v>39.9</v>
      </c>
      <c r="H3514" t="n">
        <v>15.23</v>
      </c>
      <c r="I3514" t="inlineStr">
        <is>
          <t>credit_card</t>
        </is>
      </c>
      <c r="J3514" t="n">
        <v>11</v>
      </c>
      <c r="K3514" t="inlineStr">
        <is>
          <t>On Time</t>
        </is>
      </c>
      <c r="L3514" t="n">
        <v>4</v>
      </c>
      <c r="M3514">
        <f>VLOOKUP(D3514,State_Lookup!$A$2:$B$28,2,FALSE)</f>
        <v/>
      </c>
    </row>
    <row r="3515">
      <c r="A3515" t="inlineStr">
        <is>
          <t>68126438e25973e9d716ab0e2485ae05</t>
        </is>
      </c>
      <c r="B3515" t="inlineStr">
        <is>
          <t>2018-04-12</t>
        </is>
      </c>
      <c r="C3515" t="inlineStr">
        <is>
          <t>2018-04</t>
        </is>
      </c>
      <c r="D3515" t="inlineStr">
        <is>
          <t>SP</t>
        </is>
      </c>
      <c r="E3515" t="inlineStr">
        <is>
          <t>sports_leisure</t>
        </is>
      </c>
      <c r="F3515" t="n">
        <v>1</v>
      </c>
      <c r="G3515" t="n">
        <v>16</v>
      </c>
      <c r="H3515" t="n">
        <v>12.79</v>
      </c>
      <c r="I3515" t="inlineStr">
        <is>
          <t>boleto</t>
        </is>
      </c>
      <c r="J3515" t="n">
        <v>11</v>
      </c>
      <c r="K3515" t="inlineStr">
        <is>
          <t>On Time</t>
        </is>
      </c>
      <c r="L3515" t="n">
        <v>4</v>
      </c>
      <c r="M3515">
        <f>VLOOKUP(D3515,State_Lookup!$A$2:$B$28,2,FALSE)</f>
        <v/>
      </c>
    </row>
    <row r="3516">
      <c r="A3516" t="inlineStr">
        <is>
          <t>66f249e4d7ab2f3872de7bd6d74719dd</t>
        </is>
      </c>
      <c r="B3516" t="inlineStr">
        <is>
          <t>2018-04-12</t>
        </is>
      </c>
      <c r="C3516" t="inlineStr">
        <is>
          <t>2018-04</t>
        </is>
      </c>
      <c r="D3516" t="inlineStr">
        <is>
          <t>GO</t>
        </is>
      </c>
      <c r="E3516" t="inlineStr">
        <is>
          <t>health_beauty</t>
        </is>
      </c>
      <c r="F3516" t="n">
        <v>1</v>
      </c>
      <c r="G3516" t="n">
        <v>330</v>
      </c>
      <c r="H3516" t="n">
        <v>18.77</v>
      </c>
      <c r="I3516" t="inlineStr">
        <is>
          <t>credit_card</t>
        </is>
      </c>
      <c r="J3516" t="n">
        <v>25</v>
      </c>
      <c r="K3516" t="inlineStr">
        <is>
          <t>On Time</t>
        </is>
      </c>
      <c r="L3516" t="n">
        <v>4</v>
      </c>
      <c r="M3516">
        <f>VLOOKUP(D3516,State_Lookup!$A$2:$B$28,2,FALSE)</f>
        <v/>
      </c>
    </row>
    <row r="3517">
      <c r="A3517" t="inlineStr">
        <is>
          <t>20400ea65a0eadb957f1fe55f3e1756a</t>
        </is>
      </c>
      <c r="B3517" t="inlineStr">
        <is>
          <t>2018-04-12</t>
        </is>
      </c>
      <c r="C3517" t="inlineStr">
        <is>
          <t>2018-04</t>
        </is>
      </c>
      <c r="D3517" t="inlineStr">
        <is>
          <t>SP</t>
        </is>
      </c>
      <c r="E3517" t="inlineStr">
        <is>
          <t>signaling_and_security</t>
        </is>
      </c>
      <c r="F3517" t="n">
        <v>1</v>
      </c>
      <c r="G3517" t="n">
        <v>17.1</v>
      </c>
      <c r="H3517" t="n">
        <v>12.79</v>
      </c>
      <c r="I3517" t="inlineStr">
        <is>
          <t>credit_card</t>
        </is>
      </c>
      <c r="J3517" t="n">
        <v>7</v>
      </c>
      <c r="K3517" t="inlineStr">
        <is>
          <t>On Time</t>
        </is>
      </c>
      <c r="L3517" t="n">
        <v>5</v>
      </c>
      <c r="M3517">
        <f>VLOOKUP(D3517,State_Lookup!$A$2:$B$28,2,FALSE)</f>
        <v/>
      </c>
    </row>
    <row r="3518">
      <c r="A3518" t="inlineStr">
        <is>
          <t>76de219e02a69e67c85ab229f27eee44</t>
        </is>
      </c>
      <c r="B3518" t="inlineStr">
        <is>
          <t>2018-04-12</t>
        </is>
      </c>
      <c r="C3518" t="inlineStr">
        <is>
          <t>2018-04</t>
        </is>
      </c>
      <c r="D3518" t="inlineStr">
        <is>
          <t>SP</t>
        </is>
      </c>
      <c r="E3518" t="inlineStr">
        <is>
          <t>toys</t>
        </is>
      </c>
      <c r="F3518" t="n">
        <v>1</v>
      </c>
      <c r="G3518" t="n">
        <v>42.9</v>
      </c>
      <c r="H3518" t="n">
        <v>9.44</v>
      </c>
      <c r="I3518" t="inlineStr">
        <is>
          <t>credit_card</t>
        </is>
      </c>
      <c r="J3518" t="n">
        <v>35</v>
      </c>
      <c r="K3518" t="inlineStr">
        <is>
          <t>Late</t>
        </is>
      </c>
      <c r="L3518" t="n">
        <v>3</v>
      </c>
      <c r="M3518">
        <f>VLOOKUP(D3518,State_Lookup!$A$2:$B$28,2,FALSE)</f>
        <v/>
      </c>
    </row>
    <row r="3519">
      <c r="A3519" t="inlineStr">
        <is>
          <t>9b3149eabe3d80fae592727f31f103dd</t>
        </is>
      </c>
      <c r="B3519" t="inlineStr">
        <is>
          <t>2018-04-12</t>
        </is>
      </c>
      <c r="C3519" t="inlineStr">
        <is>
          <t>2018-04</t>
        </is>
      </c>
      <c r="D3519" t="inlineStr">
        <is>
          <t>MG</t>
        </is>
      </c>
      <c r="E3519" t="inlineStr">
        <is>
          <t>perfumery</t>
        </is>
      </c>
      <c r="F3519" t="n">
        <v>1</v>
      </c>
      <c r="G3519" t="n">
        <v>117.7</v>
      </c>
      <c r="H3519" t="n">
        <v>18.7</v>
      </c>
      <c r="I3519" t="inlineStr">
        <is>
          <t>credit_card</t>
        </is>
      </c>
      <c r="J3519" t="n">
        <v>14</v>
      </c>
      <c r="K3519" t="inlineStr">
        <is>
          <t>On Time</t>
        </is>
      </c>
      <c r="L3519" t="n">
        <v>4</v>
      </c>
      <c r="M3519">
        <f>VLOOKUP(D3519,State_Lookup!$A$2:$B$28,2,FALSE)</f>
        <v/>
      </c>
    </row>
    <row r="3520">
      <c r="A3520" t="inlineStr">
        <is>
          <t>ba13f88bc48228019bdb212741534045</t>
        </is>
      </c>
      <c r="B3520" t="inlineStr">
        <is>
          <t>2018-04-12</t>
        </is>
      </c>
      <c r="C3520" t="inlineStr">
        <is>
          <t>2018-04</t>
        </is>
      </c>
      <c r="D3520" t="inlineStr">
        <is>
          <t>PB</t>
        </is>
      </c>
      <c r="E3520" t="inlineStr">
        <is>
          <t>telephony</t>
        </is>
      </c>
      <c r="F3520" t="n">
        <v>1</v>
      </c>
      <c r="G3520" t="n">
        <v>39.99</v>
      </c>
      <c r="H3520" t="n">
        <v>22.85</v>
      </c>
      <c r="I3520" t="inlineStr">
        <is>
          <t>credit_card</t>
        </is>
      </c>
      <c r="J3520" t="n">
        <v>25</v>
      </c>
      <c r="K3520" t="inlineStr">
        <is>
          <t>On Time</t>
        </is>
      </c>
      <c r="L3520" t="n">
        <v>4</v>
      </c>
      <c r="M3520">
        <f>VLOOKUP(D3520,State_Lookup!$A$2:$B$28,2,FALSE)</f>
        <v/>
      </c>
    </row>
    <row r="3521">
      <c r="A3521" t="inlineStr">
        <is>
          <t>91b429393d223b94094f2b7671a634b9</t>
        </is>
      </c>
      <c r="B3521" t="inlineStr">
        <is>
          <t>2018-04-12</t>
        </is>
      </c>
      <c r="C3521" t="inlineStr">
        <is>
          <t>2018-04</t>
        </is>
      </c>
      <c r="D3521" t="inlineStr">
        <is>
          <t>RJ</t>
        </is>
      </c>
      <c r="E3521" t="inlineStr">
        <is>
          <t>bed_bath_table</t>
        </is>
      </c>
      <c r="F3521" t="n">
        <v>1</v>
      </c>
      <c r="G3521" t="n">
        <v>49.9</v>
      </c>
      <c r="H3521" t="n">
        <v>19.32</v>
      </c>
      <c r="I3521" t="inlineStr">
        <is>
          <t>boleto</t>
        </is>
      </c>
      <c r="J3521" t="n">
        <v>14</v>
      </c>
      <c r="K3521" t="inlineStr">
        <is>
          <t>On Time</t>
        </is>
      </c>
      <c r="L3521" t="n">
        <v>5</v>
      </c>
      <c r="M3521">
        <f>VLOOKUP(D3521,State_Lookup!$A$2:$B$28,2,FALSE)</f>
        <v/>
      </c>
    </row>
    <row r="3522">
      <c r="A3522" t="inlineStr">
        <is>
          <t>6a2928ab4a049ae96aef70dd00d5756e</t>
        </is>
      </c>
      <c r="B3522" t="inlineStr">
        <is>
          <t>2018-04-13</t>
        </is>
      </c>
      <c r="C3522" t="inlineStr">
        <is>
          <t>2018-04</t>
        </is>
      </c>
      <c r="D3522" t="inlineStr">
        <is>
          <t>RJ</t>
        </is>
      </c>
      <c r="E3522" t="inlineStr">
        <is>
          <t>cool_stuff</t>
        </is>
      </c>
      <c r="F3522" t="n">
        <v>1</v>
      </c>
      <c r="G3522" t="n">
        <v>133.05</v>
      </c>
      <c r="H3522" t="n">
        <v>15.81</v>
      </c>
      <c r="I3522" t="inlineStr">
        <is>
          <t>credit_card</t>
        </is>
      </c>
      <c r="J3522" t="n">
        <v>19</v>
      </c>
      <c r="K3522" t="inlineStr">
        <is>
          <t>On Time</t>
        </is>
      </c>
      <c r="L3522" t="n">
        <v>4</v>
      </c>
      <c r="M3522">
        <f>VLOOKUP(D3522,State_Lookup!$A$2:$B$28,2,FALSE)</f>
        <v/>
      </c>
    </row>
    <row r="3523">
      <c r="A3523" t="inlineStr">
        <is>
          <t>e9ed35393653f0ebbc1d792ba5ed1447</t>
        </is>
      </c>
      <c r="B3523" t="inlineStr">
        <is>
          <t>2018-04-13</t>
        </is>
      </c>
      <c r="C3523" t="inlineStr">
        <is>
          <t>2018-04</t>
        </is>
      </c>
      <c r="D3523" t="inlineStr">
        <is>
          <t>SP</t>
        </is>
      </c>
      <c r="E3523" t="inlineStr">
        <is>
          <t>pet_shop</t>
        </is>
      </c>
      <c r="F3523" t="n">
        <v>1</v>
      </c>
      <c r="G3523" t="n">
        <v>197</v>
      </c>
      <c r="H3523" t="n">
        <v>19.26</v>
      </c>
      <c r="I3523" t="inlineStr">
        <is>
          <t>credit_card</t>
        </is>
      </c>
      <c r="J3523" t="n">
        <v>12</v>
      </c>
      <c r="K3523" t="inlineStr">
        <is>
          <t>On Time</t>
        </is>
      </c>
      <c r="L3523" t="n">
        <v>5</v>
      </c>
      <c r="M3523">
        <f>VLOOKUP(D3523,State_Lookup!$A$2:$B$28,2,FALSE)</f>
        <v/>
      </c>
    </row>
    <row r="3524">
      <c r="A3524" t="inlineStr">
        <is>
          <t>2228de938a229c135ae3bd0bf71a128c</t>
        </is>
      </c>
      <c r="B3524" t="inlineStr">
        <is>
          <t>2018-04-13</t>
        </is>
      </c>
      <c r="C3524" t="inlineStr">
        <is>
          <t>2018-04</t>
        </is>
      </c>
      <c r="D3524" t="inlineStr">
        <is>
          <t>RS</t>
        </is>
      </c>
      <c r="E3524" t="inlineStr">
        <is>
          <t>cool_stuff</t>
        </is>
      </c>
      <c r="F3524" t="n">
        <v>1</v>
      </c>
      <c r="G3524" t="n">
        <v>148</v>
      </c>
      <c r="H3524" t="n">
        <v>17.59</v>
      </c>
      <c r="I3524" t="inlineStr">
        <is>
          <t>boleto</t>
        </is>
      </c>
      <c r="J3524" t="n">
        <v>14</v>
      </c>
      <c r="K3524" t="inlineStr">
        <is>
          <t>On Time</t>
        </is>
      </c>
      <c r="L3524" t="n">
        <v>5</v>
      </c>
      <c r="M3524">
        <f>VLOOKUP(D3524,State_Lookup!$A$2:$B$28,2,FALSE)</f>
        <v/>
      </c>
    </row>
    <row r="3525">
      <c r="A3525" t="inlineStr">
        <is>
          <t>5065c673bd9aed56b2628c56c93d0619</t>
        </is>
      </c>
      <c r="B3525" t="inlineStr">
        <is>
          <t>2018-04-13</t>
        </is>
      </c>
      <c r="C3525" t="inlineStr">
        <is>
          <t>2018-04</t>
        </is>
      </c>
      <c r="D3525" t="inlineStr">
        <is>
          <t>RS</t>
        </is>
      </c>
      <c r="E3525" t="inlineStr">
        <is>
          <t>toys</t>
        </is>
      </c>
      <c r="F3525" t="n">
        <v>1</v>
      </c>
      <c r="G3525" t="n">
        <v>58.5</v>
      </c>
      <c r="H3525" t="n">
        <v>22.99</v>
      </c>
      <c r="I3525" t="inlineStr">
        <is>
          <t>voucher</t>
        </is>
      </c>
      <c r="J3525" t="n">
        <v>19</v>
      </c>
      <c r="K3525" t="inlineStr">
        <is>
          <t>On Time</t>
        </is>
      </c>
      <c r="L3525" t="n">
        <v>5</v>
      </c>
      <c r="M3525">
        <f>VLOOKUP(D3525,State_Lookup!$A$2:$B$28,2,FALSE)</f>
        <v/>
      </c>
    </row>
    <row r="3526">
      <c r="A3526" t="inlineStr">
        <is>
          <t>c92ef068e2628ab736ea295a7d536c7d</t>
        </is>
      </c>
      <c r="B3526" t="inlineStr">
        <is>
          <t>2018-04-14</t>
        </is>
      </c>
      <c r="C3526" t="inlineStr">
        <is>
          <t>2018-04</t>
        </is>
      </c>
      <c r="D3526" t="inlineStr">
        <is>
          <t>MG</t>
        </is>
      </c>
      <c r="E3526" t="inlineStr">
        <is>
          <t>office_furniture</t>
        </is>
      </c>
      <c r="F3526" t="n">
        <v>1</v>
      </c>
      <c r="G3526" t="n">
        <v>169.99</v>
      </c>
      <c r="H3526" t="n">
        <v>62.83</v>
      </c>
      <c r="I3526" t="inlineStr">
        <is>
          <t>boleto</t>
        </is>
      </c>
      <c r="J3526" t="n">
        <v>31</v>
      </c>
      <c r="K3526" t="inlineStr">
        <is>
          <t>On Time</t>
        </is>
      </c>
      <c r="L3526" t="n">
        <v>3</v>
      </c>
      <c r="M3526">
        <f>VLOOKUP(D3526,State_Lookup!$A$2:$B$28,2,FALSE)</f>
        <v/>
      </c>
    </row>
    <row r="3527">
      <c r="A3527" t="inlineStr">
        <is>
          <t>0392299d0f8bdd68d559aff77bf44bab</t>
        </is>
      </c>
      <c r="B3527" t="inlineStr">
        <is>
          <t>2018-04-14</t>
        </is>
      </c>
      <c r="C3527" t="inlineStr">
        <is>
          <t>2018-04</t>
        </is>
      </c>
      <c r="D3527" t="inlineStr">
        <is>
          <t>BA</t>
        </is>
      </c>
      <c r="E3527" t="inlineStr">
        <is>
          <t>sports_leisure</t>
        </is>
      </c>
      <c r="F3527" t="n">
        <v>1</v>
      </c>
      <c r="G3527" t="n">
        <v>122.99</v>
      </c>
      <c r="H3527" t="n">
        <v>22.57</v>
      </c>
      <c r="I3527" t="inlineStr">
        <is>
          <t>credit_card</t>
        </is>
      </c>
      <c r="J3527" t="n">
        <v>26</v>
      </c>
      <c r="K3527" t="inlineStr">
        <is>
          <t>On Time</t>
        </is>
      </c>
      <c r="L3527" t="n">
        <v>3</v>
      </c>
      <c r="M3527">
        <f>VLOOKUP(D3527,State_Lookup!$A$2:$B$28,2,FALSE)</f>
        <v/>
      </c>
    </row>
    <row r="3528">
      <c r="A3528" t="inlineStr">
        <is>
          <t>c1fbc7155ea9f5c6249e998ab25708a6</t>
        </is>
      </c>
      <c r="B3528" t="inlineStr">
        <is>
          <t>2018-04-14</t>
        </is>
      </c>
      <c r="C3528" t="inlineStr">
        <is>
          <t>2018-04</t>
        </is>
      </c>
      <c r="D3528" t="inlineStr">
        <is>
          <t>SP</t>
        </is>
      </c>
      <c r="E3528" t="inlineStr">
        <is>
          <t>housewares</t>
        </is>
      </c>
      <c r="F3528" t="n">
        <v>1</v>
      </c>
      <c r="G3528" t="n">
        <v>99.5</v>
      </c>
      <c r="H3528" t="n">
        <v>14.06</v>
      </c>
      <c r="I3528" t="inlineStr">
        <is>
          <t>credit_card</t>
        </is>
      </c>
      <c r="J3528" t="n">
        <v>6</v>
      </c>
      <c r="K3528" t="inlineStr">
        <is>
          <t>On Time</t>
        </is>
      </c>
      <c r="L3528" t="n">
        <v>5</v>
      </c>
      <c r="M3528">
        <f>VLOOKUP(D3528,State_Lookup!$A$2:$B$28,2,FALSE)</f>
        <v/>
      </c>
    </row>
    <row r="3529">
      <c r="A3529" t="inlineStr">
        <is>
          <t>9211ad9b7860612a689053307f1de3e7</t>
        </is>
      </c>
      <c r="B3529" t="inlineStr">
        <is>
          <t>2018-04-14</t>
        </is>
      </c>
      <c r="C3529" t="inlineStr">
        <is>
          <t>2018-04</t>
        </is>
      </c>
      <c r="D3529" t="inlineStr">
        <is>
          <t>RJ</t>
        </is>
      </c>
      <c r="E3529" t="inlineStr">
        <is>
          <t>garden_tools</t>
        </is>
      </c>
      <c r="F3529" t="n">
        <v>1</v>
      </c>
      <c r="G3529" t="n">
        <v>53.9</v>
      </c>
      <c r="H3529" t="n">
        <v>21.35</v>
      </c>
      <c r="I3529" t="inlineStr">
        <is>
          <t>boleto</t>
        </is>
      </c>
      <c r="J3529" t="n">
        <v>20</v>
      </c>
      <c r="K3529" t="inlineStr">
        <is>
          <t>On Time</t>
        </is>
      </c>
      <c r="L3529" t="n">
        <v>5</v>
      </c>
      <c r="M3529">
        <f>VLOOKUP(D3529,State_Lookup!$A$2:$B$28,2,FALSE)</f>
        <v/>
      </c>
    </row>
    <row r="3530">
      <c r="A3530" t="inlineStr">
        <is>
          <t>638ed9beae45e801ece6dacd6767bcab</t>
        </is>
      </c>
      <c r="B3530" t="inlineStr">
        <is>
          <t>2018-04-15</t>
        </is>
      </c>
      <c r="C3530" t="inlineStr">
        <is>
          <t>2018-04</t>
        </is>
      </c>
      <c r="D3530" t="inlineStr">
        <is>
          <t>RJ</t>
        </is>
      </c>
      <c r="E3530" t="inlineStr">
        <is>
          <t>telephony</t>
        </is>
      </c>
      <c r="F3530" t="n">
        <v>1</v>
      </c>
      <c r="G3530" t="n">
        <v>29.99</v>
      </c>
      <c r="H3530" t="n">
        <v>15.23</v>
      </c>
      <c r="I3530" t="inlineStr">
        <is>
          <t>voucher</t>
        </is>
      </c>
      <c r="J3530" t="n">
        <v>5</v>
      </c>
      <c r="K3530" t="inlineStr">
        <is>
          <t>On Time</t>
        </is>
      </c>
      <c r="L3530" t="n">
        <v>5</v>
      </c>
      <c r="M3530">
        <f>VLOOKUP(D3530,State_Lookup!$A$2:$B$28,2,FALSE)</f>
        <v/>
      </c>
    </row>
    <row r="3531">
      <c r="A3531" t="inlineStr">
        <is>
          <t>1c11b1c44ff1f6059f4fdf48bacf3e82</t>
        </is>
      </c>
      <c r="B3531" t="inlineStr">
        <is>
          <t>2018-04-15</t>
        </is>
      </c>
      <c r="C3531" t="inlineStr">
        <is>
          <t>2018-04</t>
        </is>
      </c>
      <c r="D3531" t="inlineStr">
        <is>
          <t>SP</t>
        </is>
      </c>
      <c r="E3531" t="inlineStr">
        <is>
          <t>electronics</t>
        </is>
      </c>
      <c r="F3531" t="n">
        <v>1</v>
      </c>
      <c r="G3531" t="n">
        <v>12.9</v>
      </c>
      <c r="H3531" t="n">
        <v>7.39</v>
      </c>
      <c r="I3531" t="inlineStr">
        <is>
          <t>credit_card</t>
        </is>
      </c>
      <c r="J3531" t="n">
        <v>2</v>
      </c>
      <c r="K3531" t="inlineStr">
        <is>
          <t>On Time</t>
        </is>
      </c>
      <c r="L3531" t="n">
        <v>3</v>
      </c>
      <c r="M3531">
        <f>VLOOKUP(D3531,State_Lookup!$A$2:$B$28,2,FALSE)</f>
        <v/>
      </c>
    </row>
    <row r="3532">
      <c r="A3532" t="inlineStr">
        <is>
          <t>5bf9c5ac7dfc2d9cc6911038a0864fbf</t>
        </is>
      </c>
      <c r="B3532" t="inlineStr">
        <is>
          <t>2018-04-15</t>
        </is>
      </c>
      <c r="C3532" t="inlineStr">
        <is>
          <t>2018-04</t>
        </is>
      </c>
      <c r="D3532" t="inlineStr">
        <is>
          <t>SP</t>
        </is>
      </c>
      <c r="E3532" t="inlineStr">
        <is>
          <t>industry_commerce_and_business</t>
        </is>
      </c>
      <c r="F3532" t="n">
        <v>1</v>
      </c>
      <c r="G3532" t="n">
        <v>120</v>
      </c>
      <c r="H3532" t="n">
        <v>34.38</v>
      </c>
      <c r="I3532" t="inlineStr">
        <is>
          <t>credit_card</t>
        </is>
      </c>
      <c r="J3532" t="n">
        <v>14</v>
      </c>
      <c r="K3532" t="inlineStr">
        <is>
          <t>On Time</t>
        </is>
      </c>
      <c r="L3532" t="n">
        <v>5</v>
      </c>
      <c r="M3532">
        <f>VLOOKUP(D3532,State_Lookup!$A$2:$B$28,2,FALSE)</f>
        <v/>
      </c>
    </row>
    <row r="3533">
      <c r="A3533" t="inlineStr">
        <is>
          <t>1f4b51173e5abe491422314a94e7363c</t>
        </is>
      </c>
      <c r="B3533" t="inlineStr">
        <is>
          <t>2018-04-15</t>
        </is>
      </c>
      <c r="C3533" t="inlineStr">
        <is>
          <t>2018-04</t>
        </is>
      </c>
      <c r="D3533" t="inlineStr">
        <is>
          <t>SP</t>
        </is>
      </c>
      <c r="E3533" t="inlineStr">
        <is>
          <t>stationery</t>
        </is>
      </c>
      <c r="F3533" t="n">
        <v>1</v>
      </c>
      <c r="G3533" t="n">
        <v>129</v>
      </c>
      <c r="H3533" t="n">
        <v>14.99</v>
      </c>
      <c r="I3533" t="inlineStr">
        <is>
          <t>credit_card</t>
        </is>
      </c>
      <c r="J3533" t="n">
        <v>9</v>
      </c>
      <c r="K3533" t="inlineStr">
        <is>
          <t>On Time</t>
        </is>
      </c>
      <c r="L3533" t="n">
        <v>5</v>
      </c>
      <c r="M3533">
        <f>VLOOKUP(D3533,State_Lookup!$A$2:$B$28,2,FALSE)</f>
        <v/>
      </c>
    </row>
    <row r="3534">
      <c r="A3534" t="inlineStr">
        <is>
          <t>fb1a2a1296f822405a946cbdfc0d3ed6</t>
        </is>
      </c>
      <c r="B3534" t="inlineStr">
        <is>
          <t>2018-04-15</t>
        </is>
      </c>
      <c r="C3534" t="inlineStr">
        <is>
          <t>2018-04</t>
        </is>
      </c>
      <c r="D3534" t="inlineStr">
        <is>
          <t>SP</t>
        </is>
      </c>
      <c r="E3534" t="inlineStr">
        <is>
          <t>bed_bath_table</t>
        </is>
      </c>
      <c r="F3534" t="n">
        <v>1</v>
      </c>
      <c r="G3534" t="n">
        <v>21.99</v>
      </c>
      <c r="H3534" t="n">
        <v>12.79</v>
      </c>
      <c r="I3534" t="inlineStr">
        <is>
          <t>credit_card</t>
        </is>
      </c>
      <c r="J3534" t="n">
        <v>10</v>
      </c>
      <c r="K3534" t="inlineStr">
        <is>
          <t>On Time</t>
        </is>
      </c>
      <c r="L3534" t="n">
        <v>3</v>
      </c>
      <c r="M3534">
        <f>VLOOKUP(D3534,State_Lookup!$A$2:$B$28,2,FALSE)</f>
        <v/>
      </c>
    </row>
    <row r="3535">
      <c r="A3535" t="inlineStr">
        <is>
          <t>e96a4c3bfb4afc0cb895a76f5ba0440b</t>
        </is>
      </c>
      <c r="B3535" t="inlineStr">
        <is>
          <t>2018-04-15</t>
        </is>
      </c>
      <c r="C3535" t="inlineStr">
        <is>
          <t>2018-04</t>
        </is>
      </c>
      <c r="D3535" t="inlineStr">
        <is>
          <t>SP</t>
        </is>
      </c>
      <c r="E3535" t="inlineStr">
        <is>
          <t>health_beauty</t>
        </is>
      </c>
      <c r="F3535" t="n">
        <v>1</v>
      </c>
      <c r="G3535" t="n">
        <v>53.99</v>
      </c>
      <c r="H3535" t="n">
        <v>7.39</v>
      </c>
      <c r="I3535" t="inlineStr">
        <is>
          <t>credit_card</t>
        </is>
      </c>
      <c r="J3535" t="n">
        <v>4</v>
      </c>
      <c r="K3535" t="inlineStr">
        <is>
          <t>On Time</t>
        </is>
      </c>
      <c r="L3535" t="n">
        <v>5</v>
      </c>
      <c r="M3535">
        <f>VLOOKUP(D3535,State_Lookup!$A$2:$B$28,2,FALSE)</f>
        <v/>
      </c>
    </row>
    <row r="3536">
      <c r="A3536" t="inlineStr">
        <is>
          <t>5956fa21016f2b556a3959ff5aea8536</t>
        </is>
      </c>
      <c r="B3536" t="inlineStr">
        <is>
          <t>2018-04-15</t>
        </is>
      </c>
      <c r="C3536" t="inlineStr">
        <is>
          <t>2018-04</t>
        </is>
      </c>
      <c r="D3536" t="inlineStr">
        <is>
          <t>SP</t>
        </is>
      </c>
      <c r="E3536" t="inlineStr">
        <is>
          <t>toys</t>
        </is>
      </c>
      <c r="F3536" t="n">
        <v>1</v>
      </c>
      <c r="G3536" t="n">
        <v>126.79</v>
      </c>
      <c r="H3536" t="n">
        <v>33.75</v>
      </c>
      <c r="I3536" t="inlineStr">
        <is>
          <t>credit_card</t>
        </is>
      </c>
      <c r="J3536" t="n">
        <v>11</v>
      </c>
      <c r="K3536" t="inlineStr">
        <is>
          <t>On Time</t>
        </is>
      </c>
      <c r="L3536" t="n">
        <v>3</v>
      </c>
      <c r="M3536">
        <f>VLOOKUP(D3536,State_Lookup!$A$2:$B$28,2,FALSE)</f>
        <v/>
      </c>
    </row>
    <row r="3537">
      <c r="A3537" t="inlineStr">
        <is>
          <t>1cc2afbca351a1423aeb95bd67821271</t>
        </is>
      </c>
      <c r="B3537" t="inlineStr">
        <is>
          <t>2018-04-15</t>
        </is>
      </c>
      <c r="C3537" t="inlineStr">
        <is>
          <t>2018-04</t>
        </is>
      </c>
      <c r="D3537" t="inlineStr">
        <is>
          <t>SP</t>
        </is>
      </c>
      <c r="E3537" t="inlineStr">
        <is>
          <t>bed_bath_table</t>
        </is>
      </c>
      <c r="F3537" t="n">
        <v>1</v>
      </c>
      <c r="G3537" t="n">
        <v>199.9</v>
      </c>
      <c r="H3537" t="n">
        <v>14.87</v>
      </c>
      <c r="I3537" t="inlineStr">
        <is>
          <t>credit_card</t>
        </is>
      </c>
      <c r="J3537" t="n">
        <v>3</v>
      </c>
      <c r="K3537" t="inlineStr">
        <is>
          <t>On Time</t>
        </is>
      </c>
      <c r="L3537" t="n">
        <v>5</v>
      </c>
      <c r="M3537">
        <f>VLOOKUP(D3537,State_Lookup!$A$2:$B$28,2,FALSE)</f>
        <v/>
      </c>
    </row>
    <row r="3538">
      <c r="A3538" t="inlineStr">
        <is>
          <t>cea9ccd3a54929b9d68abbcdc75daed9</t>
        </is>
      </c>
      <c r="B3538" t="inlineStr">
        <is>
          <t>2018-04-15</t>
        </is>
      </c>
      <c r="C3538" t="inlineStr">
        <is>
          <t>2018-04</t>
        </is>
      </c>
      <c r="D3538" t="inlineStr">
        <is>
          <t>PR</t>
        </is>
      </c>
      <c r="E3538" t="inlineStr">
        <is>
          <t>stationery</t>
        </is>
      </c>
      <c r="F3538" t="n">
        <v>1</v>
      </c>
      <c r="G3538" t="n">
        <v>395.6</v>
      </c>
      <c r="H3538" t="n">
        <v>41.76</v>
      </c>
      <c r="I3538" t="inlineStr">
        <is>
          <t>credit_card</t>
        </is>
      </c>
      <c r="J3538" t="n">
        <v>9</v>
      </c>
      <c r="K3538" t="inlineStr">
        <is>
          <t>On Time</t>
        </is>
      </c>
      <c r="L3538" t="n">
        <v>5</v>
      </c>
      <c r="M3538">
        <f>VLOOKUP(D3538,State_Lookup!$A$2:$B$28,2,FALSE)</f>
        <v/>
      </c>
    </row>
    <row r="3539">
      <c r="A3539" t="inlineStr">
        <is>
          <t>911022dc32144d6899afd62e7fe0734e</t>
        </is>
      </c>
      <c r="B3539" t="inlineStr">
        <is>
          <t>2018-04-15</t>
        </is>
      </c>
      <c r="C3539" t="inlineStr">
        <is>
          <t>2018-04</t>
        </is>
      </c>
      <c r="D3539" t="inlineStr">
        <is>
          <t>MG</t>
        </is>
      </c>
      <c r="E3539" t="inlineStr">
        <is>
          <t>furniture_decor</t>
        </is>
      </c>
      <c r="F3539" t="n">
        <v>1</v>
      </c>
      <c r="G3539" t="n">
        <v>84.65000000000001</v>
      </c>
      <c r="H3539" t="n">
        <v>7.78</v>
      </c>
      <c r="I3539" t="inlineStr">
        <is>
          <t>credit_card</t>
        </is>
      </c>
      <c r="J3539" t="n">
        <v>4</v>
      </c>
      <c r="K3539" t="inlineStr">
        <is>
          <t>On Time</t>
        </is>
      </c>
      <c r="L3539" t="n">
        <v>5</v>
      </c>
      <c r="M3539">
        <f>VLOOKUP(D3539,State_Lookup!$A$2:$B$28,2,FALSE)</f>
        <v/>
      </c>
    </row>
    <row r="3540">
      <c r="A3540" t="inlineStr">
        <is>
          <t>065b60cb1eb8ac3e010b81d60ab6a5a7</t>
        </is>
      </c>
      <c r="B3540" t="inlineStr">
        <is>
          <t>2018-04-15</t>
        </is>
      </c>
      <c r="C3540" t="inlineStr">
        <is>
          <t>2018-04</t>
        </is>
      </c>
      <c r="D3540" t="inlineStr">
        <is>
          <t>SP</t>
        </is>
      </c>
      <c r="E3540" t="inlineStr">
        <is>
          <t>bed_bath_table</t>
        </is>
      </c>
      <c r="F3540" t="n">
        <v>1</v>
      </c>
      <c r="G3540" t="n">
        <v>189.9</v>
      </c>
      <c r="H3540" t="n">
        <v>13.23</v>
      </c>
      <c r="I3540" t="inlineStr">
        <is>
          <t>credit_card</t>
        </is>
      </c>
      <c r="J3540" t="n">
        <v>2</v>
      </c>
      <c r="K3540" t="inlineStr">
        <is>
          <t>On Time</t>
        </is>
      </c>
      <c r="L3540" t="n">
        <v>5</v>
      </c>
      <c r="M3540">
        <f>VLOOKUP(D3540,State_Lookup!$A$2:$B$28,2,FALSE)</f>
        <v/>
      </c>
    </row>
    <row r="3541">
      <c r="A3541" t="inlineStr">
        <is>
          <t>e0316057201638c364f3f54c86eebdcf</t>
        </is>
      </c>
      <c r="B3541" t="inlineStr">
        <is>
          <t>2018-04-16</t>
        </is>
      </c>
      <c r="C3541" t="inlineStr">
        <is>
          <t>2018-04</t>
        </is>
      </c>
      <c r="D3541" t="inlineStr">
        <is>
          <t>SP</t>
        </is>
      </c>
      <c r="E3541" t="inlineStr">
        <is>
          <t>auto</t>
        </is>
      </c>
      <c r="F3541" t="n">
        <v>1</v>
      </c>
      <c r="G3541" t="n">
        <v>19</v>
      </c>
      <c r="H3541" t="n">
        <v>7.39</v>
      </c>
      <c r="I3541" t="inlineStr">
        <is>
          <t>credit_card</t>
        </is>
      </c>
      <c r="J3541" t="n">
        <v>2</v>
      </c>
      <c r="K3541" t="inlineStr">
        <is>
          <t>On Time</t>
        </is>
      </c>
      <c r="L3541" t="n">
        <v>5</v>
      </c>
      <c r="M3541">
        <f>VLOOKUP(D3541,State_Lookup!$A$2:$B$28,2,FALSE)</f>
        <v/>
      </c>
    </row>
    <row r="3542">
      <c r="A3542" t="inlineStr">
        <is>
          <t>9b93d7e3492173e52be4e40470dd5d59</t>
        </is>
      </c>
      <c r="B3542" t="inlineStr">
        <is>
          <t>2018-04-16</t>
        </is>
      </c>
      <c r="C3542" t="inlineStr">
        <is>
          <t>2018-04</t>
        </is>
      </c>
      <c r="D3542" t="inlineStr">
        <is>
          <t>PE</t>
        </is>
      </c>
      <c r="E3542" t="inlineStr">
        <is>
          <t>computers_accessories</t>
        </is>
      </c>
      <c r="F3542" t="n">
        <v>1</v>
      </c>
      <c r="G3542" t="n">
        <v>119</v>
      </c>
      <c r="H3542" t="n">
        <v>97.72</v>
      </c>
      <c r="I3542" t="inlineStr">
        <is>
          <t>boleto</t>
        </is>
      </c>
      <c r="J3542" t="n">
        <v>9</v>
      </c>
      <c r="K3542" t="inlineStr">
        <is>
          <t>On Time</t>
        </is>
      </c>
      <c r="L3542" t="n">
        <v>5</v>
      </c>
      <c r="M3542">
        <f>VLOOKUP(D3542,State_Lookup!$A$2:$B$28,2,FALSE)</f>
        <v/>
      </c>
    </row>
    <row r="3543">
      <c r="A3543" t="inlineStr">
        <is>
          <t>3d505913f0e487f72d47fa0813d00222</t>
        </is>
      </c>
      <c r="B3543" t="inlineStr">
        <is>
          <t>2018-04-16</t>
        </is>
      </c>
      <c r="C3543" t="inlineStr">
        <is>
          <t>2018-04</t>
        </is>
      </c>
      <c r="D3543" t="inlineStr">
        <is>
          <t>GO</t>
        </is>
      </c>
      <c r="E3543" t="inlineStr">
        <is>
          <t>home_appliances</t>
        </is>
      </c>
      <c r="F3543" t="n">
        <v>1</v>
      </c>
      <c r="G3543" t="n">
        <v>39</v>
      </c>
      <c r="H3543" t="n">
        <v>22.93</v>
      </c>
      <c r="I3543" t="inlineStr">
        <is>
          <t>credit_card</t>
        </is>
      </c>
      <c r="J3543" t="n">
        <v>16</v>
      </c>
      <c r="K3543" t="inlineStr">
        <is>
          <t>On Time</t>
        </is>
      </c>
      <c r="L3543" t="n">
        <v>5</v>
      </c>
      <c r="M3543">
        <f>VLOOKUP(D3543,State_Lookup!$A$2:$B$28,2,FALSE)</f>
        <v/>
      </c>
    </row>
    <row r="3544">
      <c r="A3544" t="inlineStr">
        <is>
          <t>b9d8b4ec472a40d54e329cc366627cba</t>
        </is>
      </c>
      <c r="B3544" t="inlineStr">
        <is>
          <t>2018-04-16</t>
        </is>
      </c>
      <c r="C3544" t="inlineStr">
        <is>
          <t>2018-04</t>
        </is>
      </c>
      <c r="D3544" t="inlineStr">
        <is>
          <t>SP</t>
        </is>
      </c>
      <c r="E3544" t="inlineStr">
        <is>
          <t>computers_accessories</t>
        </is>
      </c>
      <c r="F3544" t="n">
        <v>1</v>
      </c>
      <c r="G3544" t="n">
        <v>129</v>
      </c>
      <c r="H3544" t="n">
        <v>15.78</v>
      </c>
      <c r="I3544" t="inlineStr">
        <is>
          <t>boleto</t>
        </is>
      </c>
      <c r="J3544" t="n">
        <v>7</v>
      </c>
      <c r="K3544" t="inlineStr">
        <is>
          <t>On Time</t>
        </is>
      </c>
      <c r="L3544" t="n">
        <v>4</v>
      </c>
      <c r="M3544">
        <f>VLOOKUP(D3544,State_Lookup!$A$2:$B$28,2,FALSE)</f>
        <v/>
      </c>
    </row>
    <row r="3545">
      <c r="A3545" t="inlineStr">
        <is>
          <t>0fa61e1ac47c12200902e1f9d6b0e6ad</t>
        </is>
      </c>
      <c r="B3545" t="inlineStr">
        <is>
          <t>2018-04-16</t>
        </is>
      </c>
      <c r="C3545" t="inlineStr">
        <is>
          <t>2018-04</t>
        </is>
      </c>
      <c r="D3545" t="inlineStr">
        <is>
          <t>SP</t>
        </is>
      </c>
      <c r="E3545" t="inlineStr">
        <is>
          <t>luggage_accessories</t>
        </is>
      </c>
      <c r="F3545" t="n">
        <v>2</v>
      </c>
      <c r="G3545" t="n">
        <v>99.98</v>
      </c>
      <c r="H3545" t="n">
        <v>27.42</v>
      </c>
      <c r="I3545" t="inlineStr">
        <is>
          <t>credit_card</t>
        </is>
      </c>
      <c r="J3545" t="n">
        <v>3</v>
      </c>
      <c r="K3545" t="inlineStr">
        <is>
          <t>On Time</t>
        </is>
      </c>
      <c r="L3545" t="n">
        <v>1</v>
      </c>
      <c r="M3545">
        <f>VLOOKUP(D3545,State_Lookup!$A$2:$B$28,2,FALSE)</f>
        <v/>
      </c>
    </row>
    <row r="3546">
      <c r="A3546" t="inlineStr">
        <is>
          <t>801ad870fbcdfae41bd492be8976cbc2</t>
        </is>
      </c>
      <c r="B3546" t="inlineStr">
        <is>
          <t>2018-04-16</t>
        </is>
      </c>
      <c r="C3546" t="inlineStr">
        <is>
          <t>2018-04</t>
        </is>
      </c>
      <c r="D3546" t="inlineStr">
        <is>
          <t>SP</t>
        </is>
      </c>
      <c r="E3546" t="inlineStr">
        <is>
          <t>food</t>
        </is>
      </c>
      <c r="F3546" t="n">
        <v>1</v>
      </c>
      <c r="G3546" t="n">
        <v>56.97</v>
      </c>
      <c r="H3546" t="n">
        <v>12.8</v>
      </c>
      <c r="I3546" t="inlineStr">
        <is>
          <t>credit_card</t>
        </is>
      </c>
      <c r="J3546" t="n">
        <v>7</v>
      </c>
      <c r="K3546" t="inlineStr">
        <is>
          <t>On Time</t>
        </is>
      </c>
      <c r="L3546" t="n">
        <v>5</v>
      </c>
      <c r="M3546">
        <f>VLOOKUP(D3546,State_Lookup!$A$2:$B$28,2,FALSE)</f>
        <v/>
      </c>
    </row>
    <row r="3547">
      <c r="A3547" t="inlineStr">
        <is>
          <t>d7b00090ed4c28c03afc316bc0a2ec17</t>
        </is>
      </c>
      <c r="B3547" t="inlineStr">
        <is>
          <t>2018-04-16</t>
        </is>
      </c>
      <c r="C3547" t="inlineStr">
        <is>
          <t>2018-04</t>
        </is>
      </c>
      <c r="D3547" t="inlineStr">
        <is>
          <t>SP</t>
        </is>
      </c>
      <c r="E3547" t="inlineStr">
        <is>
          <t>garden_tools</t>
        </is>
      </c>
      <c r="F3547" t="n">
        <v>1</v>
      </c>
      <c r="G3547" t="n">
        <v>139.9</v>
      </c>
      <c r="H3547" t="n">
        <v>16.95</v>
      </c>
      <c r="I3547" t="inlineStr">
        <is>
          <t>boleto</t>
        </is>
      </c>
      <c r="J3547" t="n">
        <v>4</v>
      </c>
      <c r="K3547" t="inlineStr">
        <is>
          <t>On Time</t>
        </is>
      </c>
      <c r="L3547" t="n">
        <v>5</v>
      </c>
      <c r="M3547">
        <f>VLOOKUP(D3547,State_Lookup!$A$2:$B$28,2,FALSE)</f>
        <v/>
      </c>
    </row>
    <row r="3548">
      <c r="A3548" t="inlineStr">
        <is>
          <t>45881387721786e660460cd8bfcb2010</t>
        </is>
      </c>
      <c r="B3548" t="inlineStr">
        <is>
          <t>2018-04-16</t>
        </is>
      </c>
      <c r="C3548" t="inlineStr">
        <is>
          <t>2018-04</t>
        </is>
      </c>
      <c r="D3548" t="inlineStr">
        <is>
          <t>PE</t>
        </is>
      </c>
      <c r="E3548" t="inlineStr">
        <is>
          <t>toys</t>
        </is>
      </c>
      <c r="F3548" t="n">
        <v>1</v>
      </c>
      <c r="G3548" t="n">
        <v>89.98999999999999</v>
      </c>
      <c r="H3548" t="n">
        <v>37.32</v>
      </c>
      <c r="I3548" t="inlineStr">
        <is>
          <t>credit_card</t>
        </is>
      </c>
      <c r="J3548" t="n">
        <v>23</v>
      </c>
      <c r="K3548" t="inlineStr">
        <is>
          <t>On Time</t>
        </is>
      </c>
      <c r="L3548" t="n">
        <v>4</v>
      </c>
      <c r="M3548">
        <f>VLOOKUP(D3548,State_Lookup!$A$2:$B$28,2,FALSE)</f>
        <v/>
      </c>
    </row>
    <row r="3549">
      <c r="A3549" t="inlineStr">
        <is>
          <t>5b023700ca22594b76150412fb31d733</t>
        </is>
      </c>
      <c r="B3549" t="inlineStr">
        <is>
          <t>2018-04-16</t>
        </is>
      </c>
      <c r="C3549" t="inlineStr">
        <is>
          <t>2018-04</t>
        </is>
      </c>
      <c r="D3549" t="inlineStr">
        <is>
          <t>SP</t>
        </is>
      </c>
      <c r="E3549" t="inlineStr">
        <is>
          <t>electronics</t>
        </is>
      </c>
      <c r="F3549" t="n">
        <v>1</v>
      </c>
      <c r="G3549" t="n">
        <v>13.65</v>
      </c>
      <c r="H3549" t="n">
        <v>7.39</v>
      </c>
      <c r="I3549" t="inlineStr">
        <is>
          <t>boleto</t>
        </is>
      </c>
      <c r="J3549" t="n">
        <v>11</v>
      </c>
      <c r="K3549" t="inlineStr">
        <is>
          <t>On Time</t>
        </is>
      </c>
      <c r="L3549" t="n">
        <v>3</v>
      </c>
      <c r="M3549">
        <f>VLOOKUP(D3549,State_Lookup!$A$2:$B$28,2,FALSE)</f>
        <v/>
      </c>
    </row>
    <row r="3550">
      <c r="A3550" t="inlineStr">
        <is>
          <t>1be21009011f8032ec2932d23966bbd2</t>
        </is>
      </c>
      <c r="B3550" t="inlineStr">
        <is>
          <t>2018-04-16</t>
        </is>
      </c>
      <c r="C3550" t="inlineStr">
        <is>
          <t>2018-04</t>
        </is>
      </c>
      <c r="D3550" t="inlineStr">
        <is>
          <t>RJ</t>
        </is>
      </c>
      <c r="E3550" t="inlineStr">
        <is>
          <t>auto</t>
        </is>
      </c>
      <c r="F3550" t="n">
        <v>1</v>
      </c>
      <c r="G3550" t="n">
        <v>30</v>
      </c>
      <c r="H3550" t="n">
        <v>18.23</v>
      </c>
      <c r="I3550" t="inlineStr">
        <is>
          <t>credit_card</t>
        </is>
      </c>
      <c r="J3550" t="n">
        <v>10</v>
      </c>
      <c r="K3550" t="inlineStr">
        <is>
          <t>On Time</t>
        </is>
      </c>
      <c r="L3550" t="n">
        <v>5</v>
      </c>
      <c r="M3550">
        <f>VLOOKUP(D3550,State_Lookup!$A$2:$B$28,2,FALSE)</f>
        <v/>
      </c>
    </row>
    <row r="3551">
      <c r="A3551" t="inlineStr">
        <is>
          <t>023669233121f0fb7899e5be2b22885f</t>
        </is>
      </c>
      <c r="B3551" t="inlineStr">
        <is>
          <t>2018-04-16</t>
        </is>
      </c>
      <c r="C3551" t="inlineStr">
        <is>
          <t>2018-04</t>
        </is>
      </c>
      <c r="D3551" t="inlineStr">
        <is>
          <t>SP</t>
        </is>
      </c>
      <c r="E3551" t="inlineStr">
        <is>
          <t>pet_shop</t>
        </is>
      </c>
      <c r="F3551" t="n">
        <v>3</v>
      </c>
      <c r="G3551" t="n">
        <v>258.79</v>
      </c>
      <c r="H3551" t="n">
        <v>59.57</v>
      </c>
      <c r="I3551" t="inlineStr">
        <is>
          <t>boleto</t>
        </is>
      </c>
      <c r="J3551" t="n">
        <v>3</v>
      </c>
      <c r="K3551" t="inlineStr">
        <is>
          <t>On Time</t>
        </is>
      </c>
      <c r="L3551" t="n">
        <v>5</v>
      </c>
      <c r="M3551">
        <f>VLOOKUP(D3551,State_Lookup!$A$2:$B$28,2,FALSE)</f>
        <v/>
      </c>
    </row>
    <row r="3552">
      <c r="A3552" t="inlineStr">
        <is>
          <t>07182ece031138fc6c7f81b60b1eb329</t>
        </is>
      </c>
      <c r="B3552" t="inlineStr">
        <is>
          <t>2018-04-16</t>
        </is>
      </c>
      <c r="C3552" t="inlineStr">
        <is>
          <t>2018-04</t>
        </is>
      </c>
      <c r="D3552" t="inlineStr">
        <is>
          <t>SP</t>
        </is>
      </c>
      <c r="E3552" t="inlineStr">
        <is>
          <t>bed_bath_table</t>
        </is>
      </c>
      <c r="F3552" t="n">
        <v>1</v>
      </c>
      <c r="G3552" t="n">
        <v>43.8</v>
      </c>
      <c r="H3552" t="n">
        <v>14.44</v>
      </c>
      <c r="I3552" t="inlineStr">
        <is>
          <t>credit_card</t>
        </is>
      </c>
      <c r="J3552" t="n">
        <v>7</v>
      </c>
      <c r="K3552" t="inlineStr">
        <is>
          <t>On Time</t>
        </is>
      </c>
      <c r="L3552" t="n">
        <v>5</v>
      </c>
      <c r="M3552">
        <f>VLOOKUP(D3552,State_Lookup!$A$2:$B$28,2,FALSE)</f>
        <v/>
      </c>
    </row>
    <row r="3553">
      <c r="A3553" t="inlineStr">
        <is>
          <t>b14878ee970d09943d562f30749318ae</t>
        </is>
      </c>
      <c r="B3553" t="inlineStr">
        <is>
          <t>2018-04-17</t>
        </is>
      </c>
      <c r="C3553" t="inlineStr">
        <is>
          <t>2018-04</t>
        </is>
      </c>
      <c r="D3553" t="inlineStr">
        <is>
          <t>MG</t>
        </is>
      </c>
      <c r="E3553" t="inlineStr">
        <is>
          <t>computers_accessories</t>
        </is>
      </c>
      <c r="F3553" t="n">
        <v>1</v>
      </c>
      <c r="G3553" t="n">
        <v>24.99</v>
      </c>
      <c r="H3553" t="n">
        <v>18.23</v>
      </c>
      <c r="I3553" t="inlineStr">
        <is>
          <t>credit_card</t>
        </is>
      </c>
      <c r="J3553" t="n">
        <v>8</v>
      </c>
      <c r="K3553" t="inlineStr">
        <is>
          <t>On Time</t>
        </is>
      </c>
      <c r="L3553" t="n">
        <v>5</v>
      </c>
      <c r="M3553">
        <f>VLOOKUP(D3553,State_Lookup!$A$2:$B$28,2,FALSE)</f>
        <v/>
      </c>
    </row>
    <row r="3554">
      <c r="A3554" t="inlineStr">
        <is>
          <t>2a2169e99fd0582e2322bce30ab5207b</t>
        </is>
      </c>
      <c r="B3554" t="inlineStr">
        <is>
          <t>2018-04-17</t>
        </is>
      </c>
      <c r="C3554" t="inlineStr">
        <is>
          <t>2018-04</t>
        </is>
      </c>
      <c r="D3554" t="inlineStr">
        <is>
          <t>SP</t>
        </is>
      </c>
      <c r="E3554" t="inlineStr">
        <is>
          <t>housewares</t>
        </is>
      </c>
      <c r="F3554" t="n">
        <v>1</v>
      </c>
      <c r="G3554" t="n">
        <v>26</v>
      </c>
      <c r="H3554" t="n">
        <v>8.880000000000001</v>
      </c>
      <c r="I3554" t="inlineStr">
        <is>
          <t>credit_card</t>
        </is>
      </c>
      <c r="J3554" t="n">
        <v>8</v>
      </c>
      <c r="K3554" t="inlineStr">
        <is>
          <t>On Time</t>
        </is>
      </c>
      <c r="L3554" t="n">
        <v>3</v>
      </c>
      <c r="M3554">
        <f>VLOOKUP(D3554,State_Lookup!$A$2:$B$28,2,FALSE)</f>
        <v/>
      </c>
    </row>
    <row r="3555">
      <c r="A3555" t="inlineStr">
        <is>
          <t>d1ec284532e192ddc41c2a400620e697</t>
        </is>
      </c>
      <c r="B3555" t="inlineStr">
        <is>
          <t>2018-04-17</t>
        </is>
      </c>
      <c r="C3555" t="inlineStr">
        <is>
          <t>2018-04</t>
        </is>
      </c>
      <c r="D3555" t="inlineStr">
        <is>
          <t>RJ</t>
        </is>
      </c>
      <c r="E3555" t="inlineStr">
        <is>
          <t>bed_bath_table</t>
        </is>
      </c>
      <c r="F3555" t="n">
        <v>2</v>
      </c>
      <c r="G3555" t="n">
        <v>44</v>
      </c>
      <c r="H3555" t="n">
        <v>38.08</v>
      </c>
      <c r="I3555" t="inlineStr">
        <is>
          <t>credit_card</t>
        </is>
      </c>
      <c r="J3555" t="n">
        <v>3</v>
      </c>
      <c r="K3555" t="inlineStr">
        <is>
          <t>On Time</t>
        </is>
      </c>
      <c r="L3555" t="n">
        <v>5</v>
      </c>
      <c r="M3555">
        <f>VLOOKUP(D3555,State_Lookup!$A$2:$B$28,2,FALSE)</f>
        <v/>
      </c>
    </row>
    <row r="3556">
      <c r="A3556" t="inlineStr">
        <is>
          <t>bbb39449a277499952671cc64cbd7232</t>
        </is>
      </c>
      <c r="B3556" t="inlineStr">
        <is>
          <t>2018-04-17</t>
        </is>
      </c>
      <c r="C3556" t="inlineStr">
        <is>
          <t>2018-04</t>
        </is>
      </c>
      <c r="D3556" t="inlineStr">
        <is>
          <t>MG</t>
        </is>
      </c>
      <c r="E3556" t="inlineStr">
        <is>
          <t>construction_tools_construction</t>
        </is>
      </c>
      <c r="F3556" t="n">
        <v>1</v>
      </c>
      <c r="G3556" t="n">
        <v>92.5</v>
      </c>
      <c r="H3556" t="n">
        <v>34.19</v>
      </c>
      <c r="I3556" t="inlineStr">
        <is>
          <t>credit_card</t>
        </is>
      </c>
      <c r="J3556" t="n">
        <v>6</v>
      </c>
      <c r="K3556" t="inlineStr">
        <is>
          <t>On Time</t>
        </is>
      </c>
      <c r="L3556" t="n">
        <v>4</v>
      </c>
      <c r="M3556">
        <f>VLOOKUP(D3556,State_Lookup!$A$2:$B$28,2,FALSE)</f>
        <v/>
      </c>
    </row>
    <row r="3557">
      <c r="A3557" t="inlineStr">
        <is>
          <t>f7fa198627aefca94731f4ec2464271e</t>
        </is>
      </c>
      <c r="B3557" t="inlineStr">
        <is>
          <t>2018-04-17</t>
        </is>
      </c>
      <c r="C3557" t="inlineStr">
        <is>
          <t>2018-04</t>
        </is>
      </c>
      <c r="D3557" t="inlineStr">
        <is>
          <t>SP</t>
        </is>
      </c>
      <c r="E3557" t="inlineStr">
        <is>
          <t>consoles_games</t>
        </is>
      </c>
      <c r="F3557" t="n">
        <v>1</v>
      </c>
      <c r="G3557" t="n">
        <v>34.2</v>
      </c>
      <c r="H3557" t="n">
        <v>11.89</v>
      </c>
      <c r="I3557" t="inlineStr">
        <is>
          <t>credit_card</t>
        </is>
      </c>
      <c r="J3557" t="n">
        <v>9</v>
      </c>
      <c r="K3557" t="inlineStr">
        <is>
          <t>On Time</t>
        </is>
      </c>
      <c r="L3557" t="n">
        <v>4</v>
      </c>
      <c r="M3557">
        <f>VLOOKUP(D3557,State_Lookup!$A$2:$B$28,2,FALSE)</f>
        <v/>
      </c>
    </row>
    <row r="3558">
      <c r="A3558" t="inlineStr">
        <is>
          <t>dbc841e264c91362b1f1091a3fec3394</t>
        </is>
      </c>
      <c r="B3558" t="inlineStr">
        <is>
          <t>2018-04-17</t>
        </is>
      </c>
      <c r="C3558" t="inlineStr">
        <is>
          <t>2018-04</t>
        </is>
      </c>
      <c r="D3558" t="inlineStr">
        <is>
          <t>SP</t>
        </is>
      </c>
      <c r="E3558" t="inlineStr">
        <is>
          <t>toys</t>
        </is>
      </c>
      <c r="F3558" t="n">
        <v>1</v>
      </c>
      <c r="G3558" t="n">
        <v>56.9</v>
      </c>
      <c r="H3558" t="n">
        <v>8.289999999999999</v>
      </c>
      <c r="I3558" t="inlineStr">
        <is>
          <t>credit_card</t>
        </is>
      </c>
      <c r="J3558" t="n">
        <v>1</v>
      </c>
      <c r="K3558" t="inlineStr">
        <is>
          <t>On Time</t>
        </is>
      </c>
      <c r="L3558" t="n">
        <v>5</v>
      </c>
      <c r="M3558">
        <f>VLOOKUP(D3558,State_Lookup!$A$2:$B$28,2,FALSE)</f>
        <v/>
      </c>
    </row>
    <row r="3559">
      <c r="A3559" t="inlineStr">
        <is>
          <t>de6d38ce9e3cde2325eb83681cbf5774</t>
        </is>
      </c>
      <c r="B3559" t="inlineStr">
        <is>
          <t>2018-04-17</t>
        </is>
      </c>
      <c r="C3559" t="inlineStr">
        <is>
          <t>2018-04</t>
        </is>
      </c>
      <c r="D3559" t="inlineStr">
        <is>
          <t>SP</t>
        </is>
      </c>
      <c r="E3559" t="inlineStr">
        <is>
          <t>auto</t>
        </is>
      </c>
      <c r="F3559" t="n">
        <v>1</v>
      </c>
      <c r="G3559" t="n">
        <v>79.90000000000001</v>
      </c>
      <c r="H3559" t="n">
        <v>14.65</v>
      </c>
      <c r="I3559" t="inlineStr">
        <is>
          <t>credit_card</t>
        </is>
      </c>
      <c r="J3559" t="n">
        <v>13</v>
      </c>
      <c r="K3559" t="inlineStr">
        <is>
          <t>On Time</t>
        </is>
      </c>
      <c r="L3559" t="n">
        <v>2</v>
      </c>
      <c r="M3559">
        <f>VLOOKUP(D3559,State_Lookup!$A$2:$B$28,2,FALSE)</f>
        <v/>
      </c>
    </row>
    <row r="3560">
      <c r="A3560" t="inlineStr">
        <is>
          <t>e2d992dfb23aa5b768db449b84b8200b</t>
        </is>
      </c>
      <c r="B3560" t="inlineStr">
        <is>
          <t>2018-04-17</t>
        </is>
      </c>
      <c r="C3560" t="inlineStr">
        <is>
          <t>2018-04</t>
        </is>
      </c>
      <c r="D3560" t="inlineStr">
        <is>
          <t>SP</t>
        </is>
      </c>
      <c r="E3560" t="inlineStr">
        <is>
          <t>computers_accessories</t>
        </is>
      </c>
      <c r="F3560" t="n">
        <v>5</v>
      </c>
      <c r="G3560" t="n">
        <v>399.95</v>
      </c>
      <c r="H3560" t="n">
        <v>65</v>
      </c>
      <c r="I3560" t="inlineStr">
        <is>
          <t>credit_card</t>
        </is>
      </c>
      <c r="J3560" t="n">
        <v>6</v>
      </c>
      <c r="K3560" t="inlineStr">
        <is>
          <t>On Time</t>
        </is>
      </c>
      <c r="L3560" t="n">
        <v>4</v>
      </c>
      <c r="M3560">
        <f>VLOOKUP(D3560,State_Lookup!$A$2:$B$28,2,FALSE)</f>
        <v/>
      </c>
    </row>
    <row r="3561">
      <c r="A3561" t="inlineStr">
        <is>
          <t>60bcba6747ee878b9007f61275f4cd1f</t>
        </is>
      </c>
      <c r="B3561" t="inlineStr">
        <is>
          <t>2018-04-17</t>
        </is>
      </c>
      <c r="C3561" t="inlineStr">
        <is>
          <t>2018-04</t>
        </is>
      </c>
      <c r="D3561" t="inlineStr">
        <is>
          <t>SP</t>
        </is>
      </c>
      <c r="E3561" t="inlineStr">
        <is>
          <t>bed_bath_table</t>
        </is>
      </c>
      <c r="F3561" t="n">
        <v>1</v>
      </c>
      <c r="G3561" t="n">
        <v>249.9</v>
      </c>
      <c r="H3561" t="n">
        <v>15.51</v>
      </c>
      <c r="I3561" t="inlineStr">
        <is>
          <t>debit_card</t>
        </is>
      </c>
      <c r="J3561" t="n">
        <v>6</v>
      </c>
      <c r="K3561" t="inlineStr">
        <is>
          <t>On Time</t>
        </is>
      </c>
      <c r="L3561" t="n">
        <v>4</v>
      </c>
      <c r="M3561">
        <f>VLOOKUP(D3561,State_Lookup!$A$2:$B$28,2,FALSE)</f>
        <v/>
      </c>
    </row>
    <row r="3562">
      <c r="A3562" t="inlineStr">
        <is>
          <t>ab457766fd545ee4fd253ae81da173f3</t>
        </is>
      </c>
      <c r="B3562" t="inlineStr">
        <is>
          <t>2018-04-17</t>
        </is>
      </c>
      <c r="C3562" t="inlineStr">
        <is>
          <t>2018-04</t>
        </is>
      </c>
      <c r="D3562" t="inlineStr">
        <is>
          <t>SP</t>
        </is>
      </c>
      <c r="E3562" t="inlineStr">
        <is>
          <t>sports_leisure</t>
        </is>
      </c>
      <c r="F3562" t="n">
        <v>1</v>
      </c>
      <c r="G3562" t="n">
        <v>49.9</v>
      </c>
      <c r="H3562" t="n">
        <v>11.89</v>
      </c>
      <c r="I3562" t="inlineStr">
        <is>
          <t>credit_card</t>
        </is>
      </c>
      <c r="J3562" t="n">
        <v>7</v>
      </c>
      <c r="K3562" t="inlineStr">
        <is>
          <t>On Time</t>
        </is>
      </c>
      <c r="L3562" t="n">
        <v>4</v>
      </c>
      <c r="M3562">
        <f>VLOOKUP(D3562,State_Lookup!$A$2:$B$28,2,FALSE)</f>
        <v/>
      </c>
    </row>
    <row r="3563">
      <c r="A3563" t="inlineStr">
        <is>
          <t>2c76644ebdca47aa2d980e3b2714af13</t>
        </is>
      </c>
      <c r="B3563" t="inlineStr">
        <is>
          <t>2018-04-17</t>
        </is>
      </c>
      <c r="C3563" t="inlineStr">
        <is>
          <t>2018-04</t>
        </is>
      </c>
      <c r="D3563" t="inlineStr">
        <is>
          <t>GO</t>
        </is>
      </c>
      <c r="E3563" t="inlineStr">
        <is>
          <t>bed_bath_table</t>
        </is>
      </c>
      <c r="F3563" t="n">
        <v>1</v>
      </c>
      <c r="G3563" t="n">
        <v>159.9</v>
      </c>
      <c r="H3563" t="n">
        <v>22.2</v>
      </c>
      <c r="I3563" t="inlineStr">
        <is>
          <t>credit_card</t>
        </is>
      </c>
      <c r="J3563" t="n">
        <v>9</v>
      </c>
      <c r="K3563" t="inlineStr">
        <is>
          <t>On Time</t>
        </is>
      </c>
      <c r="L3563" t="n">
        <v>5</v>
      </c>
      <c r="M3563">
        <f>VLOOKUP(D3563,State_Lookup!$A$2:$B$28,2,FALSE)</f>
        <v/>
      </c>
    </row>
    <row r="3564">
      <c r="A3564" t="inlineStr">
        <is>
          <t>16f6cf86122c11b8b1e46d21f4b31f89</t>
        </is>
      </c>
      <c r="B3564" t="inlineStr">
        <is>
          <t>2018-04-17</t>
        </is>
      </c>
      <c r="C3564" t="inlineStr">
        <is>
          <t>2018-04</t>
        </is>
      </c>
      <c r="D3564" t="inlineStr">
        <is>
          <t>GO</t>
        </is>
      </c>
      <c r="E3564" t="inlineStr">
        <is>
          <t>telephony</t>
        </is>
      </c>
      <c r="F3564" t="n">
        <v>1</v>
      </c>
      <c r="G3564" t="n">
        <v>21.99</v>
      </c>
      <c r="H3564" t="n">
        <v>15.23</v>
      </c>
      <c r="I3564" t="inlineStr">
        <is>
          <t>boleto</t>
        </is>
      </c>
      <c r="J3564" t="n">
        <v>20</v>
      </c>
      <c r="K3564" t="inlineStr">
        <is>
          <t>On Time</t>
        </is>
      </c>
      <c r="L3564" t="n">
        <v>4</v>
      </c>
      <c r="M3564">
        <f>VLOOKUP(D3564,State_Lookup!$A$2:$B$28,2,FALSE)</f>
        <v/>
      </c>
    </row>
    <row r="3565">
      <c r="A3565" t="inlineStr">
        <is>
          <t>657d6ab783018d32016fd49494d5cf4e</t>
        </is>
      </c>
      <c r="B3565" t="inlineStr">
        <is>
          <t>2018-04-17</t>
        </is>
      </c>
      <c r="C3565" t="inlineStr">
        <is>
          <t>2018-04</t>
        </is>
      </c>
      <c r="D3565" t="inlineStr">
        <is>
          <t>PR</t>
        </is>
      </c>
      <c r="E3565" t="inlineStr">
        <is>
          <t>cool_stuff</t>
        </is>
      </c>
      <c r="F3565" t="n">
        <v>1</v>
      </c>
      <c r="G3565" t="n">
        <v>213.99</v>
      </c>
      <c r="H3565" t="n">
        <v>22.58</v>
      </c>
      <c r="I3565" t="inlineStr">
        <is>
          <t>credit_card</t>
        </is>
      </c>
      <c r="J3565" t="n">
        <v>8</v>
      </c>
      <c r="K3565" t="inlineStr">
        <is>
          <t>On Time</t>
        </is>
      </c>
      <c r="L3565" t="n">
        <v>4</v>
      </c>
      <c r="M3565">
        <f>VLOOKUP(D3565,State_Lookup!$A$2:$B$28,2,FALSE)</f>
        <v/>
      </c>
    </row>
    <row r="3566">
      <c r="A3566" t="inlineStr">
        <is>
          <t>cb7a2c6ea8712ab4fcb4f1c66a6ca274</t>
        </is>
      </c>
      <c r="B3566" t="inlineStr">
        <is>
          <t>2018-04-17</t>
        </is>
      </c>
      <c r="C3566" t="inlineStr">
        <is>
          <t>2018-04</t>
        </is>
      </c>
      <c r="D3566" t="inlineStr">
        <is>
          <t>PR</t>
        </is>
      </c>
      <c r="E3566" t="inlineStr">
        <is>
          <t>telephony</t>
        </is>
      </c>
      <c r="F3566" t="n">
        <v>1</v>
      </c>
      <c r="G3566" t="n">
        <v>44.99</v>
      </c>
      <c r="H3566" t="n">
        <v>18.23</v>
      </c>
      <c r="I3566" t="inlineStr">
        <is>
          <t>credit_card</t>
        </is>
      </c>
      <c r="J3566" t="n">
        <v>13</v>
      </c>
      <c r="K3566" t="inlineStr">
        <is>
          <t>On Time</t>
        </is>
      </c>
      <c r="L3566" t="n">
        <v>4</v>
      </c>
      <c r="M3566">
        <f>VLOOKUP(D3566,State_Lookup!$A$2:$B$28,2,FALSE)</f>
        <v/>
      </c>
    </row>
    <row r="3567">
      <c r="A3567" t="inlineStr">
        <is>
          <t>b9d1db9d3e9608b2d37f962aaef45e03</t>
        </is>
      </c>
      <c r="B3567" t="inlineStr">
        <is>
          <t>2018-04-17</t>
        </is>
      </c>
      <c r="C3567" t="inlineStr">
        <is>
          <t>2018-04</t>
        </is>
      </c>
      <c r="D3567" t="inlineStr">
        <is>
          <t>SP</t>
        </is>
      </c>
      <c r="E3567" t="inlineStr">
        <is>
          <t>office_furniture</t>
        </is>
      </c>
      <c r="F3567" t="n">
        <v>1</v>
      </c>
      <c r="G3567" t="n">
        <v>79.98</v>
      </c>
      <c r="H3567" t="n">
        <v>22.87</v>
      </c>
      <c r="I3567" t="inlineStr">
        <is>
          <t>voucher</t>
        </is>
      </c>
      <c r="J3567" t="n">
        <v>20</v>
      </c>
      <c r="K3567" t="inlineStr">
        <is>
          <t>On Time</t>
        </is>
      </c>
      <c r="L3567" t="n">
        <v>5</v>
      </c>
      <c r="M3567">
        <f>VLOOKUP(D3567,State_Lookup!$A$2:$B$28,2,FALSE)</f>
        <v/>
      </c>
    </row>
    <row r="3568">
      <c r="A3568" t="inlineStr">
        <is>
          <t>b157dd3a8db0279fe95e9272103e8078</t>
        </is>
      </c>
      <c r="B3568" t="inlineStr">
        <is>
          <t>2018-04-17</t>
        </is>
      </c>
      <c r="C3568" t="inlineStr">
        <is>
          <t>2018-04</t>
        </is>
      </c>
      <c r="D3568" t="inlineStr">
        <is>
          <t>SP</t>
        </is>
      </c>
      <c r="E3568" t="inlineStr">
        <is>
          <t>furniture_decor</t>
        </is>
      </c>
      <c r="F3568" t="n">
        <v>1</v>
      </c>
      <c r="G3568" t="n">
        <v>59.9</v>
      </c>
      <c r="H3568" t="n">
        <v>16.39</v>
      </c>
      <c r="I3568" t="inlineStr">
        <is>
          <t>credit_card</t>
        </is>
      </c>
      <c r="J3568" t="n">
        <v>6</v>
      </c>
      <c r="K3568" t="inlineStr">
        <is>
          <t>On Time</t>
        </is>
      </c>
      <c r="L3568" t="n">
        <v>5</v>
      </c>
      <c r="M3568">
        <f>VLOOKUP(D3568,State_Lookup!$A$2:$B$28,2,FALSE)</f>
        <v/>
      </c>
    </row>
    <row r="3569">
      <c r="A3569" t="inlineStr">
        <is>
          <t>ec36cbe1738f8ac4379b1ced0757c583</t>
        </is>
      </c>
      <c r="B3569" t="inlineStr">
        <is>
          <t>2018-04-17</t>
        </is>
      </c>
      <c r="C3569" t="inlineStr">
        <is>
          <t>2018-04</t>
        </is>
      </c>
      <c r="D3569" t="inlineStr">
        <is>
          <t>SP</t>
        </is>
      </c>
      <c r="E3569" t="inlineStr">
        <is>
          <t>computers_accessories</t>
        </is>
      </c>
      <c r="F3569" t="n">
        <v>1</v>
      </c>
      <c r="G3569" t="n">
        <v>78</v>
      </c>
      <c r="H3569" t="n">
        <v>12.99</v>
      </c>
      <c r="I3569" t="inlineStr">
        <is>
          <t>credit_card</t>
        </is>
      </c>
      <c r="J3569" t="n">
        <v>8</v>
      </c>
      <c r="K3569" t="inlineStr">
        <is>
          <t>On Time</t>
        </is>
      </c>
      <c r="L3569" t="n">
        <v>5</v>
      </c>
      <c r="M3569">
        <f>VLOOKUP(D3569,State_Lookup!$A$2:$B$28,2,FALSE)</f>
        <v/>
      </c>
    </row>
    <row r="3570">
      <c r="A3570" t="inlineStr">
        <is>
          <t>c7f27c1776def4a1c9b1585107d0f209</t>
        </is>
      </c>
      <c r="B3570" t="inlineStr">
        <is>
          <t>2018-04-17</t>
        </is>
      </c>
      <c r="C3570" t="inlineStr">
        <is>
          <t>2018-04</t>
        </is>
      </c>
      <c r="D3570" t="inlineStr">
        <is>
          <t>RS</t>
        </is>
      </c>
      <c r="E3570" t="inlineStr">
        <is>
          <t>home_appliances</t>
        </is>
      </c>
      <c r="F3570" t="n">
        <v>1</v>
      </c>
      <c r="G3570" t="n">
        <v>130</v>
      </c>
      <c r="H3570" t="n">
        <v>19.88</v>
      </c>
      <c r="I3570" t="inlineStr">
        <is>
          <t>credit_card</t>
        </is>
      </c>
      <c r="J3570" t="n">
        <v>21</v>
      </c>
      <c r="K3570" t="inlineStr">
        <is>
          <t>On Time</t>
        </is>
      </c>
      <c r="L3570" t="n">
        <v>5</v>
      </c>
      <c r="M3570">
        <f>VLOOKUP(D3570,State_Lookup!$A$2:$B$28,2,FALSE)</f>
        <v/>
      </c>
    </row>
    <row r="3571">
      <c r="A3571" t="inlineStr">
        <is>
          <t>89710eda9c7f1c37f55e89f035f5ceee</t>
        </is>
      </c>
      <c r="B3571" t="inlineStr">
        <is>
          <t>2018-04-18</t>
        </is>
      </c>
      <c r="C3571" t="inlineStr">
        <is>
          <t>2018-04</t>
        </is>
      </c>
      <c r="D3571" t="inlineStr">
        <is>
          <t>SP</t>
        </is>
      </c>
      <c r="E3571" t="inlineStr">
        <is>
          <t>bed_bath_table</t>
        </is>
      </c>
      <c r="F3571" t="n">
        <v>1</v>
      </c>
      <c r="G3571" t="n">
        <v>39.99</v>
      </c>
      <c r="H3571" t="n">
        <v>11.89</v>
      </c>
      <c r="I3571" t="inlineStr">
        <is>
          <t>credit_card</t>
        </is>
      </c>
      <c r="J3571" t="n">
        <v>6</v>
      </c>
      <c r="K3571" t="inlineStr">
        <is>
          <t>On Time</t>
        </is>
      </c>
      <c r="L3571" t="n">
        <v>5</v>
      </c>
      <c r="M3571">
        <f>VLOOKUP(D3571,State_Lookup!$A$2:$B$28,2,FALSE)</f>
        <v/>
      </c>
    </row>
    <row r="3572">
      <c r="A3572" t="inlineStr">
        <is>
          <t>d07116348ed0d8c1a55ff50e9d1121fb</t>
        </is>
      </c>
      <c r="B3572" t="inlineStr">
        <is>
          <t>2018-04-18</t>
        </is>
      </c>
      <c r="C3572" t="inlineStr">
        <is>
          <t>2018-04</t>
        </is>
      </c>
      <c r="D3572" t="inlineStr">
        <is>
          <t>SP</t>
        </is>
      </c>
      <c r="E3572" t="inlineStr">
        <is>
          <t>watches_gifts</t>
        </is>
      </c>
      <c r="F3572" t="n">
        <v>1</v>
      </c>
      <c r="G3572" t="n">
        <v>49</v>
      </c>
      <c r="H3572" t="n">
        <v>12.79</v>
      </c>
      <c r="I3572" t="inlineStr">
        <is>
          <t>credit_card</t>
        </is>
      </c>
      <c r="J3572" t="n">
        <v>7</v>
      </c>
      <c r="K3572" t="inlineStr">
        <is>
          <t>On Time</t>
        </is>
      </c>
      <c r="L3572" t="n">
        <v>4</v>
      </c>
      <c r="M3572">
        <f>VLOOKUP(D3572,State_Lookup!$A$2:$B$28,2,FALSE)</f>
        <v/>
      </c>
    </row>
    <row r="3573">
      <c r="A3573" t="inlineStr">
        <is>
          <t>c518fcc14b2bf7ad3f5a833fe67ed9a5</t>
        </is>
      </c>
      <c r="B3573" t="inlineStr">
        <is>
          <t>2018-04-18</t>
        </is>
      </c>
      <c r="C3573" t="inlineStr">
        <is>
          <t>2018-04</t>
        </is>
      </c>
      <c r="D3573" t="inlineStr">
        <is>
          <t>RJ</t>
        </is>
      </c>
      <c r="E3573" t="inlineStr">
        <is>
          <t>cool_stuff</t>
        </is>
      </c>
      <c r="F3573" t="n">
        <v>1</v>
      </c>
      <c r="G3573" t="n">
        <v>89.98999999999999</v>
      </c>
      <c r="H3573" t="n">
        <v>18.21</v>
      </c>
      <c r="I3573" t="inlineStr">
        <is>
          <t>credit_card</t>
        </is>
      </c>
      <c r="J3573" t="n">
        <v>18</v>
      </c>
      <c r="K3573" t="inlineStr">
        <is>
          <t>On Time</t>
        </is>
      </c>
      <c r="L3573" t="n">
        <v>5</v>
      </c>
      <c r="M3573">
        <f>VLOOKUP(D3573,State_Lookup!$A$2:$B$28,2,FALSE)</f>
        <v/>
      </c>
    </row>
    <row r="3574">
      <c r="A3574" t="inlineStr">
        <is>
          <t>a3696d83a951412999a280e4a331070d</t>
        </is>
      </c>
      <c r="B3574" t="inlineStr">
        <is>
          <t>2018-04-18</t>
        </is>
      </c>
      <c r="C3574" t="inlineStr">
        <is>
          <t>2018-04</t>
        </is>
      </c>
      <c r="D3574" t="inlineStr">
        <is>
          <t>MG</t>
        </is>
      </c>
      <c r="E3574" t="inlineStr">
        <is>
          <t>health_beauty</t>
        </is>
      </c>
      <c r="F3574" t="n">
        <v>1</v>
      </c>
      <c r="G3574" t="n">
        <v>173.25</v>
      </c>
      <c r="H3574" t="n">
        <v>18.79</v>
      </c>
      <c r="I3574" t="inlineStr">
        <is>
          <t>credit_card</t>
        </is>
      </c>
      <c r="J3574" t="n">
        <v>8</v>
      </c>
      <c r="K3574" t="inlineStr">
        <is>
          <t>On Time</t>
        </is>
      </c>
      <c r="L3574" t="n">
        <v>5</v>
      </c>
      <c r="M3574">
        <f>VLOOKUP(D3574,State_Lookup!$A$2:$B$28,2,FALSE)</f>
        <v/>
      </c>
    </row>
    <row r="3575">
      <c r="A3575" t="inlineStr">
        <is>
          <t>fc00f81a771664dd85e2ed1bf9e0db82</t>
        </is>
      </c>
      <c r="B3575" t="inlineStr">
        <is>
          <t>2018-04-18</t>
        </is>
      </c>
      <c r="C3575" t="inlineStr">
        <is>
          <t>2018-04</t>
        </is>
      </c>
      <c r="D3575" t="inlineStr">
        <is>
          <t>SP</t>
        </is>
      </c>
      <c r="E3575" t="inlineStr">
        <is>
          <t>sports_leisure</t>
        </is>
      </c>
      <c r="F3575" t="n">
        <v>1</v>
      </c>
      <c r="G3575" t="n">
        <v>45</v>
      </c>
      <c r="H3575" t="n">
        <v>18.23</v>
      </c>
      <c r="I3575" t="inlineStr">
        <is>
          <t>credit_card</t>
        </is>
      </c>
      <c r="J3575" t="n">
        <v>7</v>
      </c>
      <c r="K3575" t="inlineStr">
        <is>
          <t>On Time</t>
        </is>
      </c>
      <c r="L3575" t="n">
        <v>5</v>
      </c>
      <c r="M3575">
        <f>VLOOKUP(D3575,State_Lookup!$A$2:$B$28,2,FALSE)</f>
        <v/>
      </c>
    </row>
    <row r="3576">
      <c r="A3576" t="inlineStr">
        <is>
          <t>d74e29bbba41049b6c17603fd9fabc58</t>
        </is>
      </c>
      <c r="B3576" t="inlineStr">
        <is>
          <t>2018-04-18</t>
        </is>
      </c>
      <c r="C3576" t="inlineStr">
        <is>
          <t>2018-04</t>
        </is>
      </c>
      <c r="D3576" t="inlineStr">
        <is>
          <t>PR</t>
        </is>
      </c>
      <c r="E3576" t="inlineStr">
        <is>
          <t>electronics</t>
        </is>
      </c>
      <c r="F3576" t="n">
        <v>1</v>
      </c>
      <c r="G3576" t="n">
        <v>103.9</v>
      </c>
      <c r="H3576" t="n">
        <v>21.67</v>
      </c>
      <c r="I3576" t="inlineStr">
        <is>
          <t>credit_card</t>
        </is>
      </c>
      <c r="J3576" t="n">
        <v>14</v>
      </c>
      <c r="K3576" t="inlineStr">
        <is>
          <t>On Time</t>
        </is>
      </c>
      <c r="L3576" t="n">
        <v>5</v>
      </c>
      <c r="M3576">
        <f>VLOOKUP(D3576,State_Lookup!$A$2:$B$28,2,FALSE)</f>
        <v/>
      </c>
    </row>
    <row r="3577">
      <c r="A3577" t="inlineStr">
        <is>
          <t>8db5dc3121f330642473ed0e76209acb</t>
        </is>
      </c>
      <c r="B3577" t="inlineStr">
        <is>
          <t>2018-04-18</t>
        </is>
      </c>
      <c r="C3577" t="inlineStr">
        <is>
          <t>2018-04</t>
        </is>
      </c>
      <c r="D3577" t="inlineStr">
        <is>
          <t>RS</t>
        </is>
      </c>
      <c r="E3577" t="inlineStr">
        <is>
          <t>baby</t>
        </is>
      </c>
      <c r="F3577" t="n">
        <v>1</v>
      </c>
      <c r="G3577" t="n">
        <v>213</v>
      </c>
      <c r="H3577" t="n">
        <v>19.07</v>
      </c>
      <c r="I3577" t="inlineStr">
        <is>
          <t>credit_card</t>
        </is>
      </c>
      <c r="J3577" t="n">
        <v>11</v>
      </c>
      <c r="K3577" t="inlineStr">
        <is>
          <t>On Time</t>
        </is>
      </c>
      <c r="L3577" t="n">
        <v>5</v>
      </c>
      <c r="M3577">
        <f>VLOOKUP(D3577,State_Lookup!$A$2:$B$28,2,FALSE)</f>
        <v/>
      </c>
    </row>
    <row r="3578">
      <c r="A3578" t="inlineStr">
        <is>
          <t>605b496ab2cd71fe8105952dafc16227</t>
        </is>
      </c>
      <c r="B3578" t="inlineStr">
        <is>
          <t>2018-04-18</t>
        </is>
      </c>
      <c r="C3578" t="inlineStr">
        <is>
          <t>2018-04</t>
        </is>
      </c>
      <c r="D3578" t="inlineStr">
        <is>
          <t>SP</t>
        </is>
      </c>
      <c r="E3578" t="inlineStr">
        <is>
          <t>home_appliances</t>
        </is>
      </c>
      <c r="F3578" t="n">
        <v>1</v>
      </c>
      <c r="G3578" t="n">
        <v>48</v>
      </c>
      <c r="H3578" t="n">
        <v>11.86</v>
      </c>
      <c r="I3578" t="inlineStr">
        <is>
          <t>credit_card</t>
        </is>
      </c>
      <c r="J3578" t="n">
        <v>2</v>
      </c>
      <c r="K3578" t="inlineStr">
        <is>
          <t>On Time</t>
        </is>
      </c>
      <c r="L3578" t="n">
        <v>5</v>
      </c>
      <c r="M3578">
        <f>VLOOKUP(D3578,State_Lookup!$A$2:$B$28,2,FALSE)</f>
        <v/>
      </c>
    </row>
    <row r="3579">
      <c r="A3579" t="inlineStr">
        <is>
          <t>466466045d6dd169bdd4ab10d2361ac6</t>
        </is>
      </c>
      <c r="B3579" t="inlineStr">
        <is>
          <t>2018-04-18</t>
        </is>
      </c>
      <c r="C3579" t="inlineStr">
        <is>
          <t>2018-04</t>
        </is>
      </c>
      <c r="D3579" t="inlineStr">
        <is>
          <t>SP</t>
        </is>
      </c>
      <c r="E3579" t="inlineStr">
        <is>
          <t>auto</t>
        </is>
      </c>
      <c r="F3579" t="n">
        <v>1</v>
      </c>
      <c r="G3579" t="n">
        <v>27.9</v>
      </c>
      <c r="H3579" t="n">
        <v>12.79</v>
      </c>
      <c r="I3579" t="inlineStr">
        <is>
          <t>boleto</t>
        </is>
      </c>
      <c r="J3579" t="n">
        <v>12</v>
      </c>
      <c r="K3579" t="inlineStr">
        <is>
          <t>On Time</t>
        </is>
      </c>
      <c r="L3579" t="n">
        <v>4</v>
      </c>
      <c r="M3579">
        <f>VLOOKUP(D3579,State_Lookup!$A$2:$B$28,2,FALSE)</f>
        <v/>
      </c>
    </row>
    <row r="3580">
      <c r="A3580" t="inlineStr">
        <is>
          <t>9bd1262011363cf74478ba1d6f04ab28</t>
        </is>
      </c>
      <c r="B3580" t="inlineStr">
        <is>
          <t>2018-04-18</t>
        </is>
      </c>
      <c r="C3580" t="inlineStr">
        <is>
          <t>2018-04</t>
        </is>
      </c>
      <c r="D3580" t="inlineStr">
        <is>
          <t>RS</t>
        </is>
      </c>
      <c r="E3580" t="inlineStr">
        <is>
          <t>auto</t>
        </is>
      </c>
      <c r="F3580" t="n">
        <v>1</v>
      </c>
      <c r="G3580" t="n">
        <v>117.3</v>
      </c>
      <c r="H3580" t="n">
        <v>31.96</v>
      </c>
      <c r="I3580" t="inlineStr">
        <is>
          <t>credit_card</t>
        </is>
      </c>
      <c r="J3580" t="n">
        <v>11</v>
      </c>
      <c r="K3580" t="inlineStr">
        <is>
          <t>On Time</t>
        </is>
      </c>
      <c r="L3580" t="n">
        <v>5</v>
      </c>
      <c r="M3580">
        <f>VLOOKUP(D3580,State_Lookup!$A$2:$B$28,2,FALSE)</f>
        <v/>
      </c>
    </row>
    <row r="3581">
      <c r="A3581" t="inlineStr">
        <is>
          <t>c208742c454c4a949a6126eade1d2ef0</t>
        </is>
      </c>
      <c r="B3581" t="inlineStr">
        <is>
          <t>2018-04-18</t>
        </is>
      </c>
      <c r="C3581" t="inlineStr">
        <is>
          <t>2018-04</t>
        </is>
      </c>
      <c r="D3581" t="inlineStr">
        <is>
          <t>SP</t>
        </is>
      </c>
      <c r="E3581" t="inlineStr">
        <is>
          <t>sports_leisure</t>
        </is>
      </c>
      <c r="F3581" t="n">
        <v>1</v>
      </c>
      <c r="G3581" t="n">
        <v>159</v>
      </c>
      <c r="H3581" t="n">
        <v>17.08</v>
      </c>
      <c r="I3581" t="inlineStr">
        <is>
          <t>credit_card</t>
        </is>
      </c>
      <c r="J3581" t="n">
        <v>7</v>
      </c>
      <c r="K3581" t="inlineStr">
        <is>
          <t>On Time</t>
        </is>
      </c>
      <c r="L3581" t="n">
        <v>5</v>
      </c>
      <c r="M3581">
        <f>VLOOKUP(D3581,State_Lookup!$A$2:$B$28,2,FALSE)</f>
        <v/>
      </c>
    </row>
    <row r="3582">
      <c r="A3582" t="inlineStr">
        <is>
          <t>50ab05e97b974138bdb98e5248bb4ec2</t>
        </is>
      </c>
      <c r="B3582" t="inlineStr">
        <is>
          <t>2018-04-18</t>
        </is>
      </c>
      <c r="C3582" t="inlineStr">
        <is>
          <t>2018-04</t>
        </is>
      </c>
      <c r="D3582" t="inlineStr">
        <is>
          <t>RJ</t>
        </is>
      </c>
      <c r="E3582" t="inlineStr">
        <is>
          <t>home_appliances_2</t>
        </is>
      </c>
      <c r="F3582" t="n">
        <v>1</v>
      </c>
      <c r="G3582" t="n">
        <v>718</v>
      </c>
      <c r="H3582" t="n">
        <v>60.46</v>
      </c>
      <c r="I3582" t="inlineStr">
        <is>
          <t>credit_card</t>
        </is>
      </c>
      <c r="J3582" t="n">
        <v>26</v>
      </c>
      <c r="K3582" t="inlineStr">
        <is>
          <t>On Time</t>
        </is>
      </c>
      <c r="L3582" t="n">
        <v>3</v>
      </c>
      <c r="M3582">
        <f>VLOOKUP(D3582,State_Lookup!$A$2:$B$28,2,FALSE)</f>
        <v/>
      </c>
    </row>
    <row r="3583">
      <c r="A3583" t="inlineStr">
        <is>
          <t>b460e718be1fd4349fed54e71daebf34</t>
        </is>
      </c>
      <c r="B3583" t="inlineStr">
        <is>
          <t>2018-04-18</t>
        </is>
      </c>
      <c r="C3583" t="inlineStr">
        <is>
          <t>2018-04</t>
        </is>
      </c>
      <c r="D3583" t="inlineStr">
        <is>
          <t>RJ</t>
        </is>
      </c>
      <c r="E3583" t="inlineStr">
        <is>
          <t>pet_shop</t>
        </is>
      </c>
      <c r="F3583" t="n">
        <v>1</v>
      </c>
      <c r="G3583" t="n">
        <v>59.99</v>
      </c>
      <c r="H3583" t="n">
        <v>16.39</v>
      </c>
      <c r="I3583" t="inlineStr">
        <is>
          <t>credit_card</t>
        </is>
      </c>
      <c r="J3583" t="n">
        <v>8</v>
      </c>
      <c r="K3583" t="inlineStr">
        <is>
          <t>On Time</t>
        </is>
      </c>
      <c r="L3583" t="n">
        <v>5</v>
      </c>
      <c r="M3583">
        <f>VLOOKUP(D3583,State_Lookup!$A$2:$B$28,2,FALSE)</f>
        <v/>
      </c>
    </row>
    <row r="3584">
      <c r="A3584" t="inlineStr">
        <is>
          <t>ed552069bc1dfbbae315ecf454b1e5d0</t>
        </is>
      </c>
      <c r="B3584" t="inlineStr">
        <is>
          <t>2018-04-18</t>
        </is>
      </c>
      <c r="C3584" t="inlineStr">
        <is>
          <t>2018-04</t>
        </is>
      </c>
      <c r="D3584" t="inlineStr">
        <is>
          <t>SP</t>
        </is>
      </c>
      <c r="E3584" t="inlineStr">
        <is>
          <t>home_appliances</t>
        </is>
      </c>
      <c r="F3584" t="n">
        <v>1</v>
      </c>
      <c r="G3584" t="n">
        <v>52</v>
      </c>
      <c r="H3584" t="n">
        <v>11.86</v>
      </c>
      <c r="I3584" t="inlineStr">
        <is>
          <t>credit_card</t>
        </is>
      </c>
      <c r="J3584" t="n">
        <v>12</v>
      </c>
      <c r="K3584" t="inlineStr">
        <is>
          <t>Late</t>
        </is>
      </c>
      <c r="L3584" t="n">
        <v>5</v>
      </c>
      <c r="M3584">
        <f>VLOOKUP(D3584,State_Lookup!$A$2:$B$28,2,FALSE)</f>
        <v/>
      </c>
    </row>
    <row r="3585">
      <c r="A3585" t="inlineStr">
        <is>
          <t>d6573c37b3389e591e6b1a8e286eac99</t>
        </is>
      </c>
      <c r="B3585" t="inlineStr">
        <is>
          <t>2018-04-19</t>
        </is>
      </c>
      <c r="C3585" t="inlineStr">
        <is>
          <t>2018-04</t>
        </is>
      </c>
      <c r="D3585" t="inlineStr">
        <is>
          <t>RJ</t>
        </is>
      </c>
      <c r="E3585" t="inlineStr">
        <is>
          <t>construction_tools_construction</t>
        </is>
      </c>
      <c r="F3585" t="n">
        <v>1</v>
      </c>
      <c r="G3585" t="n">
        <v>94</v>
      </c>
      <c r="H3585" t="n">
        <v>22.37</v>
      </c>
      <c r="I3585" t="inlineStr">
        <is>
          <t>credit_card</t>
        </is>
      </c>
      <c r="J3585" t="n">
        <v>15</v>
      </c>
      <c r="K3585" t="inlineStr">
        <is>
          <t>On Time</t>
        </is>
      </c>
      <c r="L3585" t="n">
        <v>5</v>
      </c>
      <c r="M3585">
        <f>VLOOKUP(D3585,State_Lookup!$A$2:$B$28,2,FALSE)</f>
        <v/>
      </c>
    </row>
    <row r="3586">
      <c r="A3586" t="inlineStr">
        <is>
          <t>9be33ce4878405dfc4be325fe756b73b</t>
        </is>
      </c>
      <c r="B3586" t="inlineStr">
        <is>
          <t>2018-04-19</t>
        </is>
      </c>
      <c r="C3586" t="inlineStr">
        <is>
          <t>2018-04</t>
        </is>
      </c>
      <c r="D3586" t="inlineStr">
        <is>
          <t>SP</t>
        </is>
      </c>
      <c r="E3586" t="inlineStr">
        <is>
          <t>furniture_decor</t>
        </is>
      </c>
      <c r="F3586" t="n">
        <v>1</v>
      </c>
      <c r="G3586" t="n">
        <v>118.75</v>
      </c>
      <c r="H3586" t="n">
        <v>17.74</v>
      </c>
      <c r="I3586" t="inlineStr">
        <is>
          <t>credit_card</t>
        </is>
      </c>
      <c r="J3586" t="n">
        <v>7</v>
      </c>
      <c r="K3586" t="inlineStr">
        <is>
          <t>On Time</t>
        </is>
      </c>
      <c r="L3586" t="n">
        <v>5</v>
      </c>
      <c r="M3586">
        <f>VLOOKUP(D3586,State_Lookup!$A$2:$B$28,2,FALSE)</f>
        <v/>
      </c>
    </row>
    <row r="3587">
      <c r="A3587" t="inlineStr">
        <is>
          <t>8eac09785112ead8f11813bff461fa91</t>
        </is>
      </c>
      <c r="B3587" t="inlineStr">
        <is>
          <t>2018-04-19</t>
        </is>
      </c>
      <c r="C3587" t="inlineStr">
        <is>
          <t>2018-04</t>
        </is>
      </c>
      <c r="D3587" t="inlineStr">
        <is>
          <t>SP</t>
        </is>
      </c>
      <c r="E3587" t="inlineStr">
        <is>
          <t>garden_tools</t>
        </is>
      </c>
      <c r="F3587" t="n">
        <v>1</v>
      </c>
      <c r="G3587" t="n">
        <v>53.9</v>
      </c>
      <c r="H3587" t="n">
        <v>0</v>
      </c>
      <c r="I3587" t="inlineStr">
        <is>
          <t>credit_card</t>
        </is>
      </c>
      <c r="J3587" t="n">
        <v>8</v>
      </c>
      <c r="K3587" t="inlineStr">
        <is>
          <t>On Time</t>
        </is>
      </c>
      <c r="L3587" t="n">
        <v>5</v>
      </c>
      <c r="M3587">
        <f>VLOOKUP(D3587,State_Lookup!$A$2:$B$28,2,FALSE)</f>
        <v/>
      </c>
    </row>
    <row r="3588">
      <c r="A3588" t="inlineStr">
        <is>
          <t>7dbe3b6d08b31967f83f9c26988bd7c7</t>
        </is>
      </c>
      <c r="B3588" t="inlineStr">
        <is>
          <t>2018-04-19</t>
        </is>
      </c>
      <c r="C3588" t="inlineStr">
        <is>
          <t>2018-04</t>
        </is>
      </c>
      <c r="D3588" t="inlineStr">
        <is>
          <t>SP</t>
        </is>
      </c>
      <c r="E3588" t="inlineStr">
        <is>
          <t>health_beauty</t>
        </is>
      </c>
      <c r="F3588" t="n">
        <v>1</v>
      </c>
      <c r="G3588" t="n">
        <v>370.47</v>
      </c>
      <c r="H3588" t="n">
        <v>21.4</v>
      </c>
      <c r="I3588" t="inlineStr">
        <is>
          <t>credit_card</t>
        </is>
      </c>
      <c r="J3588" t="n">
        <v>8</v>
      </c>
      <c r="K3588" t="inlineStr">
        <is>
          <t>On Time</t>
        </is>
      </c>
      <c r="L3588" t="n">
        <v>5</v>
      </c>
      <c r="M3588">
        <f>VLOOKUP(D3588,State_Lookup!$A$2:$B$28,2,FALSE)</f>
        <v/>
      </c>
    </row>
    <row r="3589">
      <c r="A3589" t="inlineStr">
        <is>
          <t>906be41c08c186ca1b3152e6e9a04ed4</t>
        </is>
      </c>
      <c r="B3589" t="inlineStr">
        <is>
          <t>2018-04-19</t>
        </is>
      </c>
      <c r="C3589" t="inlineStr">
        <is>
          <t>2018-04</t>
        </is>
      </c>
      <c r="D3589" t="inlineStr">
        <is>
          <t>SP</t>
        </is>
      </c>
      <c r="E3589" t="inlineStr">
        <is>
          <t>computers_accessories</t>
        </is>
      </c>
      <c r="F3589" t="n">
        <v>2</v>
      </c>
      <c r="G3589" t="n">
        <v>169.78</v>
      </c>
      <c r="H3589" t="n">
        <v>15.88</v>
      </c>
      <c r="I3589" t="inlineStr">
        <is>
          <t>credit_card</t>
        </is>
      </c>
      <c r="J3589" t="n">
        <v>8</v>
      </c>
      <c r="K3589" t="inlineStr">
        <is>
          <t>On Time</t>
        </is>
      </c>
      <c r="L3589" t="n">
        <v>4</v>
      </c>
      <c r="M3589">
        <f>VLOOKUP(D3589,State_Lookup!$A$2:$B$28,2,FALSE)</f>
        <v/>
      </c>
    </row>
    <row r="3590">
      <c r="A3590" t="inlineStr">
        <is>
          <t>3bce1be95e783fcb928b6435d268d89c</t>
        </is>
      </c>
      <c r="B3590" t="inlineStr">
        <is>
          <t>2018-04-19</t>
        </is>
      </c>
      <c r="C3590" t="inlineStr">
        <is>
          <t>2018-04</t>
        </is>
      </c>
      <c r="D3590" t="inlineStr">
        <is>
          <t>SP</t>
        </is>
      </c>
      <c r="E3590" t="inlineStr">
        <is>
          <t>furniture_decor</t>
        </is>
      </c>
      <c r="F3590" t="n">
        <v>1</v>
      </c>
      <c r="G3590" t="n">
        <v>129</v>
      </c>
      <c r="H3590" t="n">
        <v>21.98</v>
      </c>
      <c r="I3590" t="inlineStr">
        <is>
          <t>credit_card</t>
        </is>
      </c>
      <c r="J3590" t="n">
        <v>5</v>
      </c>
      <c r="K3590" t="inlineStr">
        <is>
          <t>On Time</t>
        </is>
      </c>
      <c r="L3590" t="n">
        <v>5</v>
      </c>
      <c r="M3590">
        <f>VLOOKUP(D3590,State_Lookup!$A$2:$B$28,2,FALSE)</f>
        <v/>
      </c>
    </row>
    <row r="3591">
      <c r="A3591" t="inlineStr">
        <is>
          <t>fd15c3951b25d11abd0fcc3518ef2b42</t>
        </is>
      </c>
      <c r="B3591" t="inlineStr">
        <is>
          <t>2018-04-19</t>
        </is>
      </c>
      <c r="C3591" t="inlineStr">
        <is>
          <t>2018-04</t>
        </is>
      </c>
      <c r="D3591" t="inlineStr">
        <is>
          <t>RS</t>
        </is>
      </c>
      <c r="E3591" t="inlineStr">
        <is>
          <t>furniture_decor</t>
        </is>
      </c>
      <c r="F3591" t="n">
        <v>1</v>
      </c>
      <c r="G3591" t="n">
        <v>69.90000000000001</v>
      </c>
      <c r="H3591" t="n">
        <v>19.46</v>
      </c>
      <c r="I3591" t="inlineStr">
        <is>
          <t>boleto</t>
        </is>
      </c>
      <c r="J3591" t="n">
        <v>13</v>
      </c>
      <c r="K3591" t="inlineStr">
        <is>
          <t>On Time</t>
        </is>
      </c>
      <c r="L3591" t="n">
        <v>5</v>
      </c>
      <c r="M3591">
        <f>VLOOKUP(D3591,State_Lookup!$A$2:$B$28,2,FALSE)</f>
        <v/>
      </c>
    </row>
    <row r="3592">
      <c r="A3592" t="inlineStr">
        <is>
          <t>f79a31ab5cdfb67808fb8e27005ffa52</t>
        </is>
      </c>
      <c r="B3592" t="inlineStr">
        <is>
          <t>2018-04-19</t>
        </is>
      </c>
      <c r="C3592" t="inlineStr">
        <is>
          <t>2018-04</t>
        </is>
      </c>
      <c r="D3592" t="inlineStr">
        <is>
          <t>MG</t>
        </is>
      </c>
      <c r="E3592" t="inlineStr">
        <is>
          <t>cool_stuff</t>
        </is>
      </c>
      <c r="F3592" t="n">
        <v>1</v>
      </c>
      <c r="G3592" t="n">
        <v>82.98999999999999</v>
      </c>
      <c r="H3592" t="n">
        <v>18.52</v>
      </c>
      <c r="I3592" t="inlineStr">
        <is>
          <t>boleto</t>
        </is>
      </c>
      <c r="J3592" t="n">
        <v>11</v>
      </c>
      <c r="K3592" t="inlineStr">
        <is>
          <t>On Time</t>
        </is>
      </c>
      <c r="L3592" t="n">
        <v>5</v>
      </c>
      <c r="M3592">
        <f>VLOOKUP(D3592,State_Lookup!$A$2:$B$28,2,FALSE)</f>
        <v/>
      </c>
    </row>
    <row r="3593">
      <c r="A3593" t="inlineStr">
        <is>
          <t>34f8407f7b8a9e33a001e63eb8d08545</t>
        </is>
      </c>
      <c r="B3593" t="inlineStr">
        <is>
          <t>2018-04-19</t>
        </is>
      </c>
      <c r="C3593" t="inlineStr">
        <is>
          <t>2018-04</t>
        </is>
      </c>
      <c r="D3593" t="inlineStr">
        <is>
          <t>DF</t>
        </is>
      </c>
      <c r="E3593" t="inlineStr">
        <is>
          <t>furniture_decor</t>
        </is>
      </c>
      <c r="F3593" t="n">
        <v>1</v>
      </c>
      <c r="G3593" t="n">
        <v>14.9</v>
      </c>
      <c r="H3593" t="n">
        <v>19.32</v>
      </c>
      <c r="I3593" t="inlineStr">
        <is>
          <t>credit_card</t>
        </is>
      </c>
      <c r="J3593" t="n">
        <v>15</v>
      </c>
      <c r="K3593" t="inlineStr">
        <is>
          <t>On Time</t>
        </is>
      </c>
      <c r="L3593" t="n">
        <v>5</v>
      </c>
      <c r="M3593">
        <f>VLOOKUP(D3593,State_Lookup!$A$2:$B$28,2,FALSE)</f>
        <v/>
      </c>
    </row>
    <row r="3594">
      <c r="A3594" t="inlineStr">
        <is>
          <t>39cdc187b130d5b19a832af5443121fa</t>
        </is>
      </c>
      <c r="B3594" t="inlineStr">
        <is>
          <t>2018-04-19</t>
        </is>
      </c>
      <c r="C3594" t="inlineStr">
        <is>
          <t>2018-04</t>
        </is>
      </c>
      <c r="D3594" t="inlineStr">
        <is>
          <t>SP</t>
        </is>
      </c>
      <c r="E3594" t="inlineStr">
        <is>
          <t>electronics</t>
        </is>
      </c>
      <c r="F3594" t="n">
        <v>1</v>
      </c>
      <c r="G3594" t="n">
        <v>30</v>
      </c>
      <c r="H3594" t="n">
        <v>8.289999999999999</v>
      </c>
      <c r="I3594" t="inlineStr">
        <is>
          <t>credit_card</t>
        </is>
      </c>
      <c r="J3594" t="n">
        <v>6</v>
      </c>
      <c r="K3594" t="inlineStr">
        <is>
          <t>On Time</t>
        </is>
      </c>
      <c r="L3594" t="n">
        <v>5</v>
      </c>
      <c r="M3594">
        <f>VLOOKUP(D3594,State_Lookup!$A$2:$B$28,2,FALSE)</f>
        <v/>
      </c>
    </row>
    <row r="3595">
      <c r="A3595" t="inlineStr">
        <is>
          <t>571e58edcddc5a553546eecfa4b09aa0</t>
        </is>
      </c>
      <c r="B3595" t="inlineStr">
        <is>
          <t>2018-04-19</t>
        </is>
      </c>
      <c r="C3595" t="inlineStr">
        <is>
          <t>2018-04</t>
        </is>
      </c>
      <c r="D3595" t="inlineStr">
        <is>
          <t>RJ</t>
        </is>
      </c>
      <c r="E3595" t="inlineStr">
        <is>
          <t>health_beauty</t>
        </is>
      </c>
      <c r="F3595" t="n">
        <v>1</v>
      </c>
      <c r="G3595" t="n">
        <v>9.4</v>
      </c>
      <c r="H3595" t="n">
        <v>7.55</v>
      </c>
      <c r="I3595" t="inlineStr">
        <is>
          <t>credit_card</t>
        </is>
      </c>
      <c r="J3595" t="n">
        <v>3</v>
      </c>
      <c r="K3595" t="inlineStr">
        <is>
          <t>On Time</t>
        </is>
      </c>
      <c r="L3595" t="n">
        <v>5</v>
      </c>
      <c r="M3595">
        <f>VLOOKUP(D3595,State_Lookup!$A$2:$B$28,2,FALSE)</f>
        <v/>
      </c>
    </row>
    <row r="3596">
      <c r="A3596" t="inlineStr">
        <is>
          <t>60e3ebce36d40be343e1f240b81a811e</t>
        </is>
      </c>
      <c r="B3596" t="inlineStr">
        <is>
          <t>2018-04-19</t>
        </is>
      </c>
      <c r="C3596" t="inlineStr">
        <is>
          <t>2018-04</t>
        </is>
      </c>
      <c r="D3596" t="inlineStr">
        <is>
          <t>RJ</t>
        </is>
      </c>
      <c r="E3596" t="inlineStr">
        <is>
          <t>watches_gifts</t>
        </is>
      </c>
      <c r="F3596" t="n">
        <v>1</v>
      </c>
      <c r="G3596" t="n">
        <v>579</v>
      </c>
      <c r="H3596" t="n">
        <v>25.76</v>
      </c>
      <c r="I3596" t="inlineStr">
        <is>
          <t>credit_card</t>
        </is>
      </c>
      <c r="J3596" t="n">
        <v>11</v>
      </c>
      <c r="K3596" t="inlineStr">
        <is>
          <t>On Time</t>
        </is>
      </c>
      <c r="L3596" t="n">
        <v>5</v>
      </c>
      <c r="M3596">
        <f>VLOOKUP(D3596,State_Lookup!$A$2:$B$28,2,FALSE)</f>
        <v/>
      </c>
    </row>
    <row r="3597">
      <c r="A3597" t="inlineStr">
        <is>
          <t>c3d40727f60424d81739c4647fab72aa</t>
        </is>
      </c>
      <c r="B3597" t="inlineStr">
        <is>
          <t>2018-04-19</t>
        </is>
      </c>
      <c r="C3597" t="inlineStr">
        <is>
          <t>2018-04</t>
        </is>
      </c>
      <c r="D3597" t="inlineStr">
        <is>
          <t>MG</t>
        </is>
      </c>
      <c r="E3597" t="inlineStr">
        <is>
          <t>watches_gifts</t>
        </is>
      </c>
      <c r="F3597" t="n">
        <v>1</v>
      </c>
      <c r="G3597" t="n">
        <v>110</v>
      </c>
      <c r="H3597" t="n">
        <v>0</v>
      </c>
      <c r="I3597" t="inlineStr">
        <is>
          <t>credit_card</t>
        </is>
      </c>
      <c r="J3597" t="n">
        <v>11</v>
      </c>
      <c r="K3597" t="inlineStr">
        <is>
          <t>On Time</t>
        </is>
      </c>
      <c r="L3597" t="n">
        <v>5</v>
      </c>
      <c r="M3597">
        <f>VLOOKUP(D3597,State_Lookup!$A$2:$B$28,2,FALSE)</f>
        <v/>
      </c>
    </row>
    <row r="3598">
      <c r="A3598" t="inlineStr">
        <is>
          <t>f9df206bb22d417017b52ddef1c2795e</t>
        </is>
      </c>
      <c r="B3598" t="inlineStr">
        <is>
          <t>2018-04-19</t>
        </is>
      </c>
      <c r="C3598" t="inlineStr">
        <is>
          <t>2018-04</t>
        </is>
      </c>
      <c r="D3598" t="inlineStr">
        <is>
          <t>RN</t>
        </is>
      </c>
      <c r="E3598" t="inlineStr">
        <is>
          <t>computers_accessories</t>
        </is>
      </c>
      <c r="F3598" t="n">
        <v>2</v>
      </c>
      <c r="G3598" t="n">
        <v>159.8</v>
      </c>
      <c r="H3598" t="n">
        <v>46.12</v>
      </c>
      <c r="I3598" t="inlineStr">
        <is>
          <t>credit_card</t>
        </is>
      </c>
      <c r="J3598" t="n">
        <v>10</v>
      </c>
      <c r="K3598" t="inlineStr">
        <is>
          <t>On Time</t>
        </is>
      </c>
      <c r="L3598" t="n">
        <v>1</v>
      </c>
      <c r="M3598">
        <f>VLOOKUP(D3598,State_Lookup!$A$2:$B$28,2,FALSE)</f>
        <v/>
      </c>
    </row>
    <row r="3599">
      <c r="A3599" t="inlineStr">
        <is>
          <t>68fb895df51e234a55fbf5c30c873fd2</t>
        </is>
      </c>
      <c r="B3599" t="inlineStr">
        <is>
          <t>2018-04-19</t>
        </is>
      </c>
      <c r="C3599" t="inlineStr">
        <is>
          <t>2018-04</t>
        </is>
      </c>
      <c r="D3599" t="inlineStr">
        <is>
          <t>SP</t>
        </is>
      </c>
      <c r="E3599" t="inlineStr">
        <is>
          <t>baby</t>
        </is>
      </c>
      <c r="F3599" t="n">
        <v>1</v>
      </c>
      <c r="G3599" t="n">
        <v>109.9</v>
      </c>
      <c r="H3599" t="n">
        <v>18.35</v>
      </c>
      <c r="I3599" t="inlineStr">
        <is>
          <t>credit_card</t>
        </is>
      </c>
      <c r="J3599" t="n">
        <v>6</v>
      </c>
      <c r="K3599" t="inlineStr">
        <is>
          <t>On Time</t>
        </is>
      </c>
      <c r="L3599" t="n">
        <v>5</v>
      </c>
      <c r="M3599">
        <f>VLOOKUP(D3599,State_Lookup!$A$2:$B$28,2,FALSE)</f>
        <v/>
      </c>
    </row>
    <row r="3600">
      <c r="A3600" t="inlineStr">
        <is>
          <t>cf954e7391c1981cc9090267aec67ee9</t>
        </is>
      </c>
      <c r="B3600" t="inlineStr">
        <is>
          <t>2018-04-19</t>
        </is>
      </c>
      <c r="C3600" t="inlineStr">
        <is>
          <t>2018-04</t>
        </is>
      </c>
      <c r="D3600" t="inlineStr">
        <is>
          <t>DF</t>
        </is>
      </c>
      <c r="E3600" t="inlineStr">
        <is>
          <t>home_appliances</t>
        </is>
      </c>
      <c r="F3600" t="n">
        <v>1</v>
      </c>
      <c r="G3600" t="n">
        <v>52</v>
      </c>
      <c r="H3600" t="n">
        <v>22.94</v>
      </c>
      <c r="I3600" t="inlineStr">
        <is>
          <t>credit_card</t>
        </is>
      </c>
      <c r="J3600" t="n">
        <v>20</v>
      </c>
      <c r="K3600" t="inlineStr">
        <is>
          <t>Late</t>
        </is>
      </c>
      <c r="L3600" t="n">
        <v>4</v>
      </c>
      <c r="M3600">
        <f>VLOOKUP(D3600,State_Lookup!$A$2:$B$28,2,FALSE)</f>
        <v/>
      </c>
    </row>
    <row r="3601">
      <c r="A3601" t="inlineStr">
        <is>
          <t>dcfdf4c257739648a81742a5ea7f8a07</t>
        </is>
      </c>
      <c r="B3601" t="inlineStr">
        <is>
          <t>2018-04-19</t>
        </is>
      </c>
      <c r="C3601" t="inlineStr">
        <is>
          <t>2018-04</t>
        </is>
      </c>
      <c r="D3601" t="inlineStr">
        <is>
          <t>RS</t>
        </is>
      </c>
      <c r="E3601" t="inlineStr">
        <is>
          <t>furniture_decor</t>
        </is>
      </c>
      <c r="F3601" t="n">
        <v>1</v>
      </c>
      <c r="G3601" t="n">
        <v>230</v>
      </c>
      <c r="H3601" t="n">
        <v>19.95</v>
      </c>
      <c r="I3601" t="inlineStr">
        <is>
          <t>boleto</t>
        </is>
      </c>
      <c r="J3601" t="n">
        <v>8</v>
      </c>
      <c r="K3601" t="inlineStr">
        <is>
          <t>On Time</t>
        </is>
      </c>
      <c r="L3601" t="n">
        <v>5</v>
      </c>
      <c r="M3601">
        <f>VLOOKUP(D3601,State_Lookup!$A$2:$B$28,2,FALSE)</f>
        <v/>
      </c>
    </row>
    <row r="3602">
      <c r="A3602" t="inlineStr">
        <is>
          <t>b02a2e4aaf38eb7c05ef28a6091ae2ce</t>
        </is>
      </c>
      <c r="B3602" t="inlineStr">
        <is>
          <t>2018-04-19</t>
        </is>
      </c>
      <c r="C3602" t="inlineStr">
        <is>
          <t>2018-04</t>
        </is>
      </c>
      <c r="D3602" t="inlineStr">
        <is>
          <t>PE</t>
        </is>
      </c>
      <c r="E3602" t="inlineStr">
        <is>
          <t>garden_tools</t>
        </is>
      </c>
      <c r="F3602" t="n">
        <v>1</v>
      </c>
      <c r="G3602" t="n">
        <v>500</v>
      </c>
      <c r="H3602" t="n">
        <v>40.19</v>
      </c>
      <c r="I3602" t="inlineStr">
        <is>
          <t>credit_card</t>
        </is>
      </c>
      <c r="J3602" t="n">
        <v>20</v>
      </c>
      <c r="K3602" t="inlineStr">
        <is>
          <t>On Time</t>
        </is>
      </c>
      <c r="L3602" t="n">
        <v>4</v>
      </c>
      <c r="M3602">
        <f>VLOOKUP(D3602,State_Lookup!$A$2:$B$28,2,FALSE)</f>
        <v/>
      </c>
    </row>
    <row r="3603">
      <c r="A3603" t="inlineStr">
        <is>
          <t>d6b35060d6baa125cae83779381704e2</t>
        </is>
      </c>
      <c r="B3603" t="inlineStr">
        <is>
          <t>2018-04-19</t>
        </is>
      </c>
      <c r="C3603" t="inlineStr">
        <is>
          <t>2018-04</t>
        </is>
      </c>
      <c r="D3603" t="inlineStr">
        <is>
          <t>MG</t>
        </is>
      </c>
      <c r="E3603" t="inlineStr">
        <is>
          <t>sports_leisure</t>
        </is>
      </c>
      <c r="F3603" t="n">
        <v>1</v>
      </c>
      <c r="G3603" t="n">
        <v>179</v>
      </c>
      <c r="H3603" t="n">
        <v>19.13</v>
      </c>
      <c r="I3603" t="inlineStr">
        <is>
          <t>credit_card</t>
        </is>
      </c>
      <c r="J3603" t="n">
        <v>12</v>
      </c>
      <c r="K3603" t="inlineStr">
        <is>
          <t>On Time</t>
        </is>
      </c>
      <c r="L3603" t="n">
        <v>5</v>
      </c>
      <c r="M3603">
        <f>VLOOKUP(D3603,State_Lookup!$A$2:$B$28,2,FALSE)</f>
        <v/>
      </c>
    </row>
    <row r="3604">
      <c r="A3604" t="inlineStr">
        <is>
          <t>7958f96c87dcc4edd752ef1a39e75cd9</t>
        </is>
      </c>
      <c r="B3604" t="inlineStr">
        <is>
          <t>2018-04-19</t>
        </is>
      </c>
      <c r="C3604" t="inlineStr">
        <is>
          <t>2018-04</t>
        </is>
      </c>
      <c r="D3604" t="inlineStr">
        <is>
          <t>SP</t>
        </is>
      </c>
      <c r="E3604" t="inlineStr">
        <is>
          <t>telephony</t>
        </is>
      </c>
      <c r="F3604" t="n">
        <v>1</v>
      </c>
      <c r="G3604" t="n">
        <v>385</v>
      </c>
      <c r="H3604" t="n">
        <v>10.46</v>
      </c>
      <c r="I3604" t="inlineStr">
        <is>
          <t>credit_card</t>
        </is>
      </c>
      <c r="J3604" t="n">
        <v>8</v>
      </c>
      <c r="K3604" t="inlineStr">
        <is>
          <t>On Time</t>
        </is>
      </c>
      <c r="L3604" t="n">
        <v>5</v>
      </c>
      <c r="M3604">
        <f>VLOOKUP(D3604,State_Lookup!$A$2:$B$28,2,FALSE)</f>
        <v/>
      </c>
    </row>
    <row r="3605">
      <c r="A3605" t="inlineStr">
        <is>
          <t>acce8f40fcce1d7eb0d4211d183fe9bc</t>
        </is>
      </c>
      <c r="B3605" t="inlineStr">
        <is>
          <t>2018-04-19</t>
        </is>
      </c>
      <c r="C3605" t="inlineStr">
        <is>
          <t>2018-04</t>
        </is>
      </c>
      <c r="D3605" t="inlineStr">
        <is>
          <t>SP</t>
        </is>
      </c>
      <c r="E3605" t="inlineStr">
        <is>
          <t>furniture_decor</t>
        </is>
      </c>
      <c r="F3605" t="n">
        <v>1</v>
      </c>
      <c r="G3605" t="n">
        <v>24.9</v>
      </c>
      <c r="H3605" t="n">
        <v>14.44</v>
      </c>
      <c r="I3605" t="inlineStr">
        <is>
          <t>boleto</t>
        </is>
      </c>
      <c r="J3605" t="n">
        <v>7</v>
      </c>
      <c r="K3605" t="inlineStr">
        <is>
          <t>On Time</t>
        </is>
      </c>
      <c r="L3605" t="n">
        <v>5</v>
      </c>
      <c r="M3605">
        <f>VLOOKUP(D3605,State_Lookup!$A$2:$B$28,2,FALSE)</f>
        <v/>
      </c>
    </row>
    <row r="3606">
      <c r="A3606" t="inlineStr">
        <is>
          <t>b73c36e570877e647fc56872cfbb3fa6</t>
        </is>
      </c>
      <c r="B3606" t="inlineStr">
        <is>
          <t>2018-04-19</t>
        </is>
      </c>
      <c r="C3606" t="inlineStr">
        <is>
          <t>2018-04</t>
        </is>
      </c>
      <c r="D3606" t="inlineStr">
        <is>
          <t>SP</t>
        </is>
      </c>
      <c r="E3606" t="inlineStr">
        <is>
          <t>toys</t>
        </is>
      </c>
      <c r="F3606" t="n">
        <v>1</v>
      </c>
      <c r="G3606" t="n">
        <v>12.99</v>
      </c>
      <c r="H3606" t="n">
        <v>7.39</v>
      </c>
      <c r="I3606" t="inlineStr">
        <is>
          <t>credit_card</t>
        </is>
      </c>
      <c r="J3606" t="n">
        <v>4</v>
      </c>
      <c r="K3606" t="inlineStr">
        <is>
          <t>On Time</t>
        </is>
      </c>
      <c r="L3606" t="n">
        <v>5</v>
      </c>
      <c r="M3606">
        <f>VLOOKUP(D3606,State_Lookup!$A$2:$B$28,2,FALSE)</f>
        <v/>
      </c>
    </row>
    <row r="3607">
      <c r="A3607" t="inlineStr">
        <is>
          <t>3af06414a3acfc16eadcc64c0b6a8f7c</t>
        </is>
      </c>
      <c r="B3607" t="inlineStr">
        <is>
          <t>2018-04-20</t>
        </is>
      </c>
      <c r="C3607" t="inlineStr">
        <is>
          <t>2018-04</t>
        </is>
      </c>
      <c r="D3607" t="inlineStr">
        <is>
          <t>SP</t>
        </is>
      </c>
      <c r="E3607" t="inlineStr">
        <is>
          <t>computers_accessories</t>
        </is>
      </c>
      <c r="F3607" t="n">
        <v>1</v>
      </c>
      <c r="G3607" t="n">
        <v>177.9</v>
      </c>
      <c r="H3607" t="n">
        <v>17.96</v>
      </c>
      <c r="I3607" t="inlineStr">
        <is>
          <t>credit_card</t>
        </is>
      </c>
      <c r="J3607" t="n">
        <v>10</v>
      </c>
      <c r="K3607" t="inlineStr">
        <is>
          <t>On Time</t>
        </is>
      </c>
      <c r="L3607" t="n">
        <v>3</v>
      </c>
      <c r="M3607">
        <f>VLOOKUP(D3607,State_Lookup!$A$2:$B$28,2,FALSE)</f>
        <v/>
      </c>
    </row>
    <row r="3608">
      <c r="A3608" t="inlineStr">
        <is>
          <t>c85fe66e2c1cb66a9461604acc956de9</t>
        </is>
      </c>
      <c r="B3608" t="inlineStr">
        <is>
          <t>2018-04-20</t>
        </is>
      </c>
      <c r="C3608" t="inlineStr">
        <is>
          <t>2018-04</t>
        </is>
      </c>
      <c r="D3608" t="inlineStr">
        <is>
          <t>SP</t>
        </is>
      </c>
      <c r="E3608" t="inlineStr">
        <is>
          <t>health_beauty</t>
        </is>
      </c>
      <c r="F3608" t="n">
        <v>1</v>
      </c>
      <c r="G3608" t="n">
        <v>58.9</v>
      </c>
      <c r="H3608" t="n">
        <v>7.39</v>
      </c>
      <c r="I3608" t="inlineStr">
        <is>
          <t>credit_card</t>
        </is>
      </c>
      <c r="J3608" t="n">
        <v>3</v>
      </c>
      <c r="K3608" t="inlineStr">
        <is>
          <t>On Time</t>
        </is>
      </c>
      <c r="L3608" t="n">
        <v>5</v>
      </c>
      <c r="M3608">
        <f>VLOOKUP(D3608,State_Lookup!$A$2:$B$28,2,FALSE)</f>
        <v/>
      </c>
    </row>
    <row r="3609">
      <c r="A3609" t="inlineStr">
        <is>
          <t>f8a3dc81761d2783626d9deb2dc55088</t>
        </is>
      </c>
      <c r="B3609" t="inlineStr">
        <is>
          <t>2018-04-20</t>
        </is>
      </c>
      <c r="C3609" t="inlineStr">
        <is>
          <t>2018-04</t>
        </is>
      </c>
      <c r="D3609" t="inlineStr">
        <is>
          <t>SP</t>
        </is>
      </c>
      <c r="E3609" t="inlineStr">
        <is>
          <t>bed_bath_table</t>
        </is>
      </c>
      <c r="F3609" t="n">
        <v>1</v>
      </c>
      <c r="G3609" t="n">
        <v>75.26000000000001</v>
      </c>
      <c r="H3609" t="n">
        <v>14.62</v>
      </c>
      <c r="I3609" t="inlineStr">
        <is>
          <t>credit_card</t>
        </is>
      </c>
      <c r="J3609" t="n">
        <v>6</v>
      </c>
      <c r="K3609" t="inlineStr">
        <is>
          <t>On Time</t>
        </is>
      </c>
      <c r="L3609" t="n">
        <v>5</v>
      </c>
      <c r="M3609">
        <f>VLOOKUP(D3609,State_Lookup!$A$2:$B$28,2,FALSE)</f>
        <v/>
      </c>
    </row>
    <row r="3610">
      <c r="A3610" t="inlineStr">
        <is>
          <t>96b0f7debb763d6546823ac47d15e739</t>
        </is>
      </c>
      <c r="B3610" t="inlineStr">
        <is>
          <t>2018-04-20</t>
        </is>
      </c>
      <c r="C3610" t="inlineStr">
        <is>
          <t>2018-04</t>
        </is>
      </c>
      <c r="D3610" t="inlineStr">
        <is>
          <t>SP</t>
        </is>
      </c>
      <c r="E3610" t="inlineStr">
        <is>
          <t>fashion_shoes</t>
        </is>
      </c>
      <c r="F3610" t="n">
        <v>1</v>
      </c>
      <c r="G3610" t="n">
        <v>99.90000000000001</v>
      </c>
      <c r="H3610" t="n">
        <v>14.79</v>
      </c>
      <c r="I3610" t="inlineStr">
        <is>
          <t>credit_card</t>
        </is>
      </c>
      <c r="J3610" t="n">
        <v>16</v>
      </c>
      <c r="K3610" t="inlineStr">
        <is>
          <t>On Time</t>
        </is>
      </c>
      <c r="L3610" t="n">
        <v>4</v>
      </c>
      <c r="M3610">
        <f>VLOOKUP(D3610,State_Lookup!$A$2:$B$28,2,FALSE)</f>
        <v/>
      </c>
    </row>
    <row r="3611">
      <c r="A3611" t="inlineStr">
        <is>
          <t>32cfd413ea0c915a211233c47b4e4de6</t>
        </is>
      </c>
      <c r="B3611" t="inlineStr">
        <is>
          <t>2018-04-20</t>
        </is>
      </c>
      <c r="C3611" t="inlineStr">
        <is>
          <t>2018-04</t>
        </is>
      </c>
      <c r="D3611" t="inlineStr">
        <is>
          <t>DF</t>
        </is>
      </c>
      <c r="E3611" t="inlineStr">
        <is>
          <t>telephony</t>
        </is>
      </c>
      <c r="F3611" t="n">
        <v>1</v>
      </c>
      <c r="G3611" t="n">
        <v>29.99</v>
      </c>
      <c r="H3611" t="n">
        <v>15.23</v>
      </c>
      <c r="I3611" t="inlineStr">
        <is>
          <t>debit_card</t>
        </is>
      </c>
      <c r="J3611" t="n">
        <v>10</v>
      </c>
      <c r="K3611" t="inlineStr">
        <is>
          <t>On Time</t>
        </is>
      </c>
      <c r="L3611" t="n">
        <v>3</v>
      </c>
      <c r="M3611">
        <f>VLOOKUP(D3611,State_Lookup!$A$2:$B$28,2,FALSE)</f>
        <v/>
      </c>
    </row>
    <row r="3612">
      <c r="A3612" t="inlineStr">
        <is>
          <t>f672640d8f525e7ee9e9662776f4ed0f</t>
        </is>
      </c>
      <c r="B3612" t="inlineStr">
        <is>
          <t>2018-04-20</t>
        </is>
      </c>
      <c r="C3612" t="inlineStr">
        <is>
          <t>2018-04</t>
        </is>
      </c>
      <c r="D3612" t="inlineStr">
        <is>
          <t>SP</t>
        </is>
      </c>
      <c r="E3612" t="inlineStr">
        <is>
          <t>health_beauty</t>
        </is>
      </c>
      <c r="F3612" t="n">
        <v>1</v>
      </c>
      <c r="G3612" t="n">
        <v>529.9</v>
      </c>
      <c r="H3612" t="n">
        <v>21.59</v>
      </c>
      <c r="I3612" t="inlineStr">
        <is>
          <t>credit_card</t>
        </is>
      </c>
      <c r="J3612" t="n">
        <v>10</v>
      </c>
      <c r="K3612" t="inlineStr">
        <is>
          <t>On Time</t>
        </is>
      </c>
      <c r="L3612" t="n">
        <v>5</v>
      </c>
      <c r="M3612">
        <f>VLOOKUP(D3612,State_Lookup!$A$2:$B$28,2,FALSE)</f>
        <v/>
      </c>
    </row>
    <row r="3613">
      <c r="A3613" t="inlineStr">
        <is>
          <t>fcb37577370584bc94c2b97a2e61433c</t>
        </is>
      </c>
      <c r="B3613" t="inlineStr">
        <is>
          <t>2018-04-20</t>
        </is>
      </c>
      <c r="C3613" t="inlineStr">
        <is>
          <t>2018-04</t>
        </is>
      </c>
      <c r="D3613" t="inlineStr">
        <is>
          <t>SP</t>
        </is>
      </c>
      <c r="E3613" t="inlineStr">
        <is>
          <t>office_furniture</t>
        </is>
      </c>
      <c r="F3613" t="n">
        <v>1</v>
      </c>
      <c r="G3613" t="n">
        <v>116.94</v>
      </c>
      <c r="H3613" t="n">
        <v>16.69</v>
      </c>
      <c r="I3613" t="inlineStr">
        <is>
          <t>credit_card</t>
        </is>
      </c>
      <c r="J3613" t="n">
        <v>14</v>
      </c>
      <c r="K3613" t="inlineStr">
        <is>
          <t>On Time</t>
        </is>
      </c>
      <c r="L3613" t="n">
        <v>4</v>
      </c>
      <c r="M3613">
        <f>VLOOKUP(D3613,State_Lookup!$A$2:$B$28,2,FALSE)</f>
        <v/>
      </c>
    </row>
    <row r="3614">
      <c r="A3614" t="inlineStr">
        <is>
          <t>18a0085788733945772c772b19bceed7</t>
        </is>
      </c>
      <c r="B3614" t="inlineStr">
        <is>
          <t>2018-04-20</t>
        </is>
      </c>
      <c r="C3614" t="inlineStr">
        <is>
          <t>2018-04</t>
        </is>
      </c>
      <c r="D3614" t="inlineStr">
        <is>
          <t>SP</t>
        </is>
      </c>
      <c r="E3614" t="inlineStr">
        <is>
          <t>watches_gifts</t>
        </is>
      </c>
      <c r="F3614" t="n">
        <v>1</v>
      </c>
      <c r="G3614" t="n">
        <v>106.9</v>
      </c>
      <c r="H3614" t="n">
        <v>0</v>
      </c>
      <c r="I3614" t="inlineStr">
        <is>
          <t>credit_card</t>
        </is>
      </c>
      <c r="J3614" t="n">
        <v>10</v>
      </c>
      <c r="K3614" t="inlineStr">
        <is>
          <t>On Time</t>
        </is>
      </c>
      <c r="L3614" t="n">
        <v>5</v>
      </c>
      <c r="M3614">
        <f>VLOOKUP(D3614,State_Lookup!$A$2:$B$28,2,FALSE)</f>
        <v/>
      </c>
    </row>
    <row r="3615">
      <c r="A3615" t="inlineStr">
        <is>
          <t>dbf4e3f97023c5490b058fba8b675191</t>
        </is>
      </c>
      <c r="B3615" t="inlineStr">
        <is>
          <t>2018-04-20</t>
        </is>
      </c>
      <c r="C3615" t="inlineStr">
        <is>
          <t>2018-04</t>
        </is>
      </c>
      <c r="D3615" t="inlineStr">
        <is>
          <t>DF</t>
        </is>
      </c>
      <c r="E3615" t="inlineStr">
        <is>
          <t>electronics</t>
        </is>
      </c>
      <c r="F3615" t="n">
        <v>1</v>
      </c>
      <c r="G3615" t="n">
        <v>12.25</v>
      </c>
      <c r="H3615" t="n">
        <v>15.23</v>
      </c>
      <c r="I3615" t="inlineStr">
        <is>
          <t>credit_card</t>
        </is>
      </c>
      <c r="J3615" t="n">
        <v>12</v>
      </c>
      <c r="K3615" t="inlineStr">
        <is>
          <t>On Time</t>
        </is>
      </c>
      <c r="L3615" t="n">
        <v>5</v>
      </c>
      <c r="M3615">
        <f>VLOOKUP(D3615,State_Lookup!$A$2:$B$28,2,FALSE)</f>
        <v/>
      </c>
    </row>
    <row r="3616">
      <c r="A3616" t="inlineStr">
        <is>
          <t>f94344586ac6663aabd08cbb1381e347</t>
        </is>
      </c>
      <c r="B3616" t="inlineStr">
        <is>
          <t>2018-04-20</t>
        </is>
      </c>
      <c r="C3616" t="inlineStr">
        <is>
          <t>2018-04</t>
        </is>
      </c>
      <c r="D3616" t="inlineStr">
        <is>
          <t>GO</t>
        </is>
      </c>
      <c r="E3616" t="inlineStr">
        <is>
          <t>auto</t>
        </is>
      </c>
      <c r="F3616" t="n">
        <v>1</v>
      </c>
      <c r="G3616" t="n">
        <v>38.9</v>
      </c>
      <c r="H3616" t="n">
        <v>18.23</v>
      </c>
      <c r="I3616" t="inlineStr">
        <is>
          <t>credit_card</t>
        </is>
      </c>
      <c r="J3616" t="n">
        <v>12</v>
      </c>
      <c r="K3616" t="inlineStr">
        <is>
          <t>On Time</t>
        </is>
      </c>
      <c r="L3616" t="n">
        <v>5</v>
      </c>
      <c r="M3616">
        <f>VLOOKUP(D3616,State_Lookup!$A$2:$B$28,2,FALSE)</f>
        <v/>
      </c>
    </row>
    <row r="3617">
      <c r="A3617" t="inlineStr">
        <is>
          <t>dbf6633516ca4df83ac9e96e2100846d</t>
        </is>
      </c>
      <c r="B3617" t="inlineStr">
        <is>
          <t>2018-04-21</t>
        </is>
      </c>
      <c r="C3617" t="inlineStr">
        <is>
          <t>2018-04</t>
        </is>
      </c>
      <c r="D3617" t="inlineStr">
        <is>
          <t>RN</t>
        </is>
      </c>
      <c r="E3617" t="inlineStr">
        <is>
          <t>bed_bath_table</t>
        </is>
      </c>
      <c r="F3617" t="n">
        <v>1</v>
      </c>
      <c r="G3617" t="n">
        <v>34.99</v>
      </c>
      <c r="H3617" t="n">
        <v>50.85</v>
      </c>
      <c r="I3617" t="inlineStr">
        <is>
          <t>credit_card</t>
        </is>
      </c>
      <c r="J3617" t="n">
        <v>16</v>
      </c>
      <c r="K3617" t="inlineStr">
        <is>
          <t>On Time</t>
        </is>
      </c>
      <c r="L3617" t="n">
        <v>5</v>
      </c>
      <c r="M3617">
        <f>VLOOKUP(D3617,State_Lookup!$A$2:$B$28,2,FALSE)</f>
        <v/>
      </c>
    </row>
    <row r="3618">
      <c r="A3618" t="inlineStr">
        <is>
          <t>50852bd4d7074310017db9d4b0e243b3</t>
        </is>
      </c>
      <c r="B3618" t="inlineStr">
        <is>
          <t>2018-04-21</t>
        </is>
      </c>
      <c r="C3618" t="inlineStr">
        <is>
          <t>2018-04</t>
        </is>
      </c>
      <c r="D3618" t="inlineStr">
        <is>
          <t>RJ</t>
        </is>
      </c>
      <c r="E3618" t="inlineStr">
        <is>
          <t>toys</t>
        </is>
      </c>
      <c r="F3618" t="n">
        <v>1</v>
      </c>
      <c r="G3618" t="n">
        <v>57.99</v>
      </c>
      <c r="H3618" t="n">
        <v>18.29</v>
      </c>
      <c r="I3618" t="inlineStr">
        <is>
          <t>credit_card</t>
        </is>
      </c>
      <c r="J3618" t="n">
        <v>19</v>
      </c>
      <c r="K3618" t="inlineStr">
        <is>
          <t>On Time</t>
        </is>
      </c>
      <c r="L3618" t="n">
        <v>4</v>
      </c>
      <c r="M3618">
        <f>VLOOKUP(D3618,State_Lookup!$A$2:$B$28,2,FALSE)</f>
        <v/>
      </c>
    </row>
    <row r="3619">
      <c r="A3619" t="inlineStr">
        <is>
          <t>f16dee6de72d9dcf6b644a19233a39da</t>
        </is>
      </c>
      <c r="B3619" t="inlineStr">
        <is>
          <t>2018-04-21</t>
        </is>
      </c>
      <c r="C3619" t="inlineStr">
        <is>
          <t>2018-04</t>
        </is>
      </c>
      <c r="D3619" t="inlineStr">
        <is>
          <t>MG</t>
        </is>
      </c>
      <c r="E3619" t="inlineStr">
        <is>
          <t>fashion_bags_accessories</t>
        </is>
      </c>
      <c r="F3619" t="n">
        <v>1</v>
      </c>
      <c r="G3619" t="n">
        <v>39.99</v>
      </c>
      <c r="H3619" t="n">
        <v>15.23</v>
      </c>
      <c r="I3619" t="inlineStr">
        <is>
          <t>credit_card</t>
        </is>
      </c>
      <c r="J3619" t="n">
        <v>5</v>
      </c>
      <c r="K3619" t="inlineStr">
        <is>
          <t>On Time</t>
        </is>
      </c>
      <c r="L3619" t="n">
        <v>5</v>
      </c>
      <c r="M3619">
        <f>VLOOKUP(D3619,State_Lookup!$A$2:$B$28,2,FALSE)</f>
        <v/>
      </c>
    </row>
    <row r="3620">
      <c r="A3620" t="inlineStr">
        <is>
          <t>1a0c4417bf4f48e594a23d90d8d7581c</t>
        </is>
      </c>
      <c r="B3620" t="inlineStr">
        <is>
          <t>2018-04-21</t>
        </is>
      </c>
      <c r="C3620" t="inlineStr">
        <is>
          <t>2018-04</t>
        </is>
      </c>
      <c r="D3620" t="inlineStr">
        <is>
          <t>SP</t>
        </is>
      </c>
      <c r="E3620" t="inlineStr">
        <is>
          <t>computers_accessories</t>
        </is>
      </c>
      <c r="F3620" t="n">
        <v>1</v>
      </c>
      <c r="G3620" t="n">
        <v>59.9</v>
      </c>
      <c r="H3620" t="n">
        <v>14.51</v>
      </c>
      <c r="I3620" t="inlineStr">
        <is>
          <t>credit_card</t>
        </is>
      </c>
      <c r="J3620" t="n">
        <v>8</v>
      </c>
      <c r="K3620" t="inlineStr">
        <is>
          <t>On Time</t>
        </is>
      </c>
      <c r="L3620" t="n">
        <v>3</v>
      </c>
      <c r="M3620">
        <f>VLOOKUP(D3620,State_Lookup!$A$2:$B$28,2,FALSE)</f>
        <v/>
      </c>
    </row>
    <row r="3621">
      <c r="A3621" t="inlineStr">
        <is>
          <t>7aad54859be57990ed094ca49a651d11</t>
        </is>
      </c>
      <c r="B3621" t="inlineStr">
        <is>
          <t>2018-04-21</t>
        </is>
      </c>
      <c r="C3621" t="inlineStr">
        <is>
          <t>2018-04</t>
        </is>
      </c>
      <c r="D3621" t="inlineStr">
        <is>
          <t>ES</t>
        </is>
      </c>
      <c r="E3621" t="inlineStr">
        <is>
          <t>auto</t>
        </is>
      </c>
      <c r="F3621" t="n">
        <v>1</v>
      </c>
      <c r="G3621" t="n">
        <v>27.9</v>
      </c>
      <c r="H3621" t="n">
        <v>19.32</v>
      </c>
      <c r="I3621" t="inlineStr">
        <is>
          <t>credit_card</t>
        </is>
      </c>
      <c r="J3621" t="n">
        <v>16</v>
      </c>
      <c r="K3621" t="inlineStr">
        <is>
          <t>On Time</t>
        </is>
      </c>
      <c r="L3621" t="n">
        <v>1</v>
      </c>
      <c r="M3621">
        <f>VLOOKUP(D3621,State_Lookup!$A$2:$B$28,2,FALSE)</f>
        <v/>
      </c>
    </row>
    <row r="3622">
      <c r="A3622" t="inlineStr">
        <is>
          <t>de2eacc3fdfabed44d32cf8607801800</t>
        </is>
      </c>
      <c r="B3622" t="inlineStr">
        <is>
          <t>2018-04-21</t>
        </is>
      </c>
      <c r="C3622" t="inlineStr">
        <is>
          <t>2018-04</t>
        </is>
      </c>
      <c r="D3622" t="inlineStr">
        <is>
          <t>MG</t>
        </is>
      </c>
      <c r="E3622" t="inlineStr">
        <is>
          <t>computers_accessories</t>
        </is>
      </c>
      <c r="F3622" t="n">
        <v>1</v>
      </c>
      <c r="G3622" t="n">
        <v>19.9</v>
      </c>
      <c r="H3622" t="n">
        <v>17.06</v>
      </c>
      <c r="I3622" t="inlineStr">
        <is>
          <t>boleto</t>
        </is>
      </c>
      <c r="J3622" t="n">
        <v>11</v>
      </c>
      <c r="K3622" t="inlineStr">
        <is>
          <t>On Time</t>
        </is>
      </c>
      <c r="L3622" t="n">
        <v>3</v>
      </c>
      <c r="M3622">
        <f>VLOOKUP(D3622,State_Lookup!$A$2:$B$28,2,FALSE)</f>
        <v/>
      </c>
    </row>
    <row r="3623">
      <c r="A3623" t="inlineStr">
        <is>
          <t>a00d80133807b3fcebee86be41116908</t>
        </is>
      </c>
      <c r="B3623" t="inlineStr">
        <is>
          <t>2018-04-22</t>
        </is>
      </c>
      <c r="C3623" t="inlineStr">
        <is>
          <t>2018-04</t>
        </is>
      </c>
      <c r="D3623" t="inlineStr">
        <is>
          <t>PR</t>
        </is>
      </c>
      <c r="E3623" t="inlineStr">
        <is>
          <t>health_beauty</t>
        </is>
      </c>
      <c r="F3623" t="n">
        <v>2</v>
      </c>
      <c r="G3623" t="n">
        <v>105.98</v>
      </c>
      <c r="H3623" t="n">
        <v>28.9</v>
      </c>
      <c r="I3623" t="inlineStr">
        <is>
          <t>credit_card</t>
        </is>
      </c>
      <c r="J3623" t="n">
        <v>3</v>
      </c>
      <c r="K3623" t="inlineStr">
        <is>
          <t>On Time</t>
        </is>
      </c>
      <c r="L3623" t="n">
        <v>5</v>
      </c>
      <c r="M3623">
        <f>VLOOKUP(D3623,State_Lookup!$A$2:$B$28,2,FALSE)</f>
        <v/>
      </c>
    </row>
    <row r="3624">
      <c r="A3624" t="inlineStr">
        <is>
          <t>3a10bf307a2af842e384180678f26104</t>
        </is>
      </c>
      <c r="B3624" t="inlineStr">
        <is>
          <t>2018-04-22</t>
        </is>
      </c>
      <c r="C3624" t="inlineStr">
        <is>
          <t>2018-04</t>
        </is>
      </c>
      <c r="D3624" t="inlineStr">
        <is>
          <t>SP</t>
        </is>
      </c>
      <c r="E3624" t="inlineStr">
        <is>
          <t>sports_leisure</t>
        </is>
      </c>
      <c r="F3624" t="n">
        <v>1</v>
      </c>
      <c r="G3624" t="n">
        <v>46.99</v>
      </c>
      <c r="H3624" t="n">
        <v>12.79</v>
      </c>
      <c r="I3624" t="inlineStr">
        <is>
          <t>credit_card</t>
        </is>
      </c>
      <c r="J3624" t="n">
        <v>5</v>
      </c>
      <c r="K3624" t="inlineStr">
        <is>
          <t>On Time</t>
        </is>
      </c>
      <c r="L3624" t="n">
        <v>5</v>
      </c>
      <c r="M3624">
        <f>VLOOKUP(D3624,State_Lookup!$A$2:$B$28,2,FALSE)</f>
        <v/>
      </c>
    </row>
    <row r="3625">
      <c r="A3625" t="inlineStr">
        <is>
          <t>746e0019b6fc6170534f81e45e8d55ec</t>
        </is>
      </c>
      <c r="B3625" t="inlineStr">
        <is>
          <t>2018-04-22</t>
        </is>
      </c>
      <c r="C3625" t="inlineStr">
        <is>
          <t>2018-04</t>
        </is>
      </c>
      <c r="D3625" t="inlineStr">
        <is>
          <t>SP</t>
        </is>
      </c>
      <c r="E3625" t="inlineStr">
        <is>
          <t>stationery</t>
        </is>
      </c>
      <c r="F3625" t="n">
        <v>1</v>
      </c>
      <c r="G3625" t="n">
        <v>65.90000000000001</v>
      </c>
      <c r="H3625" t="n">
        <v>8.880000000000001</v>
      </c>
      <c r="I3625" t="inlineStr">
        <is>
          <t>credit_card</t>
        </is>
      </c>
      <c r="J3625" t="n">
        <v>1</v>
      </c>
      <c r="K3625" t="inlineStr">
        <is>
          <t>On Time</t>
        </is>
      </c>
      <c r="L3625" t="n">
        <v>4</v>
      </c>
      <c r="M3625">
        <f>VLOOKUP(D3625,State_Lookup!$A$2:$B$28,2,FALSE)</f>
        <v/>
      </c>
    </row>
    <row r="3626">
      <c r="A3626" t="inlineStr">
        <is>
          <t>3263e5243c28ebe706f7500cf88054ad</t>
        </is>
      </c>
      <c r="B3626" t="inlineStr">
        <is>
          <t>2018-04-22</t>
        </is>
      </c>
      <c r="C3626" t="inlineStr">
        <is>
          <t>2018-04</t>
        </is>
      </c>
      <c r="D3626" t="inlineStr">
        <is>
          <t>SP</t>
        </is>
      </c>
      <c r="E3626" t="inlineStr">
        <is>
          <t>furniture_decor</t>
        </is>
      </c>
      <c r="F3626" t="n">
        <v>6</v>
      </c>
      <c r="G3626" t="n">
        <v>285</v>
      </c>
      <c r="H3626" t="n">
        <v>84.66</v>
      </c>
      <c r="I3626" t="inlineStr">
        <is>
          <t>credit_card</t>
        </is>
      </c>
      <c r="J3626" t="n">
        <v>4</v>
      </c>
      <c r="K3626" t="inlineStr">
        <is>
          <t>On Time</t>
        </is>
      </c>
      <c r="L3626" t="n">
        <v>1</v>
      </c>
      <c r="M3626">
        <f>VLOOKUP(D3626,State_Lookup!$A$2:$B$28,2,FALSE)</f>
        <v/>
      </c>
    </row>
    <row r="3627">
      <c r="A3627" t="inlineStr">
        <is>
          <t>540aa72ba814b34b792f075b2164edd7</t>
        </is>
      </c>
      <c r="B3627" t="inlineStr">
        <is>
          <t>2018-04-22</t>
        </is>
      </c>
      <c r="C3627" t="inlineStr">
        <is>
          <t>2018-04</t>
        </is>
      </c>
      <c r="D3627" t="inlineStr">
        <is>
          <t>ES</t>
        </is>
      </c>
      <c r="E3627" t="inlineStr">
        <is>
          <t>housewares</t>
        </is>
      </c>
      <c r="F3627" t="n">
        <v>1</v>
      </c>
      <c r="G3627" t="n">
        <v>233.5</v>
      </c>
      <c r="H3627" t="n">
        <v>42.39</v>
      </c>
      <c r="I3627" t="inlineStr">
        <is>
          <t>credit_card</t>
        </is>
      </c>
      <c r="J3627" t="n">
        <v>15</v>
      </c>
      <c r="K3627" t="inlineStr">
        <is>
          <t>On Time</t>
        </is>
      </c>
      <c r="L3627" t="n">
        <v>4</v>
      </c>
      <c r="M3627">
        <f>VLOOKUP(D3627,State_Lookup!$A$2:$B$28,2,FALSE)</f>
        <v/>
      </c>
    </row>
    <row r="3628">
      <c r="A3628" t="inlineStr">
        <is>
          <t>3cf90d04a286c1ea16f5700dbc764fff</t>
        </is>
      </c>
      <c r="B3628" t="inlineStr">
        <is>
          <t>2018-04-22</t>
        </is>
      </c>
      <c r="C3628" t="inlineStr">
        <is>
          <t>2018-04</t>
        </is>
      </c>
      <c r="D3628" t="inlineStr">
        <is>
          <t>SP</t>
        </is>
      </c>
      <c r="E3628" t="inlineStr">
        <is>
          <t>furniture_decor</t>
        </is>
      </c>
      <c r="F3628" t="n">
        <v>2</v>
      </c>
      <c r="G3628" t="n">
        <v>70</v>
      </c>
      <c r="H3628" t="n">
        <v>17.76</v>
      </c>
      <c r="I3628" t="inlineStr">
        <is>
          <t>credit_card</t>
        </is>
      </c>
      <c r="J3628" t="n">
        <v>3</v>
      </c>
      <c r="K3628" t="inlineStr">
        <is>
          <t>On Time</t>
        </is>
      </c>
      <c r="L3628" t="n">
        <v>5</v>
      </c>
      <c r="M3628">
        <f>VLOOKUP(D3628,State_Lookup!$A$2:$B$28,2,FALSE)</f>
        <v/>
      </c>
    </row>
    <row r="3629">
      <c r="A3629" t="inlineStr">
        <is>
          <t>1ab44f7237928287806feb9f4fba7820</t>
        </is>
      </c>
      <c r="B3629" t="inlineStr">
        <is>
          <t>2018-04-22</t>
        </is>
      </c>
      <c r="C3629" t="inlineStr">
        <is>
          <t>2018-04</t>
        </is>
      </c>
      <c r="D3629" t="inlineStr">
        <is>
          <t>SE</t>
        </is>
      </c>
      <c r="E3629" t="inlineStr">
        <is>
          <t>health_beauty</t>
        </is>
      </c>
      <c r="F3629" t="n">
        <v>1</v>
      </c>
      <c r="G3629" t="n">
        <v>64.98999999999999</v>
      </c>
      <c r="H3629" t="n">
        <v>15.31</v>
      </c>
      <c r="I3629" t="inlineStr">
        <is>
          <t>boleto</t>
        </is>
      </c>
      <c r="J3629" t="n">
        <v>33</v>
      </c>
      <c r="K3629" t="inlineStr">
        <is>
          <t>Late</t>
        </is>
      </c>
      <c r="L3629" t="n">
        <v>1</v>
      </c>
      <c r="M3629">
        <f>VLOOKUP(D3629,State_Lookup!$A$2:$B$28,2,FALSE)</f>
        <v/>
      </c>
    </row>
    <row r="3630">
      <c r="A3630" t="inlineStr">
        <is>
          <t>59153dae34968fe90642c6a919d61c09</t>
        </is>
      </c>
      <c r="B3630" t="inlineStr">
        <is>
          <t>2018-04-22</t>
        </is>
      </c>
      <c r="C3630" t="inlineStr">
        <is>
          <t>2018-04</t>
        </is>
      </c>
      <c r="D3630" t="inlineStr">
        <is>
          <t>ES</t>
        </is>
      </c>
      <c r="E3630" t="inlineStr">
        <is>
          <t>housewares</t>
        </is>
      </c>
      <c r="F3630" t="n">
        <v>1</v>
      </c>
      <c r="G3630" t="n">
        <v>18.99</v>
      </c>
      <c r="H3630" t="n">
        <v>15.23</v>
      </c>
      <c r="I3630" t="inlineStr">
        <is>
          <t>credit_card</t>
        </is>
      </c>
      <c r="J3630" t="n">
        <v>38</v>
      </c>
      <c r="K3630" t="inlineStr">
        <is>
          <t>Late</t>
        </is>
      </c>
      <c r="L3630" t="n">
        <v>1</v>
      </c>
      <c r="M3630">
        <f>VLOOKUP(D3630,State_Lookup!$A$2:$B$28,2,FALSE)</f>
        <v/>
      </c>
    </row>
    <row r="3631">
      <c r="A3631" t="inlineStr">
        <is>
          <t>048cb31a5449d208f197f1fe7b617c3c</t>
        </is>
      </c>
      <c r="B3631" t="inlineStr">
        <is>
          <t>2018-04-23</t>
        </is>
      </c>
      <c r="C3631" t="inlineStr">
        <is>
          <t>2018-04</t>
        </is>
      </c>
      <c r="D3631" t="inlineStr">
        <is>
          <t>PR</t>
        </is>
      </c>
      <c r="E3631" t="inlineStr">
        <is>
          <t>books_technical</t>
        </is>
      </c>
      <c r="F3631" t="n">
        <v>1</v>
      </c>
      <c r="G3631" t="n">
        <v>65</v>
      </c>
      <c r="H3631" t="n">
        <v>19.42</v>
      </c>
      <c r="I3631" t="inlineStr">
        <is>
          <t>credit_card</t>
        </is>
      </c>
      <c r="J3631" t="n">
        <v>5</v>
      </c>
      <c r="K3631" t="inlineStr">
        <is>
          <t>On Time</t>
        </is>
      </c>
      <c r="L3631" t="n">
        <v>5</v>
      </c>
      <c r="M3631">
        <f>VLOOKUP(D3631,State_Lookup!$A$2:$B$28,2,FALSE)</f>
        <v/>
      </c>
    </row>
    <row r="3632">
      <c r="A3632" t="inlineStr">
        <is>
          <t>0c1e8da95f0bc94596b6e3571ba53a33</t>
        </is>
      </c>
      <c r="B3632" t="inlineStr">
        <is>
          <t>2018-04-23</t>
        </is>
      </c>
      <c r="C3632" t="inlineStr">
        <is>
          <t>2018-04</t>
        </is>
      </c>
      <c r="D3632" t="inlineStr">
        <is>
          <t>MG</t>
        </is>
      </c>
      <c r="E3632" t="inlineStr">
        <is>
          <t>baby</t>
        </is>
      </c>
      <c r="F3632" t="n">
        <v>1</v>
      </c>
      <c r="G3632" t="n">
        <v>239</v>
      </c>
      <c r="H3632" t="n">
        <v>20.64</v>
      </c>
      <c r="I3632" t="inlineStr">
        <is>
          <t>credit_card</t>
        </is>
      </c>
      <c r="J3632" t="n">
        <v>21</v>
      </c>
      <c r="K3632" t="inlineStr">
        <is>
          <t>On Time</t>
        </is>
      </c>
      <c r="L3632" t="n">
        <v>4</v>
      </c>
      <c r="M3632">
        <f>VLOOKUP(D3632,State_Lookup!$A$2:$B$28,2,FALSE)</f>
        <v/>
      </c>
    </row>
    <row r="3633">
      <c r="A3633" t="inlineStr">
        <is>
          <t>a7708ffa8966514c098d15e1abfa6417</t>
        </is>
      </c>
      <c r="B3633" t="inlineStr">
        <is>
          <t>2018-04-23</t>
        </is>
      </c>
      <c r="C3633" t="inlineStr">
        <is>
          <t>2018-04</t>
        </is>
      </c>
      <c r="D3633" t="inlineStr">
        <is>
          <t>SP</t>
        </is>
      </c>
      <c r="E3633" t="inlineStr">
        <is>
          <t>toys</t>
        </is>
      </c>
      <c r="F3633" t="n">
        <v>2</v>
      </c>
      <c r="G3633" t="n">
        <v>36.65</v>
      </c>
      <c r="H3633" t="n">
        <v>21.1</v>
      </c>
      <c r="I3633" t="inlineStr">
        <is>
          <t>credit_card</t>
        </is>
      </c>
      <c r="J3633" t="n">
        <v>2</v>
      </c>
      <c r="K3633" t="inlineStr">
        <is>
          <t>On Time</t>
        </is>
      </c>
      <c r="L3633" t="n">
        <v>5</v>
      </c>
      <c r="M3633">
        <f>VLOOKUP(D3633,State_Lookup!$A$2:$B$28,2,FALSE)</f>
        <v/>
      </c>
    </row>
    <row r="3634">
      <c r="A3634" t="inlineStr">
        <is>
          <t>8e72aa4f22ed34fdbeb7434859ec54d8</t>
        </is>
      </c>
      <c r="B3634" t="inlineStr">
        <is>
          <t>2018-04-23</t>
        </is>
      </c>
      <c r="C3634" t="inlineStr">
        <is>
          <t>2018-04</t>
        </is>
      </c>
      <c r="D3634" t="inlineStr">
        <is>
          <t>SP</t>
        </is>
      </c>
      <c r="E3634" t="inlineStr">
        <is>
          <t>bed_bath_table</t>
        </is>
      </c>
      <c r="F3634" t="n">
        <v>1</v>
      </c>
      <c r="G3634" t="n">
        <v>44.99</v>
      </c>
      <c r="H3634" t="n">
        <v>14.44</v>
      </c>
      <c r="I3634" t="inlineStr">
        <is>
          <t>voucher</t>
        </is>
      </c>
      <c r="J3634" t="n">
        <v>6</v>
      </c>
      <c r="K3634" t="inlineStr">
        <is>
          <t>On Time</t>
        </is>
      </c>
      <c r="L3634" t="n">
        <v>5</v>
      </c>
      <c r="M3634">
        <f>VLOOKUP(D3634,State_Lookup!$A$2:$B$28,2,FALSE)</f>
        <v/>
      </c>
    </row>
    <row r="3635">
      <c r="A3635" t="inlineStr">
        <is>
          <t>4b38f9d30c069b6ec0c1da7d03c0ea21</t>
        </is>
      </c>
      <c r="B3635" t="inlineStr">
        <is>
          <t>2018-04-23</t>
        </is>
      </c>
      <c r="C3635" t="inlineStr">
        <is>
          <t>2018-04</t>
        </is>
      </c>
      <c r="D3635" t="inlineStr">
        <is>
          <t>SP</t>
        </is>
      </c>
      <c r="E3635" t="inlineStr">
        <is>
          <t>watches_gifts</t>
        </is>
      </c>
      <c r="F3635" t="n">
        <v>1</v>
      </c>
      <c r="G3635" t="n">
        <v>219</v>
      </c>
      <c r="H3635" t="n">
        <v>13.97</v>
      </c>
      <c r="I3635" t="inlineStr">
        <is>
          <t>credit_card</t>
        </is>
      </c>
      <c r="J3635" t="n">
        <v>4</v>
      </c>
      <c r="K3635" t="inlineStr">
        <is>
          <t>On Time</t>
        </is>
      </c>
      <c r="L3635" t="n">
        <v>5</v>
      </c>
      <c r="M3635">
        <f>VLOOKUP(D3635,State_Lookup!$A$2:$B$28,2,FALSE)</f>
        <v/>
      </c>
    </row>
    <row r="3636">
      <c r="A3636" t="inlineStr">
        <is>
          <t>e5c8cf4dd91786f33a0f1c96ef1eda19</t>
        </is>
      </c>
      <c r="B3636" t="inlineStr">
        <is>
          <t>2018-04-23</t>
        </is>
      </c>
      <c r="C3636" t="inlineStr">
        <is>
          <t>2018-04</t>
        </is>
      </c>
      <c r="D3636" t="inlineStr">
        <is>
          <t>RJ</t>
        </is>
      </c>
      <c r="E3636" t="inlineStr">
        <is>
          <t>home_construction</t>
        </is>
      </c>
      <c r="F3636" t="n">
        <v>1</v>
      </c>
      <c r="G3636" t="n">
        <v>113.85</v>
      </c>
      <c r="H3636" t="n">
        <v>23.38</v>
      </c>
      <c r="I3636" t="inlineStr">
        <is>
          <t>credit_card</t>
        </is>
      </c>
      <c r="J3636" t="n">
        <v>11</v>
      </c>
      <c r="K3636" t="inlineStr">
        <is>
          <t>On Time</t>
        </is>
      </c>
      <c r="L3636" t="n">
        <v>2</v>
      </c>
      <c r="M3636">
        <f>VLOOKUP(D3636,State_Lookup!$A$2:$B$28,2,FALSE)</f>
        <v/>
      </c>
    </row>
    <row r="3637">
      <c r="A3637" t="inlineStr">
        <is>
          <t>d2d740a1b76ee640f76fba030363144e</t>
        </is>
      </c>
      <c r="B3637" t="inlineStr">
        <is>
          <t>2018-04-23</t>
        </is>
      </c>
      <c r="C3637" t="inlineStr">
        <is>
          <t>2018-04</t>
        </is>
      </c>
      <c r="D3637" t="inlineStr">
        <is>
          <t>SP</t>
        </is>
      </c>
      <c r="E3637" t="inlineStr">
        <is>
          <t>books_general_interest</t>
        </is>
      </c>
      <c r="F3637" t="n">
        <v>1</v>
      </c>
      <c r="G3637" t="n">
        <v>115</v>
      </c>
      <c r="H3637" t="n">
        <v>18.69</v>
      </c>
      <c r="I3637" t="inlineStr">
        <is>
          <t>boleto</t>
        </is>
      </c>
      <c r="J3637" t="n">
        <v>7</v>
      </c>
      <c r="K3637" t="inlineStr">
        <is>
          <t>On Time</t>
        </is>
      </c>
      <c r="L3637" t="n">
        <v>5</v>
      </c>
      <c r="M3637">
        <f>VLOOKUP(D3637,State_Lookup!$A$2:$B$28,2,FALSE)</f>
        <v/>
      </c>
    </row>
    <row r="3638">
      <c r="A3638" t="inlineStr">
        <is>
          <t>f8631b34c3dfdad3833c611007f62455</t>
        </is>
      </c>
      <c r="B3638" t="inlineStr">
        <is>
          <t>2018-04-23</t>
        </is>
      </c>
      <c r="C3638" t="inlineStr">
        <is>
          <t>2018-04</t>
        </is>
      </c>
      <c r="D3638" t="inlineStr">
        <is>
          <t>DF</t>
        </is>
      </c>
      <c r="E3638" t="inlineStr">
        <is>
          <t>baby</t>
        </is>
      </c>
      <c r="F3638" t="n">
        <v>1</v>
      </c>
      <c r="G3638" t="n">
        <v>35.9</v>
      </c>
      <c r="H3638" t="n">
        <v>16.32</v>
      </c>
      <c r="I3638" t="inlineStr">
        <is>
          <t>credit_card</t>
        </is>
      </c>
      <c r="J3638" t="n">
        <v>9</v>
      </c>
      <c r="K3638" t="inlineStr">
        <is>
          <t>On Time</t>
        </is>
      </c>
      <c r="L3638" t="n">
        <v>1</v>
      </c>
      <c r="M3638">
        <f>VLOOKUP(D3638,State_Lookup!$A$2:$B$28,2,FALSE)</f>
        <v/>
      </c>
    </row>
    <row r="3639">
      <c r="A3639" t="inlineStr">
        <is>
          <t>d5ed14d56a32bdc31d25faabc33e7b7a</t>
        </is>
      </c>
      <c r="B3639" t="inlineStr">
        <is>
          <t>2018-04-23</t>
        </is>
      </c>
      <c r="C3639" t="inlineStr">
        <is>
          <t>2018-04</t>
        </is>
      </c>
      <c r="D3639" t="inlineStr">
        <is>
          <t>RJ</t>
        </is>
      </c>
      <c r="E3639" t="inlineStr">
        <is>
          <t>luggage_accessories</t>
        </is>
      </c>
      <c r="F3639" t="n">
        <v>1</v>
      </c>
      <c r="G3639" t="n">
        <v>37</v>
      </c>
      <c r="H3639" t="n">
        <v>15.23</v>
      </c>
      <c r="I3639" t="inlineStr">
        <is>
          <t>credit_card</t>
        </is>
      </c>
      <c r="J3639" t="n">
        <v>9</v>
      </c>
      <c r="K3639" t="inlineStr">
        <is>
          <t>On Time</t>
        </is>
      </c>
      <c r="L3639" t="n">
        <v>5</v>
      </c>
      <c r="M3639">
        <f>VLOOKUP(D3639,State_Lookup!$A$2:$B$28,2,FALSE)</f>
        <v/>
      </c>
    </row>
    <row r="3640">
      <c r="A3640" t="inlineStr">
        <is>
          <t>030475e22d114f70be1a265fee326192</t>
        </is>
      </c>
      <c r="B3640" t="inlineStr">
        <is>
          <t>2018-04-23</t>
        </is>
      </c>
      <c r="C3640" t="inlineStr">
        <is>
          <t>2018-04</t>
        </is>
      </c>
      <c r="D3640" t="inlineStr">
        <is>
          <t>SP</t>
        </is>
      </c>
      <c r="E3640" t="inlineStr">
        <is>
          <t>garden_tools</t>
        </is>
      </c>
      <c r="F3640" t="n">
        <v>1</v>
      </c>
      <c r="G3640" t="n">
        <v>44.9</v>
      </c>
      <c r="H3640" t="n">
        <v>12.79</v>
      </c>
      <c r="I3640" t="inlineStr">
        <is>
          <t>credit_card</t>
        </is>
      </c>
      <c r="J3640" t="n">
        <v>3</v>
      </c>
      <c r="K3640" t="inlineStr">
        <is>
          <t>On Time</t>
        </is>
      </c>
      <c r="L3640" t="n">
        <v>5</v>
      </c>
      <c r="M3640">
        <f>VLOOKUP(D3640,State_Lookup!$A$2:$B$28,2,FALSE)</f>
        <v/>
      </c>
    </row>
    <row r="3641">
      <c r="A3641" t="inlineStr">
        <is>
          <t>d8148e06f2f2b366a0c8df064103223b</t>
        </is>
      </c>
      <c r="B3641" t="inlineStr">
        <is>
          <t>2018-04-23</t>
        </is>
      </c>
      <c r="C3641" t="inlineStr">
        <is>
          <t>2018-04</t>
        </is>
      </c>
      <c r="D3641" t="inlineStr">
        <is>
          <t>RS</t>
        </is>
      </c>
      <c r="E3641" t="inlineStr">
        <is>
          <t>health_beauty</t>
        </is>
      </c>
      <c r="F3641" t="n">
        <v>1</v>
      </c>
      <c r="G3641" t="n">
        <v>56.9</v>
      </c>
      <c r="H3641" t="n">
        <v>19.37</v>
      </c>
      <c r="I3641" t="inlineStr">
        <is>
          <t>boleto</t>
        </is>
      </c>
      <c r="J3641" t="n">
        <v>7</v>
      </c>
      <c r="K3641" t="inlineStr">
        <is>
          <t>On Time</t>
        </is>
      </c>
      <c r="L3641" t="n">
        <v>5</v>
      </c>
      <c r="M3641">
        <f>VLOOKUP(D3641,State_Lookup!$A$2:$B$28,2,FALSE)</f>
        <v/>
      </c>
    </row>
    <row r="3642">
      <c r="A3642" t="inlineStr">
        <is>
          <t>cd9c0ba3bb3dbb5fadbe5ce7c15eabaf</t>
        </is>
      </c>
      <c r="B3642" t="inlineStr">
        <is>
          <t>2018-04-23</t>
        </is>
      </c>
      <c r="C3642" t="inlineStr">
        <is>
          <t>2018-04</t>
        </is>
      </c>
      <c r="D3642" t="inlineStr">
        <is>
          <t>SP</t>
        </is>
      </c>
      <c r="E3642" t="inlineStr">
        <is>
          <t>furniture_decor</t>
        </is>
      </c>
      <c r="F3642" t="n">
        <v>1</v>
      </c>
      <c r="G3642" t="n">
        <v>99</v>
      </c>
      <c r="H3642" t="n">
        <v>11.32</v>
      </c>
      <c r="I3642" t="inlineStr">
        <is>
          <t>credit_card</t>
        </is>
      </c>
      <c r="J3642" t="n">
        <v>3</v>
      </c>
      <c r="K3642" t="inlineStr">
        <is>
          <t>On Time</t>
        </is>
      </c>
      <c r="L3642" t="n">
        <v>5</v>
      </c>
      <c r="M3642">
        <f>VLOOKUP(D3642,State_Lookup!$A$2:$B$28,2,FALSE)</f>
        <v/>
      </c>
    </row>
    <row r="3643">
      <c r="A3643" t="inlineStr">
        <is>
          <t>aac52878fd693aeeb3efce3e0e0a3ce2</t>
        </is>
      </c>
      <c r="B3643" t="inlineStr">
        <is>
          <t>2018-04-23</t>
        </is>
      </c>
      <c r="C3643" t="inlineStr">
        <is>
          <t>2018-04</t>
        </is>
      </c>
      <c r="D3643" t="inlineStr">
        <is>
          <t>MG</t>
        </is>
      </c>
      <c r="E3643" t="inlineStr">
        <is>
          <t>sports_leisure</t>
        </is>
      </c>
      <c r="F3643" t="n">
        <v>1</v>
      </c>
      <c r="G3643" t="n">
        <v>120</v>
      </c>
      <c r="H3643" t="n">
        <v>23.42</v>
      </c>
      <c r="I3643" t="inlineStr">
        <is>
          <t>credit_card</t>
        </is>
      </c>
      <c r="J3643" t="n">
        <v>10</v>
      </c>
      <c r="K3643" t="inlineStr">
        <is>
          <t>On Time</t>
        </is>
      </c>
      <c r="L3643" t="n">
        <v>5</v>
      </c>
      <c r="M3643">
        <f>VLOOKUP(D3643,State_Lookup!$A$2:$B$28,2,FALSE)</f>
        <v/>
      </c>
    </row>
    <row r="3644">
      <c r="A3644" t="inlineStr">
        <is>
          <t>bf955c3062582fe37befbfd4b0e4b820</t>
        </is>
      </c>
      <c r="B3644" t="inlineStr">
        <is>
          <t>2018-04-23</t>
        </is>
      </c>
      <c r="C3644" t="inlineStr">
        <is>
          <t>2018-04</t>
        </is>
      </c>
      <c r="D3644" t="inlineStr">
        <is>
          <t>RJ</t>
        </is>
      </c>
      <c r="E3644" t="inlineStr">
        <is>
          <t>housewares</t>
        </is>
      </c>
      <c r="F3644" t="n">
        <v>1</v>
      </c>
      <c r="G3644" t="n">
        <v>49.9</v>
      </c>
      <c r="H3644" t="n">
        <v>22.89</v>
      </c>
      <c r="I3644" t="inlineStr">
        <is>
          <t>credit_card</t>
        </is>
      </c>
      <c r="J3644" t="n">
        <v>9</v>
      </c>
      <c r="K3644" t="inlineStr">
        <is>
          <t>On Time</t>
        </is>
      </c>
      <c r="L3644" t="n">
        <v>5</v>
      </c>
      <c r="M3644">
        <f>VLOOKUP(D3644,State_Lookup!$A$2:$B$28,2,FALSE)</f>
        <v/>
      </c>
    </row>
    <row r="3645">
      <c r="A3645" t="inlineStr">
        <is>
          <t>e892eede814b151cc44aa21a6ecd1200</t>
        </is>
      </c>
      <c r="B3645" t="inlineStr">
        <is>
          <t>2018-04-23</t>
        </is>
      </c>
      <c r="C3645" t="inlineStr">
        <is>
          <t>2018-04</t>
        </is>
      </c>
      <c r="D3645" t="inlineStr">
        <is>
          <t>RJ</t>
        </is>
      </c>
      <c r="E3645" t="inlineStr">
        <is>
          <t>furniture_decor</t>
        </is>
      </c>
      <c r="F3645" t="n">
        <v>1</v>
      </c>
      <c r="G3645" t="n">
        <v>69.90000000000001</v>
      </c>
      <c r="H3645" t="n">
        <v>0</v>
      </c>
      <c r="I3645" t="inlineStr">
        <is>
          <t>credit_card</t>
        </is>
      </c>
      <c r="J3645" t="n">
        <v>7</v>
      </c>
      <c r="K3645" t="inlineStr">
        <is>
          <t>On Time</t>
        </is>
      </c>
      <c r="L3645" t="n">
        <v>3</v>
      </c>
      <c r="M3645">
        <f>VLOOKUP(D3645,State_Lookup!$A$2:$B$28,2,FALSE)</f>
        <v/>
      </c>
    </row>
    <row r="3646">
      <c r="A3646" t="inlineStr">
        <is>
          <t>d812dbfcae5778a9864fae0dfe22d9c9</t>
        </is>
      </c>
      <c r="B3646" t="inlineStr">
        <is>
          <t>2018-04-23</t>
        </is>
      </c>
      <c r="C3646" t="inlineStr">
        <is>
          <t>2018-04</t>
        </is>
      </c>
      <c r="D3646" t="inlineStr">
        <is>
          <t>PR</t>
        </is>
      </c>
      <c r="E3646" t="inlineStr">
        <is>
          <t>stationery</t>
        </is>
      </c>
      <c r="F3646" t="n">
        <v>1</v>
      </c>
      <c r="G3646" t="n">
        <v>139</v>
      </c>
      <c r="H3646" t="n">
        <v>23.55</v>
      </c>
      <c r="I3646" t="inlineStr">
        <is>
          <t>credit_card</t>
        </is>
      </c>
      <c r="J3646" t="inlineStr"/>
      <c r="K3646" t="inlineStr">
        <is>
          <t>Not Delivered</t>
        </is>
      </c>
      <c r="L3646" t="n">
        <v>2</v>
      </c>
      <c r="M3646">
        <f>VLOOKUP(D3646,State_Lookup!$A$2:$B$28,2,FALSE)</f>
        <v/>
      </c>
    </row>
    <row r="3647">
      <c r="A3647" t="inlineStr">
        <is>
          <t>cdde449c1dcdc9aad3adc07b6de6659f</t>
        </is>
      </c>
      <c r="B3647" t="inlineStr">
        <is>
          <t>2018-04-23</t>
        </is>
      </c>
      <c r="C3647" t="inlineStr">
        <is>
          <t>2018-04</t>
        </is>
      </c>
      <c r="D3647" t="inlineStr">
        <is>
          <t>SP</t>
        </is>
      </c>
      <c r="E3647" t="inlineStr">
        <is>
          <t>health_beauty</t>
        </is>
      </c>
      <c r="F3647" t="n">
        <v>1</v>
      </c>
      <c r="G3647" t="n">
        <v>67.90000000000001</v>
      </c>
      <c r="H3647" t="n">
        <v>11.15</v>
      </c>
      <c r="I3647" t="inlineStr">
        <is>
          <t>credit_card</t>
        </is>
      </c>
      <c r="J3647" t="n">
        <v>3</v>
      </c>
      <c r="K3647" t="inlineStr">
        <is>
          <t>On Time</t>
        </is>
      </c>
      <c r="L3647" t="n">
        <v>4</v>
      </c>
      <c r="M3647">
        <f>VLOOKUP(D3647,State_Lookup!$A$2:$B$28,2,FALSE)</f>
        <v/>
      </c>
    </row>
    <row r="3648">
      <c r="A3648" t="inlineStr">
        <is>
          <t>2ffb45ec99d3fc4942ee973e41e630a9</t>
        </is>
      </c>
      <c r="B3648" t="inlineStr">
        <is>
          <t>2018-04-23</t>
        </is>
      </c>
      <c r="C3648" t="inlineStr">
        <is>
          <t>2018-04</t>
        </is>
      </c>
      <c r="D3648" t="inlineStr">
        <is>
          <t>MG</t>
        </is>
      </c>
      <c r="E3648" t="inlineStr">
        <is>
          <t>health_beauty</t>
        </is>
      </c>
      <c r="F3648" t="n">
        <v>1</v>
      </c>
      <c r="G3648" t="n">
        <v>64.98999999999999</v>
      </c>
      <c r="H3648" t="n">
        <v>22.95</v>
      </c>
      <c r="I3648" t="inlineStr">
        <is>
          <t>credit_card</t>
        </is>
      </c>
      <c r="J3648" t="n">
        <v>14</v>
      </c>
      <c r="K3648" t="inlineStr">
        <is>
          <t>On Time</t>
        </is>
      </c>
      <c r="L3648" t="n">
        <v>5</v>
      </c>
      <c r="M3648">
        <f>VLOOKUP(D3648,State_Lookup!$A$2:$B$28,2,FALSE)</f>
        <v/>
      </c>
    </row>
    <row r="3649">
      <c r="A3649" t="inlineStr">
        <is>
          <t>c87addc63adfeea74ce7b7de9d99d161</t>
        </is>
      </c>
      <c r="B3649" t="inlineStr">
        <is>
          <t>2018-04-23</t>
        </is>
      </c>
      <c r="C3649" t="inlineStr">
        <is>
          <t>2018-04</t>
        </is>
      </c>
      <c r="D3649" t="inlineStr">
        <is>
          <t>SC</t>
        </is>
      </c>
      <c r="E3649" t="inlineStr">
        <is>
          <t>health_beauty</t>
        </is>
      </c>
      <c r="F3649" t="n">
        <v>1</v>
      </c>
      <c r="G3649" t="n">
        <v>114.99</v>
      </c>
      <c r="H3649" t="n">
        <v>62.83</v>
      </c>
      <c r="I3649" t="inlineStr">
        <is>
          <t>debit_card</t>
        </is>
      </c>
      <c r="J3649" t="n">
        <v>18</v>
      </c>
      <c r="K3649" t="inlineStr">
        <is>
          <t>On Time</t>
        </is>
      </c>
      <c r="L3649" t="n">
        <v>5</v>
      </c>
      <c r="M3649">
        <f>VLOOKUP(D3649,State_Lookup!$A$2:$B$28,2,FALSE)</f>
        <v/>
      </c>
    </row>
    <row r="3650">
      <c r="A3650" t="inlineStr">
        <is>
          <t>045eff272f42f0ae0191149686f193e1</t>
        </is>
      </c>
      <c r="B3650" t="inlineStr">
        <is>
          <t>2018-04-23</t>
        </is>
      </c>
      <c r="C3650" t="inlineStr">
        <is>
          <t>2018-04</t>
        </is>
      </c>
      <c r="D3650" t="inlineStr">
        <is>
          <t>MG</t>
        </is>
      </c>
      <c r="E3650" t="inlineStr">
        <is>
          <t>musical_instruments</t>
        </is>
      </c>
      <c r="F3650" t="n">
        <v>1</v>
      </c>
      <c r="G3650" t="n">
        <v>69</v>
      </c>
      <c r="H3650" t="n">
        <v>15.36</v>
      </c>
      <c r="I3650" t="inlineStr">
        <is>
          <t>credit_card</t>
        </is>
      </c>
      <c r="J3650" t="n">
        <v>3</v>
      </c>
      <c r="K3650" t="inlineStr">
        <is>
          <t>On Time</t>
        </is>
      </c>
      <c r="L3650" t="n">
        <v>1</v>
      </c>
      <c r="M3650">
        <f>VLOOKUP(D3650,State_Lookup!$A$2:$B$28,2,FALSE)</f>
        <v/>
      </c>
    </row>
    <row r="3651">
      <c r="A3651" t="inlineStr">
        <is>
          <t>ad0db85b651140eb463660b4ddf767e1</t>
        </is>
      </c>
      <c r="B3651" t="inlineStr">
        <is>
          <t>2018-04-23</t>
        </is>
      </c>
      <c r="C3651" t="inlineStr">
        <is>
          <t>2018-04</t>
        </is>
      </c>
      <c r="D3651" t="inlineStr">
        <is>
          <t>PR</t>
        </is>
      </c>
      <c r="E3651" t="inlineStr">
        <is>
          <t>musical_instruments</t>
        </is>
      </c>
      <c r="F3651" t="n">
        <v>1</v>
      </c>
      <c r="G3651" t="n">
        <v>1890</v>
      </c>
      <c r="H3651" t="n">
        <v>73.14</v>
      </c>
      <c r="I3651" t="inlineStr">
        <is>
          <t>credit_card</t>
        </is>
      </c>
      <c r="J3651" t="n">
        <v>11</v>
      </c>
      <c r="K3651" t="inlineStr">
        <is>
          <t>On Time</t>
        </is>
      </c>
      <c r="L3651" t="n">
        <v>4</v>
      </c>
      <c r="M3651">
        <f>VLOOKUP(D3651,State_Lookup!$A$2:$B$28,2,FALSE)</f>
        <v/>
      </c>
    </row>
    <row r="3652">
      <c r="A3652" t="inlineStr">
        <is>
          <t>bf2efa777e1a41506b6a7a702e98f0f5</t>
        </is>
      </c>
      <c r="B3652" t="inlineStr">
        <is>
          <t>2018-04-23</t>
        </is>
      </c>
      <c r="C3652" t="inlineStr">
        <is>
          <t>2018-04</t>
        </is>
      </c>
      <c r="D3652" t="inlineStr">
        <is>
          <t>MG</t>
        </is>
      </c>
      <c r="E3652" t="inlineStr">
        <is>
          <t>cool_stuff</t>
        </is>
      </c>
      <c r="F3652" t="n">
        <v>1</v>
      </c>
      <c r="G3652" t="n">
        <v>24</v>
      </c>
      <c r="H3652" t="n">
        <v>15.23</v>
      </c>
      <c r="I3652" t="inlineStr">
        <is>
          <t>credit_card</t>
        </is>
      </c>
      <c r="J3652" t="n">
        <v>7</v>
      </c>
      <c r="K3652" t="inlineStr">
        <is>
          <t>On Time</t>
        </is>
      </c>
      <c r="L3652" t="n">
        <v>5</v>
      </c>
      <c r="M3652">
        <f>VLOOKUP(D3652,State_Lookup!$A$2:$B$28,2,FALSE)</f>
        <v/>
      </c>
    </row>
    <row r="3653">
      <c r="A3653" t="inlineStr">
        <is>
          <t>14272800e054af4a7886796fd6b65593</t>
        </is>
      </c>
      <c r="B3653" t="inlineStr">
        <is>
          <t>2018-04-24</t>
        </is>
      </c>
      <c r="C3653" t="inlineStr">
        <is>
          <t>2018-04</t>
        </is>
      </c>
      <c r="D3653" t="inlineStr">
        <is>
          <t>SP</t>
        </is>
      </c>
      <c r="E3653" t="inlineStr">
        <is>
          <t>office_furniture</t>
        </is>
      </c>
      <c r="F3653" t="n">
        <v>1</v>
      </c>
      <c r="G3653" t="n">
        <v>319.9</v>
      </c>
      <c r="H3653" t="n">
        <v>44.1</v>
      </c>
      <c r="I3653" t="inlineStr">
        <is>
          <t>boleto</t>
        </is>
      </c>
      <c r="J3653" t="n">
        <v>6</v>
      </c>
      <c r="K3653" t="inlineStr">
        <is>
          <t>On Time</t>
        </is>
      </c>
      <c r="L3653" t="n">
        <v>5</v>
      </c>
      <c r="M3653">
        <f>VLOOKUP(D3653,State_Lookup!$A$2:$B$28,2,FALSE)</f>
        <v/>
      </c>
    </row>
    <row r="3654">
      <c r="A3654" t="inlineStr">
        <is>
          <t>beb6927ba358d62ba446c803a6a4d815</t>
        </is>
      </c>
      <c r="B3654" t="inlineStr">
        <is>
          <t>2018-04-24</t>
        </is>
      </c>
      <c r="C3654" t="inlineStr">
        <is>
          <t>2018-04</t>
        </is>
      </c>
      <c r="D3654" t="inlineStr">
        <is>
          <t>RJ</t>
        </is>
      </c>
      <c r="E3654" t="inlineStr">
        <is>
          <t>watches_gifts</t>
        </is>
      </c>
      <c r="F3654" t="n">
        <v>1</v>
      </c>
      <c r="G3654" t="n">
        <v>99.90000000000001</v>
      </c>
      <c r="H3654" t="n">
        <v>0</v>
      </c>
      <c r="I3654" t="inlineStr">
        <is>
          <t>credit_card</t>
        </is>
      </c>
      <c r="J3654" t="n">
        <v>11</v>
      </c>
      <c r="K3654" t="inlineStr">
        <is>
          <t>On Time</t>
        </is>
      </c>
      <c r="L3654" t="n">
        <v>5</v>
      </c>
      <c r="M3654">
        <f>VLOOKUP(D3654,State_Lookup!$A$2:$B$28,2,FALSE)</f>
        <v/>
      </c>
    </row>
    <row r="3655">
      <c r="A3655" t="inlineStr">
        <is>
          <t>2882e815bbb59314e58194adf2fe61e3</t>
        </is>
      </c>
      <c r="B3655" t="inlineStr">
        <is>
          <t>2018-04-24</t>
        </is>
      </c>
      <c r="C3655" t="inlineStr">
        <is>
          <t>2018-04</t>
        </is>
      </c>
      <c r="D3655" t="inlineStr">
        <is>
          <t>SP</t>
        </is>
      </c>
      <c r="E3655" t="inlineStr">
        <is>
          <t>telephony</t>
        </is>
      </c>
      <c r="F3655" t="n">
        <v>1</v>
      </c>
      <c r="G3655" t="n">
        <v>45.9</v>
      </c>
      <c r="H3655" t="n">
        <v>12.79</v>
      </c>
      <c r="I3655" t="inlineStr">
        <is>
          <t>voucher</t>
        </is>
      </c>
      <c r="J3655" t="n">
        <v>5</v>
      </c>
      <c r="K3655" t="inlineStr">
        <is>
          <t>On Time</t>
        </is>
      </c>
      <c r="L3655" t="n">
        <v>5</v>
      </c>
      <c r="M3655">
        <f>VLOOKUP(D3655,State_Lookup!$A$2:$B$28,2,FALSE)</f>
        <v/>
      </c>
    </row>
    <row r="3656">
      <c r="A3656" t="inlineStr">
        <is>
          <t>b2e0314790dc44ec6a7d96a62c221a5c</t>
        </is>
      </c>
      <c r="B3656" t="inlineStr">
        <is>
          <t>2018-04-24</t>
        </is>
      </c>
      <c r="C3656" t="inlineStr">
        <is>
          <t>2018-04</t>
        </is>
      </c>
      <c r="D3656" t="inlineStr">
        <is>
          <t>SP</t>
        </is>
      </c>
      <c r="E3656" t="inlineStr">
        <is>
          <t>housewares</t>
        </is>
      </c>
      <c r="F3656" t="n">
        <v>1</v>
      </c>
      <c r="G3656" t="n">
        <v>28.99</v>
      </c>
      <c r="H3656" t="n">
        <v>12.79</v>
      </c>
      <c r="I3656" t="inlineStr">
        <is>
          <t>credit_card</t>
        </is>
      </c>
      <c r="J3656" t="n">
        <v>7</v>
      </c>
      <c r="K3656" t="inlineStr">
        <is>
          <t>On Time</t>
        </is>
      </c>
      <c r="L3656" t="n">
        <v>5</v>
      </c>
      <c r="M3656">
        <f>VLOOKUP(D3656,State_Lookup!$A$2:$B$28,2,FALSE)</f>
        <v/>
      </c>
    </row>
    <row r="3657">
      <c r="A3657" t="inlineStr">
        <is>
          <t>d192544ec2b865ca0055b5c559bca196</t>
        </is>
      </c>
      <c r="B3657" t="inlineStr">
        <is>
          <t>2018-04-24</t>
        </is>
      </c>
      <c r="C3657" t="inlineStr">
        <is>
          <t>2018-04</t>
        </is>
      </c>
      <c r="D3657" t="inlineStr">
        <is>
          <t>SP</t>
        </is>
      </c>
      <c r="E3657" t="inlineStr">
        <is>
          <t>garden_tools</t>
        </is>
      </c>
      <c r="F3657" t="n">
        <v>2</v>
      </c>
      <c r="G3657" t="n">
        <v>254.54</v>
      </c>
      <c r="H3657" t="n">
        <v>26.66</v>
      </c>
      <c r="I3657" t="inlineStr">
        <is>
          <t>credit_card</t>
        </is>
      </c>
      <c r="J3657" t="n">
        <v>7</v>
      </c>
      <c r="K3657" t="inlineStr">
        <is>
          <t>On Time</t>
        </is>
      </c>
      <c r="L3657" t="n">
        <v>4</v>
      </c>
      <c r="M3657">
        <f>VLOOKUP(D3657,State_Lookup!$A$2:$B$28,2,FALSE)</f>
        <v/>
      </c>
    </row>
    <row r="3658">
      <c r="A3658" t="inlineStr">
        <is>
          <t>8e6e7d37d25c7e66e66f8be5a34da04d</t>
        </is>
      </c>
      <c r="B3658" t="inlineStr">
        <is>
          <t>2018-04-24</t>
        </is>
      </c>
      <c r="C3658" t="inlineStr">
        <is>
          <t>2018-04</t>
        </is>
      </c>
      <c r="D3658" t="inlineStr">
        <is>
          <t>PE</t>
        </is>
      </c>
      <c r="E3658" t="inlineStr">
        <is>
          <t>sports_leisure</t>
        </is>
      </c>
      <c r="F3658" t="n">
        <v>1</v>
      </c>
      <c r="G3658" t="n">
        <v>139</v>
      </c>
      <c r="H3658" t="n">
        <v>32.77</v>
      </c>
      <c r="I3658" t="inlineStr">
        <is>
          <t>credit_card</t>
        </is>
      </c>
      <c r="J3658" t="n">
        <v>9</v>
      </c>
      <c r="K3658" t="inlineStr">
        <is>
          <t>On Time</t>
        </is>
      </c>
      <c r="L3658" t="n">
        <v>4</v>
      </c>
      <c r="M3658">
        <f>VLOOKUP(D3658,State_Lookup!$A$2:$B$28,2,FALSE)</f>
        <v/>
      </c>
    </row>
    <row r="3659">
      <c r="A3659" t="inlineStr">
        <is>
          <t>295925037780bbbf9d7a2294087693bc</t>
        </is>
      </c>
      <c r="B3659" t="inlineStr">
        <is>
          <t>2018-04-24</t>
        </is>
      </c>
      <c r="C3659" t="inlineStr">
        <is>
          <t>2018-04</t>
        </is>
      </c>
      <c r="D3659" t="inlineStr">
        <is>
          <t>MG</t>
        </is>
      </c>
      <c r="E3659" t="inlineStr">
        <is>
          <t>furniture_decor</t>
        </is>
      </c>
      <c r="F3659" t="n">
        <v>1</v>
      </c>
      <c r="G3659" t="n">
        <v>69.90000000000001</v>
      </c>
      <c r="H3659" t="n">
        <v>0</v>
      </c>
      <c r="I3659" t="inlineStr">
        <is>
          <t>credit_card</t>
        </is>
      </c>
      <c r="J3659" t="n">
        <v>9</v>
      </c>
      <c r="K3659" t="inlineStr">
        <is>
          <t>On Time</t>
        </is>
      </c>
      <c r="L3659" t="n">
        <v>4</v>
      </c>
      <c r="M3659">
        <f>VLOOKUP(D3659,State_Lookup!$A$2:$B$28,2,FALSE)</f>
        <v/>
      </c>
    </row>
    <row r="3660">
      <c r="A3660" t="inlineStr">
        <is>
          <t>675b1c40d6b0d4397714c1087eeafb01</t>
        </is>
      </c>
      <c r="B3660" t="inlineStr">
        <is>
          <t>2018-04-24</t>
        </is>
      </c>
      <c r="C3660" t="inlineStr">
        <is>
          <t>2018-04</t>
        </is>
      </c>
      <c r="D3660" t="inlineStr">
        <is>
          <t>DF</t>
        </is>
      </c>
      <c r="E3660" t="inlineStr">
        <is>
          <t>perfumery</t>
        </is>
      </c>
      <c r="F3660" t="n">
        <v>1</v>
      </c>
      <c r="G3660" t="n">
        <v>14.8</v>
      </c>
      <c r="H3660" t="n">
        <v>7.71</v>
      </c>
      <c r="I3660" t="inlineStr">
        <is>
          <t>credit_card</t>
        </is>
      </c>
      <c r="J3660" t="n">
        <v>2</v>
      </c>
      <c r="K3660" t="inlineStr">
        <is>
          <t>On Time</t>
        </is>
      </c>
      <c r="L3660" t="n">
        <v>4</v>
      </c>
      <c r="M3660">
        <f>VLOOKUP(D3660,State_Lookup!$A$2:$B$28,2,FALSE)</f>
        <v/>
      </c>
    </row>
    <row r="3661">
      <c r="A3661" t="inlineStr">
        <is>
          <t>aa413696416fac21a0e58f3e6802978d</t>
        </is>
      </c>
      <c r="B3661" t="inlineStr">
        <is>
          <t>2018-04-24</t>
        </is>
      </c>
      <c r="C3661" t="inlineStr">
        <is>
          <t>2018-04</t>
        </is>
      </c>
      <c r="D3661" t="inlineStr">
        <is>
          <t>SC</t>
        </is>
      </c>
      <c r="E3661" t="inlineStr">
        <is>
          <t>toys</t>
        </is>
      </c>
      <c r="F3661" t="n">
        <v>1</v>
      </c>
      <c r="G3661" t="n">
        <v>89.98999999999999</v>
      </c>
      <c r="H3661" t="n">
        <v>26.71</v>
      </c>
      <c r="I3661" t="inlineStr">
        <is>
          <t>credit_card</t>
        </is>
      </c>
      <c r="J3661" t="n">
        <v>9</v>
      </c>
      <c r="K3661" t="inlineStr">
        <is>
          <t>On Time</t>
        </is>
      </c>
      <c r="L3661" t="n">
        <v>5</v>
      </c>
      <c r="M3661">
        <f>VLOOKUP(D3661,State_Lookup!$A$2:$B$28,2,FALSE)</f>
        <v/>
      </c>
    </row>
    <row r="3662">
      <c r="A3662" t="inlineStr">
        <is>
          <t>816c0409fb7624265037bcbadc488c2b</t>
        </is>
      </c>
      <c r="B3662" t="inlineStr">
        <is>
          <t>2018-04-24</t>
        </is>
      </c>
      <c r="C3662" t="inlineStr">
        <is>
          <t>2018-04</t>
        </is>
      </c>
      <c r="D3662" t="inlineStr">
        <is>
          <t>PR</t>
        </is>
      </c>
      <c r="E3662" t="inlineStr">
        <is>
          <t>home_appliances</t>
        </is>
      </c>
      <c r="F3662" t="n">
        <v>1</v>
      </c>
      <c r="G3662" t="n">
        <v>37.1</v>
      </c>
      <c r="H3662" t="n">
        <v>18.23</v>
      </c>
      <c r="I3662" t="inlineStr">
        <is>
          <t>boleto</t>
        </is>
      </c>
      <c r="J3662" t="n">
        <v>8</v>
      </c>
      <c r="K3662" t="inlineStr">
        <is>
          <t>On Time</t>
        </is>
      </c>
      <c r="L3662" t="n">
        <v>1</v>
      </c>
      <c r="M3662">
        <f>VLOOKUP(D3662,State_Lookup!$A$2:$B$28,2,FALSE)</f>
        <v/>
      </c>
    </row>
    <row r="3663">
      <c r="A3663" t="inlineStr">
        <is>
          <t>d1eeb7258c6971ef8e350b3cf74bb7cf</t>
        </is>
      </c>
      <c r="B3663" t="inlineStr">
        <is>
          <t>2018-04-24</t>
        </is>
      </c>
      <c r="C3663" t="inlineStr">
        <is>
          <t>2018-04</t>
        </is>
      </c>
      <c r="D3663" t="inlineStr">
        <is>
          <t>SP</t>
        </is>
      </c>
      <c r="E3663" t="inlineStr">
        <is>
          <t>office_furniture</t>
        </is>
      </c>
      <c r="F3663" t="n">
        <v>2</v>
      </c>
      <c r="G3663" t="n">
        <v>159.98</v>
      </c>
      <c r="H3663" t="n">
        <v>29.1</v>
      </c>
      <c r="I3663" t="inlineStr">
        <is>
          <t>credit_card</t>
        </is>
      </c>
      <c r="J3663" t="n">
        <v>15</v>
      </c>
      <c r="K3663" t="inlineStr">
        <is>
          <t>On Time</t>
        </is>
      </c>
      <c r="L3663" t="n">
        <v>1</v>
      </c>
      <c r="M3663">
        <f>VLOOKUP(D3663,State_Lookup!$A$2:$B$28,2,FALSE)</f>
        <v/>
      </c>
    </row>
    <row r="3664">
      <c r="A3664" t="inlineStr">
        <is>
          <t>5a369b11eae91cf552807c13a44a8878</t>
        </is>
      </c>
      <c r="B3664" t="inlineStr">
        <is>
          <t>2018-04-24</t>
        </is>
      </c>
      <c r="C3664" t="inlineStr">
        <is>
          <t>2018-04</t>
        </is>
      </c>
      <c r="D3664" t="inlineStr">
        <is>
          <t>RJ</t>
        </is>
      </c>
      <c r="E3664" t="inlineStr">
        <is>
          <t>sports_leisure</t>
        </is>
      </c>
      <c r="F3664" t="n">
        <v>1</v>
      </c>
      <c r="G3664" t="n">
        <v>69.98999999999999</v>
      </c>
      <c r="H3664" t="n">
        <v>19.46</v>
      </c>
      <c r="I3664" t="inlineStr">
        <is>
          <t>credit_card</t>
        </is>
      </c>
      <c r="J3664" t="n">
        <v>20</v>
      </c>
      <c r="K3664" t="inlineStr">
        <is>
          <t>On Time</t>
        </is>
      </c>
      <c r="L3664" t="n">
        <v>5</v>
      </c>
      <c r="M3664">
        <f>VLOOKUP(D3664,State_Lookup!$A$2:$B$28,2,FALSE)</f>
        <v/>
      </c>
    </row>
    <row r="3665">
      <c r="A3665" t="inlineStr">
        <is>
          <t>a9016dde97a6a447890dd748aa844b85</t>
        </is>
      </c>
      <c r="B3665" t="inlineStr">
        <is>
          <t>2018-04-25</t>
        </is>
      </c>
      <c r="C3665" t="inlineStr">
        <is>
          <t>2018-04</t>
        </is>
      </c>
      <c r="D3665" t="inlineStr">
        <is>
          <t>SP</t>
        </is>
      </c>
      <c r="E3665" t="inlineStr">
        <is>
          <t>telephony</t>
        </is>
      </c>
      <c r="F3665" t="n">
        <v>1</v>
      </c>
      <c r="G3665" t="n">
        <v>29.99</v>
      </c>
      <c r="H3665" t="n">
        <v>12.79</v>
      </c>
      <c r="I3665" t="inlineStr">
        <is>
          <t>credit_card</t>
        </is>
      </c>
      <c r="J3665" t="n">
        <v>4</v>
      </c>
      <c r="K3665" t="inlineStr">
        <is>
          <t>On Time</t>
        </is>
      </c>
      <c r="L3665" t="n">
        <v>5</v>
      </c>
      <c r="M3665">
        <f>VLOOKUP(D3665,State_Lookup!$A$2:$B$28,2,FALSE)</f>
        <v/>
      </c>
    </row>
    <row r="3666">
      <c r="A3666" t="inlineStr">
        <is>
          <t>5bb5e53b117f231e116d1ff1f530c8ce</t>
        </is>
      </c>
      <c r="B3666" t="inlineStr">
        <is>
          <t>2018-04-25</t>
        </is>
      </c>
      <c r="C3666" t="inlineStr">
        <is>
          <t>2018-04</t>
        </is>
      </c>
      <c r="D3666" t="inlineStr">
        <is>
          <t>SP</t>
        </is>
      </c>
      <c r="E3666" t="inlineStr">
        <is>
          <t>construction_tools_construction</t>
        </is>
      </c>
      <c r="F3666" t="n">
        <v>2</v>
      </c>
      <c r="G3666" t="n">
        <v>160</v>
      </c>
      <c r="H3666" t="n">
        <v>14.86</v>
      </c>
      <c r="I3666" t="inlineStr">
        <is>
          <t>credit_card</t>
        </is>
      </c>
      <c r="J3666" t="n">
        <v>2</v>
      </c>
      <c r="K3666" t="inlineStr">
        <is>
          <t>On Time</t>
        </is>
      </c>
      <c r="L3666" t="n">
        <v>5</v>
      </c>
      <c r="M3666">
        <f>VLOOKUP(D3666,State_Lookup!$A$2:$B$28,2,FALSE)</f>
        <v/>
      </c>
    </row>
    <row r="3667">
      <c r="A3667" t="inlineStr">
        <is>
          <t>b9babcd3be5ab7aae890f68c9fb4ccc8</t>
        </is>
      </c>
      <c r="B3667" t="inlineStr">
        <is>
          <t>2018-04-25</t>
        </is>
      </c>
      <c r="C3667" t="inlineStr">
        <is>
          <t>2018-04</t>
        </is>
      </c>
      <c r="D3667" t="inlineStr">
        <is>
          <t>PR</t>
        </is>
      </c>
      <c r="E3667" t="inlineStr">
        <is>
          <t>tablets_printing_image</t>
        </is>
      </c>
      <c r="F3667" t="n">
        <v>1</v>
      </c>
      <c r="G3667" t="n">
        <v>52</v>
      </c>
      <c r="H3667" t="n">
        <v>18.24</v>
      </c>
      <c r="I3667" t="inlineStr">
        <is>
          <t>credit_card</t>
        </is>
      </c>
      <c r="J3667" t="n">
        <v>7</v>
      </c>
      <c r="K3667" t="inlineStr">
        <is>
          <t>On Time</t>
        </is>
      </c>
      <c r="L3667" t="n">
        <v>5</v>
      </c>
      <c r="M3667">
        <f>VLOOKUP(D3667,State_Lookup!$A$2:$B$28,2,FALSE)</f>
        <v/>
      </c>
    </row>
    <row r="3668">
      <c r="A3668" t="inlineStr">
        <is>
          <t>d5af3f91478b15918f7250953622d89d</t>
        </is>
      </c>
      <c r="B3668" t="inlineStr">
        <is>
          <t>2018-04-25</t>
        </is>
      </c>
      <c r="C3668" t="inlineStr">
        <is>
          <t>2018-04</t>
        </is>
      </c>
      <c r="D3668" t="inlineStr">
        <is>
          <t>RJ</t>
        </is>
      </c>
      <c r="E3668" t="inlineStr">
        <is>
          <t>watches_gifts</t>
        </is>
      </c>
      <c r="F3668" t="n">
        <v>1</v>
      </c>
      <c r="G3668" t="n">
        <v>199</v>
      </c>
      <c r="H3668" t="n">
        <v>0</v>
      </c>
      <c r="I3668" t="inlineStr">
        <is>
          <t>credit_card</t>
        </is>
      </c>
      <c r="J3668" t="n">
        <v>20</v>
      </c>
      <c r="K3668" t="inlineStr">
        <is>
          <t>On Time</t>
        </is>
      </c>
      <c r="L3668" t="n">
        <v>5</v>
      </c>
      <c r="M3668">
        <f>VLOOKUP(D3668,State_Lookup!$A$2:$B$28,2,FALSE)</f>
        <v/>
      </c>
    </row>
    <row r="3669">
      <c r="A3669" t="inlineStr">
        <is>
          <t>5145b58a90c0dfab75617173b511a9db</t>
        </is>
      </c>
      <c r="B3669" t="inlineStr">
        <is>
          <t>2018-04-25</t>
        </is>
      </c>
      <c r="C3669" t="inlineStr">
        <is>
          <t>2018-04</t>
        </is>
      </c>
      <c r="D3669" t="inlineStr">
        <is>
          <t>MG</t>
        </is>
      </c>
      <c r="E3669" t="inlineStr">
        <is>
          <t>health_beauty</t>
        </is>
      </c>
      <c r="F3669" t="n">
        <v>1</v>
      </c>
      <c r="G3669" t="n">
        <v>349.9</v>
      </c>
      <c r="H3669" t="n">
        <v>20.43</v>
      </c>
      <c r="I3669" t="inlineStr">
        <is>
          <t>credit_card</t>
        </is>
      </c>
      <c r="J3669" t="n">
        <v>7</v>
      </c>
      <c r="K3669" t="inlineStr">
        <is>
          <t>On Time</t>
        </is>
      </c>
      <c r="L3669" t="n">
        <v>5</v>
      </c>
      <c r="M3669">
        <f>VLOOKUP(D3669,State_Lookup!$A$2:$B$28,2,FALSE)</f>
        <v/>
      </c>
    </row>
    <row r="3670">
      <c r="A3670" t="inlineStr">
        <is>
          <t>54ea7642b27bcfa4142c92f475f28384</t>
        </is>
      </c>
      <c r="B3670" t="inlineStr">
        <is>
          <t>2018-04-25</t>
        </is>
      </c>
      <c r="C3670" t="inlineStr">
        <is>
          <t>2018-04</t>
        </is>
      </c>
      <c r="D3670" t="inlineStr">
        <is>
          <t>RJ</t>
        </is>
      </c>
      <c r="E3670" t="inlineStr">
        <is>
          <t>housewares</t>
        </is>
      </c>
      <c r="F3670" t="n">
        <v>1</v>
      </c>
      <c r="G3670" t="n">
        <v>159.49</v>
      </c>
      <c r="H3670" t="n">
        <v>27.59</v>
      </c>
      <c r="I3670" t="inlineStr">
        <is>
          <t>credit_card</t>
        </is>
      </c>
      <c r="J3670" t="n">
        <v>16</v>
      </c>
      <c r="K3670" t="inlineStr">
        <is>
          <t>On Time</t>
        </is>
      </c>
      <c r="L3670" t="n">
        <v>5</v>
      </c>
      <c r="M3670">
        <f>VLOOKUP(D3670,State_Lookup!$A$2:$B$28,2,FALSE)</f>
        <v/>
      </c>
    </row>
    <row r="3671">
      <c r="A3671" t="inlineStr">
        <is>
          <t>16c96dd4350d02d1890b8b7fd141da9a</t>
        </is>
      </c>
      <c r="B3671" t="inlineStr">
        <is>
          <t>2018-04-25</t>
        </is>
      </c>
      <c r="C3671" t="inlineStr">
        <is>
          <t>2018-04</t>
        </is>
      </c>
      <c r="D3671" t="inlineStr">
        <is>
          <t>SP</t>
        </is>
      </c>
      <c r="E3671" t="inlineStr">
        <is>
          <t>toys</t>
        </is>
      </c>
      <c r="F3671" t="n">
        <v>1</v>
      </c>
      <c r="G3671" t="n">
        <v>275</v>
      </c>
      <c r="H3671" t="n">
        <v>14.83</v>
      </c>
      <c r="I3671" t="inlineStr">
        <is>
          <t>credit_card</t>
        </is>
      </c>
      <c r="J3671" t="n">
        <v>1</v>
      </c>
      <c r="K3671" t="inlineStr">
        <is>
          <t>On Time</t>
        </is>
      </c>
      <c r="L3671" t="n">
        <v>5</v>
      </c>
      <c r="M3671">
        <f>VLOOKUP(D3671,State_Lookup!$A$2:$B$28,2,FALSE)</f>
        <v/>
      </c>
    </row>
    <row r="3672">
      <c r="A3672" t="inlineStr">
        <is>
          <t>db938741a6e086fc10ca5c84d032fef3</t>
        </is>
      </c>
      <c r="B3672" t="inlineStr">
        <is>
          <t>2018-04-25</t>
        </is>
      </c>
      <c r="C3672" t="inlineStr">
        <is>
          <t>2018-04</t>
        </is>
      </c>
      <c r="D3672" t="inlineStr">
        <is>
          <t>PE</t>
        </is>
      </c>
      <c r="E3672" t="inlineStr">
        <is>
          <t>telephony</t>
        </is>
      </c>
      <c r="F3672" t="n">
        <v>1</v>
      </c>
      <c r="G3672" t="n">
        <v>21.99</v>
      </c>
      <c r="H3672" t="n">
        <v>19.04</v>
      </c>
      <c r="I3672" t="inlineStr">
        <is>
          <t>credit_card</t>
        </is>
      </c>
      <c r="J3672" t="n">
        <v>15</v>
      </c>
      <c r="K3672" t="inlineStr">
        <is>
          <t>On Time</t>
        </is>
      </c>
      <c r="L3672" t="n">
        <v>5</v>
      </c>
      <c r="M3672">
        <f>VLOOKUP(D3672,State_Lookup!$A$2:$B$28,2,FALSE)</f>
        <v/>
      </c>
    </row>
    <row r="3673">
      <c r="A3673" t="inlineStr">
        <is>
          <t>a37057df33d7a542cf514f9cbe7a311d</t>
        </is>
      </c>
      <c r="B3673" t="inlineStr">
        <is>
          <t>2018-04-25</t>
        </is>
      </c>
      <c r="C3673" t="inlineStr">
        <is>
          <t>2018-04</t>
        </is>
      </c>
      <c r="D3673" t="inlineStr">
        <is>
          <t>SC</t>
        </is>
      </c>
      <c r="E3673" t="inlineStr">
        <is>
          <t>art</t>
        </is>
      </c>
      <c r="F3673" t="n">
        <v>1</v>
      </c>
      <c r="G3673" t="n">
        <v>99.98999999999999</v>
      </c>
      <c r="H3673" t="n">
        <v>23.28</v>
      </c>
      <c r="I3673" t="inlineStr">
        <is>
          <t>credit_card</t>
        </is>
      </c>
      <c r="J3673" t="n">
        <v>8</v>
      </c>
      <c r="K3673" t="inlineStr">
        <is>
          <t>On Time</t>
        </is>
      </c>
      <c r="L3673" t="n">
        <v>4</v>
      </c>
      <c r="M3673">
        <f>VLOOKUP(D3673,State_Lookup!$A$2:$B$28,2,FALSE)</f>
        <v/>
      </c>
    </row>
    <row r="3674">
      <c r="A3674" t="inlineStr">
        <is>
          <t>251aa2c943f75ad00a62107e4a9e83ec</t>
        </is>
      </c>
      <c r="B3674" t="inlineStr">
        <is>
          <t>2018-04-25</t>
        </is>
      </c>
      <c r="C3674" t="inlineStr">
        <is>
          <t>2018-04</t>
        </is>
      </c>
      <c r="D3674" t="inlineStr">
        <is>
          <t>SP</t>
        </is>
      </c>
      <c r="E3674" t="inlineStr">
        <is>
          <t>pet_shop</t>
        </is>
      </c>
      <c r="F3674" t="n">
        <v>1</v>
      </c>
      <c r="G3674" t="n">
        <v>36</v>
      </c>
      <c r="H3674" t="n">
        <v>13.71</v>
      </c>
      <c r="I3674" t="inlineStr">
        <is>
          <t>credit_card</t>
        </is>
      </c>
      <c r="J3674" t="n">
        <v>5</v>
      </c>
      <c r="K3674" t="inlineStr">
        <is>
          <t>On Time</t>
        </is>
      </c>
      <c r="L3674" t="n">
        <v>5</v>
      </c>
      <c r="M3674">
        <f>VLOOKUP(D3674,State_Lookup!$A$2:$B$28,2,FALSE)</f>
        <v/>
      </c>
    </row>
    <row r="3675">
      <c r="A3675" t="inlineStr">
        <is>
          <t>54811adf8b498ae84eb8bef759873054</t>
        </is>
      </c>
      <c r="B3675" t="inlineStr">
        <is>
          <t>2018-04-25</t>
        </is>
      </c>
      <c r="C3675" t="inlineStr">
        <is>
          <t>2018-04</t>
        </is>
      </c>
      <c r="D3675" t="inlineStr">
        <is>
          <t>SP</t>
        </is>
      </c>
      <c r="E3675" t="inlineStr">
        <is>
          <t>sports_leisure</t>
        </is>
      </c>
      <c r="F3675" t="n">
        <v>1</v>
      </c>
      <c r="G3675" t="n">
        <v>59.9</v>
      </c>
      <c r="H3675" t="n">
        <v>18.3</v>
      </c>
      <c r="I3675" t="inlineStr">
        <is>
          <t>credit_card</t>
        </is>
      </c>
      <c r="J3675" t="n">
        <v>7</v>
      </c>
      <c r="K3675" t="inlineStr">
        <is>
          <t>On Time</t>
        </is>
      </c>
      <c r="L3675" t="n">
        <v>5</v>
      </c>
      <c r="M3675">
        <f>VLOOKUP(D3675,State_Lookup!$A$2:$B$28,2,FALSE)</f>
        <v/>
      </c>
    </row>
    <row r="3676">
      <c r="A3676" t="inlineStr">
        <is>
          <t>fd4a7190606c77ffa23d74c44119d191</t>
        </is>
      </c>
      <c r="B3676" t="inlineStr">
        <is>
          <t>2018-04-25</t>
        </is>
      </c>
      <c r="C3676" t="inlineStr">
        <is>
          <t>2018-04</t>
        </is>
      </c>
      <c r="D3676" t="inlineStr">
        <is>
          <t>CE</t>
        </is>
      </c>
      <c r="E3676" t="inlineStr">
        <is>
          <t>home_construction</t>
        </is>
      </c>
      <c r="F3676" t="n">
        <v>1</v>
      </c>
      <c r="G3676" t="n">
        <v>129.95</v>
      </c>
      <c r="H3676" t="n">
        <v>37.6</v>
      </c>
      <c r="I3676" t="inlineStr">
        <is>
          <t>credit_card</t>
        </is>
      </c>
      <c r="J3676" t="n">
        <v>22</v>
      </c>
      <c r="K3676" t="inlineStr">
        <is>
          <t>On Time</t>
        </is>
      </c>
      <c r="L3676" t="n">
        <v>5</v>
      </c>
      <c r="M3676">
        <f>VLOOKUP(D3676,State_Lookup!$A$2:$B$28,2,FALSE)</f>
        <v/>
      </c>
    </row>
    <row r="3677">
      <c r="A3677" t="inlineStr">
        <is>
          <t>a5844c6ba1c0c2464b56dc6fa879b9bd</t>
        </is>
      </c>
      <c r="B3677" t="inlineStr">
        <is>
          <t>2018-04-25</t>
        </is>
      </c>
      <c r="C3677" t="inlineStr">
        <is>
          <t>2018-04</t>
        </is>
      </c>
      <c r="D3677" t="inlineStr">
        <is>
          <t>GO</t>
        </is>
      </c>
      <c r="E3677" t="inlineStr">
        <is>
          <t>costruction_tools_tools</t>
        </is>
      </c>
      <c r="F3677" t="n">
        <v>2</v>
      </c>
      <c r="G3677" t="n">
        <v>91.8</v>
      </c>
      <c r="H3677" t="n">
        <v>15.42</v>
      </c>
      <c r="I3677" t="inlineStr">
        <is>
          <t>credit_card</t>
        </is>
      </c>
      <c r="J3677" t="n">
        <v>2</v>
      </c>
      <c r="K3677" t="inlineStr">
        <is>
          <t>On Time</t>
        </is>
      </c>
      <c r="L3677" t="n">
        <v>5</v>
      </c>
      <c r="M3677">
        <f>VLOOKUP(D3677,State_Lookup!$A$2:$B$28,2,FALSE)</f>
        <v/>
      </c>
    </row>
    <row r="3678">
      <c r="A3678" t="inlineStr">
        <is>
          <t>ecadbb1baca4ac613473d62989309321</t>
        </is>
      </c>
      <c r="B3678" t="inlineStr">
        <is>
          <t>2018-04-25</t>
        </is>
      </c>
      <c r="C3678" t="inlineStr">
        <is>
          <t>2018-04</t>
        </is>
      </c>
      <c r="D3678" t="inlineStr">
        <is>
          <t>SP</t>
        </is>
      </c>
      <c r="E3678" t="inlineStr">
        <is>
          <t>watches_gifts</t>
        </is>
      </c>
      <c r="F3678" t="n">
        <v>1</v>
      </c>
      <c r="G3678" t="n">
        <v>99.90000000000001</v>
      </c>
      <c r="H3678" t="n">
        <v>0</v>
      </c>
      <c r="I3678" t="inlineStr">
        <is>
          <t>credit_card</t>
        </is>
      </c>
      <c r="J3678" t="n">
        <v>9</v>
      </c>
      <c r="K3678" t="inlineStr">
        <is>
          <t>On Time</t>
        </is>
      </c>
      <c r="L3678" t="n">
        <v>5</v>
      </c>
      <c r="M3678">
        <f>VLOOKUP(D3678,State_Lookup!$A$2:$B$28,2,FALSE)</f>
        <v/>
      </c>
    </row>
    <row r="3679">
      <c r="A3679" t="inlineStr">
        <is>
          <t>011a43bc9bb525517251ebb3ebc99b69</t>
        </is>
      </c>
      <c r="B3679" t="inlineStr">
        <is>
          <t>2018-04-25</t>
        </is>
      </c>
      <c r="C3679" t="inlineStr">
        <is>
          <t>2018-04</t>
        </is>
      </c>
      <c r="D3679" t="inlineStr">
        <is>
          <t>SP</t>
        </is>
      </c>
      <c r="E3679" t="inlineStr">
        <is>
          <t>bed_bath_table</t>
        </is>
      </c>
      <c r="F3679" t="n">
        <v>1</v>
      </c>
      <c r="G3679" t="n">
        <v>899</v>
      </c>
      <c r="H3679" t="n">
        <v>21.2</v>
      </c>
      <c r="I3679" t="inlineStr">
        <is>
          <t>credit_card</t>
        </is>
      </c>
      <c r="J3679" t="n">
        <v>4</v>
      </c>
      <c r="K3679" t="inlineStr">
        <is>
          <t>On Time</t>
        </is>
      </c>
      <c r="L3679" t="n">
        <v>5</v>
      </c>
      <c r="M3679">
        <f>VLOOKUP(D3679,State_Lookup!$A$2:$B$28,2,FALSE)</f>
        <v/>
      </c>
    </row>
    <row r="3680">
      <c r="A3680" t="inlineStr">
        <is>
          <t>ce9f7444804995c448736c30b7072add</t>
        </is>
      </c>
      <c r="B3680" t="inlineStr">
        <is>
          <t>2018-04-25</t>
        </is>
      </c>
      <c r="C3680" t="inlineStr">
        <is>
          <t>2018-04</t>
        </is>
      </c>
      <c r="D3680" t="inlineStr">
        <is>
          <t>CE</t>
        </is>
      </c>
      <c r="E3680" t="inlineStr">
        <is>
          <t>sports_leisure</t>
        </is>
      </c>
      <c r="F3680" t="n">
        <v>1</v>
      </c>
      <c r="G3680" t="n">
        <v>74.98999999999999</v>
      </c>
      <c r="H3680" t="n">
        <v>37.21</v>
      </c>
      <c r="I3680" t="inlineStr">
        <is>
          <t>credit_card</t>
        </is>
      </c>
      <c r="J3680" t="n">
        <v>21</v>
      </c>
      <c r="K3680" t="inlineStr">
        <is>
          <t>On Time</t>
        </is>
      </c>
      <c r="L3680" t="n">
        <v>5</v>
      </c>
      <c r="M3680">
        <f>VLOOKUP(D3680,State_Lookup!$A$2:$B$28,2,FALSE)</f>
        <v/>
      </c>
    </row>
    <row r="3681">
      <c r="A3681" t="inlineStr">
        <is>
          <t>e62907b8603f88422352b8499461d59b</t>
        </is>
      </c>
      <c r="B3681" t="inlineStr">
        <is>
          <t>2018-04-25</t>
        </is>
      </c>
      <c r="C3681" t="inlineStr">
        <is>
          <t>2018-04</t>
        </is>
      </c>
      <c r="D3681" t="inlineStr">
        <is>
          <t>SP</t>
        </is>
      </c>
      <c r="E3681" t="inlineStr">
        <is>
          <t>pet_shop</t>
        </is>
      </c>
      <c r="F3681" t="n">
        <v>1</v>
      </c>
      <c r="G3681" t="n">
        <v>189.9</v>
      </c>
      <c r="H3681" t="n">
        <v>11.95</v>
      </c>
      <c r="I3681" t="inlineStr">
        <is>
          <t>credit_card</t>
        </is>
      </c>
      <c r="J3681" t="n">
        <v>3</v>
      </c>
      <c r="K3681" t="inlineStr">
        <is>
          <t>On Time</t>
        </is>
      </c>
      <c r="L3681" t="n">
        <v>1</v>
      </c>
      <c r="M3681">
        <f>VLOOKUP(D3681,State_Lookup!$A$2:$B$28,2,FALSE)</f>
        <v/>
      </c>
    </row>
    <row r="3682">
      <c r="A3682" t="inlineStr">
        <is>
          <t>234cbb8d0d6f7eeb4e98ec3b67e2b228</t>
        </is>
      </c>
      <c r="B3682" t="inlineStr">
        <is>
          <t>2018-04-25</t>
        </is>
      </c>
      <c r="C3682" t="inlineStr">
        <is>
          <t>2018-04</t>
        </is>
      </c>
      <c r="D3682" t="inlineStr">
        <is>
          <t>SP</t>
        </is>
      </c>
      <c r="E3682" t="inlineStr">
        <is>
          <t>toys</t>
        </is>
      </c>
      <c r="F3682" t="n">
        <v>1</v>
      </c>
      <c r="G3682" t="n">
        <v>237.99</v>
      </c>
      <c r="H3682" t="n">
        <v>37.6</v>
      </c>
      <c r="I3682" t="inlineStr">
        <is>
          <t>credit_card</t>
        </is>
      </c>
      <c r="J3682" t="n">
        <v>2</v>
      </c>
      <c r="K3682" t="inlineStr">
        <is>
          <t>On Time</t>
        </is>
      </c>
      <c r="L3682" t="n">
        <v>5</v>
      </c>
      <c r="M3682">
        <f>VLOOKUP(D3682,State_Lookup!$A$2:$B$28,2,FALSE)</f>
        <v/>
      </c>
    </row>
    <row r="3683">
      <c r="A3683" t="inlineStr">
        <is>
          <t>c0a2349a8e345c3196f05a1dda9057a1</t>
        </is>
      </c>
      <c r="B3683" t="inlineStr">
        <is>
          <t>2018-04-26</t>
        </is>
      </c>
      <c r="C3683" t="inlineStr">
        <is>
          <t>2018-04</t>
        </is>
      </c>
      <c r="D3683" t="inlineStr">
        <is>
          <t>PB</t>
        </is>
      </c>
      <c r="E3683" t="inlineStr">
        <is>
          <t>garden_tools</t>
        </is>
      </c>
      <c r="F3683" t="n">
        <v>1</v>
      </c>
      <c r="G3683" t="n">
        <v>53.9</v>
      </c>
      <c r="H3683" t="n">
        <v>39.85</v>
      </c>
      <c r="I3683" t="inlineStr">
        <is>
          <t>credit_card</t>
        </is>
      </c>
      <c r="J3683" t="n">
        <v>14</v>
      </c>
      <c r="K3683" t="inlineStr">
        <is>
          <t>On Time</t>
        </is>
      </c>
      <c r="L3683" t="n">
        <v>4</v>
      </c>
      <c r="M3683">
        <f>VLOOKUP(D3683,State_Lookup!$A$2:$B$28,2,FALSE)</f>
        <v/>
      </c>
    </row>
    <row r="3684">
      <c r="A3684" t="inlineStr">
        <is>
          <t>30a461491fa262d5d6321e3194bbb452</t>
        </is>
      </c>
      <c r="B3684" t="inlineStr">
        <is>
          <t>2018-04-26</t>
        </is>
      </c>
      <c r="C3684" t="inlineStr">
        <is>
          <t>2018-04</t>
        </is>
      </c>
      <c r="D3684" t="inlineStr">
        <is>
          <t>RJ</t>
        </is>
      </c>
      <c r="E3684" t="inlineStr">
        <is>
          <t>garden_tools</t>
        </is>
      </c>
      <c r="F3684" t="n">
        <v>1</v>
      </c>
      <c r="G3684" t="n">
        <v>45.9</v>
      </c>
      <c r="H3684" t="n">
        <v>17.93</v>
      </c>
      <c r="I3684" t="inlineStr">
        <is>
          <t>credit_card</t>
        </is>
      </c>
      <c r="J3684" t="inlineStr"/>
      <c r="K3684" t="inlineStr">
        <is>
          <t>Not Delivered</t>
        </is>
      </c>
      <c r="L3684" t="n">
        <v>1</v>
      </c>
      <c r="M3684">
        <f>VLOOKUP(D3684,State_Lookup!$A$2:$B$28,2,FALSE)</f>
        <v/>
      </c>
    </row>
    <row r="3685">
      <c r="A3685" t="inlineStr">
        <is>
          <t>4ef992d01b3b8db02c17acd3484e20de</t>
        </is>
      </c>
      <c r="B3685" t="inlineStr">
        <is>
          <t>2018-04-26</t>
        </is>
      </c>
      <c r="C3685" t="inlineStr">
        <is>
          <t>2018-04</t>
        </is>
      </c>
      <c r="D3685" t="inlineStr">
        <is>
          <t>SP</t>
        </is>
      </c>
      <c r="E3685" t="inlineStr">
        <is>
          <t>office_furniture</t>
        </is>
      </c>
      <c r="F3685" t="n">
        <v>1</v>
      </c>
      <c r="G3685" t="n">
        <v>279.9</v>
      </c>
      <c r="H3685" t="n">
        <v>43.82</v>
      </c>
      <c r="I3685" t="inlineStr">
        <is>
          <t>boleto</t>
        </is>
      </c>
      <c r="J3685" t="n">
        <v>14</v>
      </c>
      <c r="K3685" t="inlineStr">
        <is>
          <t>On Time</t>
        </is>
      </c>
      <c r="L3685" t="n">
        <v>4</v>
      </c>
      <c r="M3685">
        <f>VLOOKUP(D3685,State_Lookup!$A$2:$B$28,2,FALSE)</f>
        <v/>
      </c>
    </row>
    <row r="3686">
      <c r="A3686" t="inlineStr">
        <is>
          <t>30f757bf1610a35332de6044caf5fd2a</t>
        </is>
      </c>
      <c r="B3686" t="inlineStr">
        <is>
          <t>2018-04-26</t>
        </is>
      </c>
      <c r="C3686" t="inlineStr">
        <is>
          <t>2018-04</t>
        </is>
      </c>
      <c r="D3686" t="inlineStr">
        <is>
          <t>CE</t>
        </is>
      </c>
      <c r="E3686" t="inlineStr">
        <is>
          <t>consoles_games</t>
        </is>
      </c>
      <c r="F3686" t="n">
        <v>1</v>
      </c>
      <c r="G3686" t="n">
        <v>79</v>
      </c>
      <c r="H3686" t="n">
        <v>60.61</v>
      </c>
      <c r="I3686" t="inlineStr">
        <is>
          <t>credit_card</t>
        </is>
      </c>
      <c r="J3686" t="n">
        <v>22</v>
      </c>
      <c r="K3686" t="inlineStr">
        <is>
          <t>On Time</t>
        </is>
      </c>
      <c r="L3686" t="n">
        <v>5</v>
      </c>
      <c r="M3686">
        <f>VLOOKUP(D3686,State_Lookup!$A$2:$B$28,2,FALSE)</f>
        <v/>
      </c>
    </row>
    <row r="3687">
      <c r="A3687" t="inlineStr">
        <is>
          <t>25c22896dca583d857448141d99ef3ff</t>
        </is>
      </c>
      <c r="B3687" t="inlineStr">
        <is>
          <t>2018-04-26</t>
        </is>
      </c>
      <c r="C3687" t="inlineStr">
        <is>
          <t>2018-04</t>
        </is>
      </c>
      <c r="D3687" t="inlineStr">
        <is>
          <t>SP</t>
        </is>
      </c>
      <c r="E3687" t="inlineStr">
        <is>
          <t>computers_accessories</t>
        </is>
      </c>
      <c r="F3687" t="n">
        <v>1</v>
      </c>
      <c r="G3687" t="n">
        <v>67.98999999999999</v>
      </c>
      <c r="H3687" t="n">
        <v>14.52</v>
      </c>
      <c r="I3687" t="inlineStr">
        <is>
          <t>boleto</t>
        </is>
      </c>
      <c r="J3687" t="n">
        <v>6</v>
      </c>
      <c r="K3687" t="inlineStr">
        <is>
          <t>On Time</t>
        </is>
      </c>
      <c r="L3687" t="n">
        <v>3</v>
      </c>
      <c r="M3687">
        <f>VLOOKUP(D3687,State_Lookup!$A$2:$B$28,2,FALSE)</f>
        <v/>
      </c>
    </row>
    <row r="3688">
      <c r="A3688" t="inlineStr">
        <is>
          <t>2f90dccb2a52cf21e5f2886dbb8e7eda</t>
        </is>
      </c>
      <c r="B3688" t="inlineStr">
        <is>
          <t>2018-04-26</t>
        </is>
      </c>
      <c r="C3688" t="inlineStr">
        <is>
          <t>2018-04</t>
        </is>
      </c>
      <c r="D3688" t="inlineStr">
        <is>
          <t>DF</t>
        </is>
      </c>
      <c r="E3688" t="inlineStr">
        <is>
          <t>watches_gifts</t>
        </is>
      </c>
      <c r="F3688" t="n">
        <v>1</v>
      </c>
      <c r="G3688" t="n">
        <v>139</v>
      </c>
      <c r="H3688" t="n">
        <v>18.85</v>
      </c>
      <c r="I3688" t="inlineStr">
        <is>
          <t>credit_card</t>
        </is>
      </c>
      <c r="J3688" t="n">
        <v>8</v>
      </c>
      <c r="K3688" t="inlineStr">
        <is>
          <t>On Time</t>
        </is>
      </c>
      <c r="L3688" t="n">
        <v>5</v>
      </c>
      <c r="M3688">
        <f>VLOOKUP(D3688,State_Lookup!$A$2:$B$28,2,FALSE)</f>
        <v/>
      </c>
    </row>
    <row r="3689">
      <c r="A3689" t="inlineStr">
        <is>
          <t>a2f79ba97c95b2708f14e8e66ae525b0</t>
        </is>
      </c>
      <c r="B3689" t="inlineStr">
        <is>
          <t>2018-04-26</t>
        </is>
      </c>
      <c r="C3689" t="inlineStr">
        <is>
          <t>2018-04</t>
        </is>
      </c>
      <c r="D3689" t="inlineStr">
        <is>
          <t>SP</t>
        </is>
      </c>
      <c r="E3689" t="inlineStr">
        <is>
          <t>housewares</t>
        </is>
      </c>
      <c r="F3689" t="n">
        <v>1</v>
      </c>
      <c r="G3689" t="n">
        <v>79.90000000000001</v>
      </c>
      <c r="H3689" t="n">
        <v>13.92</v>
      </c>
      <c r="I3689" t="inlineStr">
        <is>
          <t>credit_card</t>
        </is>
      </c>
      <c r="J3689" t="n">
        <v>7</v>
      </c>
      <c r="K3689" t="inlineStr">
        <is>
          <t>On Time</t>
        </is>
      </c>
      <c r="L3689" t="n">
        <v>5</v>
      </c>
      <c r="M3689">
        <f>VLOOKUP(D3689,State_Lookup!$A$2:$B$28,2,FALSE)</f>
        <v/>
      </c>
    </row>
    <row r="3690">
      <c r="A3690" t="inlineStr">
        <is>
          <t>0fa05bb83efc10205ac8f4224f10c336</t>
        </is>
      </c>
      <c r="B3690" t="inlineStr">
        <is>
          <t>2018-04-26</t>
        </is>
      </c>
      <c r="C3690" t="inlineStr">
        <is>
          <t>2018-04</t>
        </is>
      </c>
      <c r="D3690" t="inlineStr">
        <is>
          <t>AC</t>
        </is>
      </c>
      <c r="E3690" t="inlineStr">
        <is>
          <t>sports_leisure</t>
        </is>
      </c>
      <c r="F3690" t="n">
        <v>1</v>
      </c>
      <c r="G3690" t="n">
        <v>98.98999999999999</v>
      </c>
      <c r="H3690" t="n">
        <v>48.6</v>
      </c>
      <c r="I3690" t="inlineStr">
        <is>
          <t>credit_card</t>
        </is>
      </c>
      <c r="J3690" t="n">
        <v>18</v>
      </c>
      <c r="K3690" t="inlineStr">
        <is>
          <t>On Time</t>
        </is>
      </c>
      <c r="L3690" t="n">
        <v>5</v>
      </c>
      <c r="M3690">
        <f>VLOOKUP(D3690,State_Lookup!$A$2:$B$28,2,FALSE)</f>
        <v/>
      </c>
    </row>
    <row r="3691">
      <c r="A3691" t="inlineStr">
        <is>
          <t>c64c5f793e7b69138252d7c2fb45a3cb</t>
        </is>
      </c>
      <c r="B3691" t="inlineStr">
        <is>
          <t>2018-04-26</t>
        </is>
      </c>
      <c r="C3691" t="inlineStr">
        <is>
          <t>2018-04</t>
        </is>
      </c>
      <c r="D3691" t="inlineStr">
        <is>
          <t>MG</t>
        </is>
      </c>
      <c r="E3691" t="inlineStr">
        <is>
          <t>sports_leisure</t>
        </is>
      </c>
      <c r="F3691" t="n">
        <v>1</v>
      </c>
      <c r="G3691" t="n">
        <v>149.9</v>
      </c>
      <c r="H3691" t="n">
        <v>23.98</v>
      </c>
      <c r="I3691" t="inlineStr">
        <is>
          <t>credit_card</t>
        </is>
      </c>
      <c r="J3691" t="n">
        <v>12</v>
      </c>
      <c r="K3691" t="inlineStr">
        <is>
          <t>On Time</t>
        </is>
      </c>
      <c r="L3691" t="n">
        <v>5</v>
      </c>
      <c r="M3691">
        <f>VLOOKUP(D3691,State_Lookup!$A$2:$B$28,2,FALSE)</f>
        <v/>
      </c>
    </row>
    <row r="3692">
      <c r="A3692" t="inlineStr">
        <is>
          <t>51c5d44ed3cbadb44f409c04123a9402</t>
        </is>
      </c>
      <c r="B3692" t="inlineStr">
        <is>
          <t>2018-04-26</t>
        </is>
      </c>
      <c r="C3692" t="inlineStr">
        <is>
          <t>2018-04</t>
        </is>
      </c>
      <c r="D3692" t="inlineStr">
        <is>
          <t>RJ</t>
        </is>
      </c>
      <c r="E3692" t="inlineStr">
        <is>
          <t>auto</t>
        </is>
      </c>
      <c r="F3692" t="n">
        <v>1</v>
      </c>
      <c r="G3692" t="n">
        <v>55</v>
      </c>
      <c r="H3692" t="n">
        <v>22.1</v>
      </c>
      <c r="I3692" t="inlineStr">
        <is>
          <t>boleto</t>
        </is>
      </c>
      <c r="J3692" t="n">
        <v>21</v>
      </c>
      <c r="K3692" t="inlineStr">
        <is>
          <t>On Time</t>
        </is>
      </c>
      <c r="L3692" t="n">
        <v>5</v>
      </c>
      <c r="M3692">
        <f>VLOOKUP(D3692,State_Lookup!$A$2:$B$28,2,FALSE)</f>
        <v/>
      </c>
    </row>
    <row r="3693">
      <c r="A3693" t="inlineStr">
        <is>
          <t>e2ea40e627fa59e27d40fce26a8b5a32</t>
        </is>
      </c>
      <c r="B3693" t="inlineStr">
        <is>
          <t>2018-04-27</t>
        </is>
      </c>
      <c r="C3693" t="inlineStr">
        <is>
          <t>2018-04</t>
        </is>
      </c>
      <c r="D3693" t="inlineStr">
        <is>
          <t>SP</t>
        </is>
      </c>
      <c r="E3693" t="inlineStr">
        <is>
          <t>auto</t>
        </is>
      </c>
      <c r="F3693" t="n">
        <v>1</v>
      </c>
      <c r="G3693" t="n">
        <v>269</v>
      </c>
      <c r="H3693" t="n">
        <v>12.51</v>
      </c>
      <c r="I3693" t="inlineStr">
        <is>
          <t>credit_card</t>
        </is>
      </c>
      <c r="J3693" t="n">
        <v>15</v>
      </c>
      <c r="K3693" t="inlineStr">
        <is>
          <t>Late</t>
        </is>
      </c>
      <c r="L3693" t="n">
        <v>1</v>
      </c>
      <c r="M3693">
        <f>VLOOKUP(D3693,State_Lookup!$A$2:$B$28,2,FALSE)</f>
        <v/>
      </c>
    </row>
    <row r="3694">
      <c r="A3694" t="inlineStr">
        <is>
          <t>21d33068d3dfe0561f1b60cc9be732e8</t>
        </is>
      </c>
      <c r="B3694" t="inlineStr">
        <is>
          <t>2018-04-27</t>
        </is>
      </c>
      <c r="C3694" t="inlineStr">
        <is>
          <t>2018-04</t>
        </is>
      </c>
      <c r="D3694" t="inlineStr">
        <is>
          <t>RJ</t>
        </is>
      </c>
      <c r="E3694" t="inlineStr">
        <is>
          <t>auto</t>
        </is>
      </c>
      <c r="F3694" t="n">
        <v>1</v>
      </c>
      <c r="G3694" t="n">
        <v>499.99</v>
      </c>
      <c r="H3694" t="n">
        <v>69.17</v>
      </c>
      <c r="I3694" t="inlineStr">
        <is>
          <t>credit_card</t>
        </is>
      </c>
      <c r="J3694" t="inlineStr"/>
      <c r="K3694" t="inlineStr">
        <is>
          <t>Not Delivered</t>
        </is>
      </c>
      <c r="L3694" t="n">
        <v>2</v>
      </c>
      <c r="M3694">
        <f>VLOOKUP(D3694,State_Lookup!$A$2:$B$28,2,FALSE)</f>
        <v/>
      </c>
    </row>
    <row r="3695">
      <c r="A3695" t="inlineStr">
        <is>
          <t>bdfa4237c19c14513acaf750e3e8b7f1</t>
        </is>
      </c>
      <c r="B3695" t="inlineStr">
        <is>
          <t>2018-04-27</t>
        </is>
      </c>
      <c r="C3695" t="inlineStr">
        <is>
          <t>2018-04</t>
        </is>
      </c>
      <c r="D3695" t="inlineStr">
        <is>
          <t>SP</t>
        </is>
      </c>
      <c r="E3695" t="inlineStr">
        <is>
          <t>market_place</t>
        </is>
      </c>
      <c r="F3695" t="n">
        <v>1</v>
      </c>
      <c r="G3695" t="n">
        <v>24.95</v>
      </c>
      <c r="H3695" t="n">
        <v>8.289999999999999</v>
      </c>
      <c r="I3695" t="inlineStr">
        <is>
          <t>boleto</t>
        </is>
      </c>
      <c r="J3695" t="n">
        <v>6</v>
      </c>
      <c r="K3695" t="inlineStr">
        <is>
          <t>On Time</t>
        </is>
      </c>
      <c r="L3695" t="n">
        <v>5</v>
      </c>
      <c r="M3695">
        <f>VLOOKUP(D3695,State_Lookup!$A$2:$B$28,2,FALSE)</f>
        <v/>
      </c>
    </row>
    <row r="3696">
      <c r="A3696" t="inlineStr">
        <is>
          <t>9ad9270de3bd98ce09213f047dc7a16d</t>
        </is>
      </c>
      <c r="B3696" t="inlineStr">
        <is>
          <t>2018-04-27</t>
        </is>
      </c>
      <c r="C3696" t="inlineStr">
        <is>
          <t>2018-04</t>
        </is>
      </c>
      <c r="D3696" t="inlineStr">
        <is>
          <t>PA</t>
        </is>
      </c>
      <c r="E3696" t="inlineStr">
        <is>
          <t>electronics</t>
        </is>
      </c>
      <c r="F3696" t="n">
        <v>1</v>
      </c>
      <c r="G3696" t="n">
        <v>145.99</v>
      </c>
      <c r="H3696" t="n">
        <v>34.18</v>
      </c>
      <c r="I3696" t="inlineStr">
        <is>
          <t>credit_card</t>
        </is>
      </c>
      <c r="J3696" t="n">
        <v>26</v>
      </c>
      <c r="K3696" t="inlineStr">
        <is>
          <t>On Time</t>
        </is>
      </c>
      <c r="L3696" t="n">
        <v>5</v>
      </c>
      <c r="M3696">
        <f>VLOOKUP(D3696,State_Lookup!$A$2:$B$28,2,FALSE)</f>
        <v/>
      </c>
    </row>
    <row r="3697">
      <c r="A3697" t="inlineStr">
        <is>
          <t>4c482dafefb6a39ce4de186a707efb75</t>
        </is>
      </c>
      <c r="B3697" t="inlineStr">
        <is>
          <t>2018-04-27</t>
        </is>
      </c>
      <c r="C3697" t="inlineStr">
        <is>
          <t>2018-04</t>
        </is>
      </c>
      <c r="D3697" t="inlineStr">
        <is>
          <t>RJ</t>
        </is>
      </c>
      <c r="E3697" t="inlineStr">
        <is>
          <t>housewares</t>
        </is>
      </c>
      <c r="F3697" t="n">
        <v>1</v>
      </c>
      <c r="G3697" t="n">
        <v>129</v>
      </c>
      <c r="H3697" t="n">
        <v>26.98</v>
      </c>
      <c r="I3697" t="inlineStr">
        <is>
          <t>boleto</t>
        </is>
      </c>
      <c r="J3697" t="n">
        <v>33</v>
      </c>
      <c r="K3697" t="inlineStr">
        <is>
          <t>On Time</t>
        </is>
      </c>
      <c r="L3697" t="n">
        <v>5</v>
      </c>
      <c r="M3697">
        <f>VLOOKUP(D3697,State_Lookup!$A$2:$B$28,2,FALSE)</f>
        <v/>
      </c>
    </row>
    <row r="3698">
      <c r="A3698" t="inlineStr">
        <is>
          <t>50dbfd3a91c2fde907830cb668a721f2</t>
        </is>
      </c>
      <c r="B3698" t="inlineStr">
        <is>
          <t>2018-04-27</t>
        </is>
      </c>
      <c r="C3698" t="inlineStr">
        <is>
          <t>2018-04</t>
        </is>
      </c>
      <c r="D3698" t="inlineStr">
        <is>
          <t>MA</t>
        </is>
      </c>
      <c r="E3698" t="inlineStr">
        <is>
          <t>bed_bath_table</t>
        </is>
      </c>
      <c r="F3698" t="n">
        <v>1</v>
      </c>
      <c r="G3698" t="n">
        <v>165.9</v>
      </c>
      <c r="H3698" t="n">
        <v>27.71</v>
      </c>
      <c r="I3698" t="inlineStr">
        <is>
          <t>credit_card</t>
        </is>
      </c>
      <c r="J3698" t="n">
        <v>14</v>
      </c>
      <c r="K3698" t="inlineStr">
        <is>
          <t>On Time</t>
        </is>
      </c>
      <c r="L3698" t="n">
        <v>5</v>
      </c>
      <c r="M3698">
        <f>VLOOKUP(D3698,State_Lookup!$A$2:$B$28,2,FALSE)</f>
        <v/>
      </c>
    </row>
    <row r="3699">
      <c r="A3699" t="inlineStr">
        <is>
          <t>6189844031702fdf168d8194d504bc0b</t>
        </is>
      </c>
      <c r="B3699" t="inlineStr">
        <is>
          <t>2018-04-27</t>
        </is>
      </c>
      <c r="C3699" t="inlineStr">
        <is>
          <t>2018-04</t>
        </is>
      </c>
      <c r="D3699" t="inlineStr">
        <is>
          <t>MG</t>
        </is>
      </c>
      <c r="E3699" t="inlineStr">
        <is>
          <t>telephony</t>
        </is>
      </c>
      <c r="F3699" t="n">
        <v>1</v>
      </c>
      <c r="G3699" t="n">
        <v>19.99</v>
      </c>
      <c r="H3699" t="n">
        <v>18.23</v>
      </c>
      <c r="I3699" t="inlineStr">
        <is>
          <t>credit_card</t>
        </is>
      </c>
      <c r="J3699" t="n">
        <v>7</v>
      </c>
      <c r="K3699" t="inlineStr">
        <is>
          <t>On Time</t>
        </is>
      </c>
      <c r="L3699" t="n">
        <v>5</v>
      </c>
      <c r="M3699">
        <f>VLOOKUP(D3699,State_Lookup!$A$2:$B$28,2,FALSE)</f>
        <v/>
      </c>
    </row>
    <row r="3700">
      <c r="A3700" t="inlineStr">
        <is>
          <t>d9d6038fc6b49e88d43af0a6d43f0846</t>
        </is>
      </c>
      <c r="B3700" t="inlineStr">
        <is>
          <t>2018-04-27</t>
        </is>
      </c>
      <c r="C3700" t="inlineStr">
        <is>
          <t>2018-04</t>
        </is>
      </c>
      <c r="D3700" t="inlineStr">
        <is>
          <t>SP</t>
        </is>
      </c>
      <c r="E3700" t="inlineStr">
        <is>
          <t>health_beauty</t>
        </is>
      </c>
      <c r="F3700" t="n">
        <v>1</v>
      </c>
      <c r="G3700" t="n">
        <v>262.39</v>
      </c>
      <c r="H3700" t="n">
        <v>12.46</v>
      </c>
      <c r="I3700" t="inlineStr">
        <is>
          <t>credit_card</t>
        </is>
      </c>
      <c r="J3700" t="n">
        <v>4</v>
      </c>
      <c r="K3700" t="inlineStr">
        <is>
          <t>On Time</t>
        </is>
      </c>
      <c r="L3700" t="n">
        <v>5</v>
      </c>
      <c r="M3700">
        <f>VLOOKUP(D3700,State_Lookup!$A$2:$B$28,2,FALSE)</f>
        <v/>
      </c>
    </row>
    <row r="3701">
      <c r="A3701" t="inlineStr">
        <is>
          <t>9e6928e55ec6948338048d72ebdf2305</t>
        </is>
      </c>
      <c r="B3701" t="inlineStr">
        <is>
          <t>2018-04-27</t>
        </is>
      </c>
      <c r="C3701" t="inlineStr">
        <is>
          <t>2018-04</t>
        </is>
      </c>
      <c r="D3701" t="inlineStr">
        <is>
          <t>SP</t>
        </is>
      </c>
      <c r="E3701" t="inlineStr">
        <is>
          <t>housewares</t>
        </is>
      </c>
      <c r="F3701" t="n">
        <v>1</v>
      </c>
      <c r="G3701" t="n">
        <v>129.97</v>
      </c>
      <c r="H3701" t="n">
        <v>29.17</v>
      </c>
      <c r="I3701" t="inlineStr">
        <is>
          <t>credit_card</t>
        </is>
      </c>
      <c r="J3701" t="n">
        <v>10</v>
      </c>
      <c r="K3701" t="inlineStr">
        <is>
          <t>On Time</t>
        </is>
      </c>
      <c r="L3701" t="n">
        <v>5</v>
      </c>
      <c r="M3701">
        <f>VLOOKUP(D3701,State_Lookup!$A$2:$B$28,2,FALSE)</f>
        <v/>
      </c>
    </row>
    <row r="3702">
      <c r="A3702" t="inlineStr">
        <is>
          <t>5fcff0359223b0a176d984d231217b7f</t>
        </is>
      </c>
      <c r="B3702" t="inlineStr">
        <is>
          <t>2018-04-27</t>
        </is>
      </c>
      <c r="C3702" t="inlineStr">
        <is>
          <t>2018-04</t>
        </is>
      </c>
      <c r="D3702" t="inlineStr">
        <is>
          <t>GO</t>
        </is>
      </c>
      <c r="E3702" t="inlineStr">
        <is>
          <t>watches_gifts</t>
        </is>
      </c>
      <c r="F3702" t="n">
        <v>1</v>
      </c>
      <c r="G3702" t="n">
        <v>95</v>
      </c>
      <c r="H3702" t="n">
        <v>15.55</v>
      </c>
      <c r="I3702" t="inlineStr">
        <is>
          <t>credit_card</t>
        </is>
      </c>
      <c r="J3702" t="n">
        <v>18</v>
      </c>
      <c r="K3702" t="inlineStr">
        <is>
          <t>On Time</t>
        </is>
      </c>
      <c r="L3702" t="n">
        <v>5</v>
      </c>
      <c r="M3702">
        <f>VLOOKUP(D3702,State_Lookup!$A$2:$B$28,2,FALSE)</f>
        <v/>
      </c>
    </row>
    <row r="3703">
      <c r="A3703" t="inlineStr">
        <is>
          <t>dda7cf31684a98205550865020745d09</t>
        </is>
      </c>
      <c r="B3703" t="inlineStr">
        <is>
          <t>2018-04-27</t>
        </is>
      </c>
      <c r="C3703" t="inlineStr">
        <is>
          <t>2018-04</t>
        </is>
      </c>
      <c r="D3703" t="inlineStr">
        <is>
          <t>RJ</t>
        </is>
      </c>
      <c r="E3703" t="inlineStr">
        <is>
          <t>home_construction</t>
        </is>
      </c>
      <c r="F3703" t="n">
        <v>1</v>
      </c>
      <c r="G3703" t="n">
        <v>36.5</v>
      </c>
      <c r="H3703" t="n">
        <v>15.23</v>
      </c>
      <c r="I3703" t="inlineStr">
        <is>
          <t>credit_card</t>
        </is>
      </c>
      <c r="J3703" t="n">
        <v>24</v>
      </c>
      <c r="K3703" t="inlineStr">
        <is>
          <t>On Time</t>
        </is>
      </c>
      <c r="L3703" t="n">
        <v>3</v>
      </c>
      <c r="M3703">
        <f>VLOOKUP(D3703,State_Lookup!$A$2:$B$28,2,FALSE)</f>
        <v/>
      </c>
    </row>
    <row r="3704">
      <c r="A3704" t="inlineStr">
        <is>
          <t>5a911c89527605e73569727488b5468d</t>
        </is>
      </c>
      <c r="B3704" t="inlineStr">
        <is>
          <t>2018-04-28</t>
        </is>
      </c>
      <c r="C3704" t="inlineStr">
        <is>
          <t>2018-04</t>
        </is>
      </c>
      <c r="D3704" t="inlineStr">
        <is>
          <t>RJ</t>
        </is>
      </c>
      <c r="E3704" t="inlineStr">
        <is>
          <t>electronics</t>
        </is>
      </c>
      <c r="F3704" t="n">
        <v>1</v>
      </c>
      <c r="G3704" t="n">
        <v>103.9</v>
      </c>
      <c r="H3704" t="n">
        <v>16.32</v>
      </c>
      <c r="I3704" t="inlineStr">
        <is>
          <t>credit_card</t>
        </is>
      </c>
      <c r="J3704" t="n">
        <v>16</v>
      </c>
      <c r="K3704" t="inlineStr">
        <is>
          <t>On Time</t>
        </is>
      </c>
      <c r="L3704" t="n">
        <v>5</v>
      </c>
      <c r="M3704">
        <f>VLOOKUP(D3704,State_Lookup!$A$2:$B$28,2,FALSE)</f>
        <v/>
      </c>
    </row>
    <row r="3705">
      <c r="A3705" t="inlineStr">
        <is>
          <t>6bcce39be127575854779e39a50f2059</t>
        </is>
      </c>
      <c r="B3705" t="inlineStr">
        <is>
          <t>2018-04-28</t>
        </is>
      </c>
      <c r="C3705" t="inlineStr">
        <is>
          <t>2018-04</t>
        </is>
      </c>
      <c r="D3705" t="inlineStr">
        <is>
          <t>SP</t>
        </is>
      </c>
      <c r="E3705" t="inlineStr">
        <is>
          <t>diapers_and_hygiene</t>
        </is>
      </c>
      <c r="F3705" t="n">
        <v>1</v>
      </c>
      <c r="G3705" t="n">
        <v>45</v>
      </c>
      <c r="H3705" t="n">
        <v>11.15</v>
      </c>
      <c r="I3705" t="inlineStr">
        <is>
          <t>boleto</t>
        </is>
      </c>
      <c r="J3705" t="n">
        <v>9</v>
      </c>
      <c r="K3705" t="inlineStr">
        <is>
          <t>On Time</t>
        </is>
      </c>
      <c r="L3705" t="n">
        <v>5</v>
      </c>
      <c r="M3705">
        <f>VLOOKUP(D3705,State_Lookup!$A$2:$B$28,2,FALSE)</f>
        <v/>
      </c>
    </row>
    <row r="3706">
      <c r="A3706" t="inlineStr">
        <is>
          <t>f9e86e23af5d5243b44d1eebaacc32be</t>
        </is>
      </c>
      <c r="B3706" t="inlineStr">
        <is>
          <t>2018-04-28</t>
        </is>
      </c>
      <c r="C3706" t="inlineStr">
        <is>
          <t>2018-04</t>
        </is>
      </c>
      <c r="D3706" t="inlineStr">
        <is>
          <t>SP</t>
        </is>
      </c>
      <c r="E3706" t="inlineStr">
        <is>
          <t>art</t>
        </is>
      </c>
      <c r="F3706" t="n">
        <v>1</v>
      </c>
      <c r="G3706" t="n">
        <v>99.98999999999999</v>
      </c>
      <c r="H3706" t="n">
        <v>12.03</v>
      </c>
      <c r="I3706" t="inlineStr">
        <is>
          <t>boleto</t>
        </is>
      </c>
      <c r="J3706" t="n">
        <v>6</v>
      </c>
      <c r="K3706" t="inlineStr">
        <is>
          <t>On Time</t>
        </is>
      </c>
      <c r="L3706" t="n">
        <v>5</v>
      </c>
      <c r="M3706">
        <f>VLOOKUP(D3706,State_Lookup!$A$2:$B$28,2,FALSE)</f>
        <v/>
      </c>
    </row>
    <row r="3707">
      <c r="A3707" t="inlineStr">
        <is>
          <t>5849288b1fecd09bf57fcb568162b365</t>
        </is>
      </c>
      <c r="B3707" t="inlineStr">
        <is>
          <t>2018-04-28</t>
        </is>
      </c>
      <c r="C3707" t="inlineStr">
        <is>
          <t>2018-04</t>
        </is>
      </c>
      <c r="D3707" t="inlineStr">
        <is>
          <t>PR</t>
        </is>
      </c>
      <c r="E3707" t="inlineStr">
        <is>
          <t>garden_tools</t>
        </is>
      </c>
      <c r="F3707" t="n">
        <v>1</v>
      </c>
      <c r="G3707" t="n">
        <v>179</v>
      </c>
      <c r="H3707" t="n">
        <v>22.75</v>
      </c>
      <c r="I3707" t="inlineStr">
        <is>
          <t>credit_card</t>
        </is>
      </c>
      <c r="J3707" t="n">
        <v>10</v>
      </c>
      <c r="K3707" t="inlineStr">
        <is>
          <t>On Time</t>
        </is>
      </c>
      <c r="L3707" t="n">
        <v>5</v>
      </c>
      <c r="M3707">
        <f>VLOOKUP(D3707,State_Lookup!$A$2:$B$28,2,FALSE)</f>
        <v/>
      </c>
    </row>
    <row r="3708">
      <c r="A3708" t="inlineStr">
        <is>
          <t>fc1d4a8adb62b480c591455600955b2f</t>
        </is>
      </c>
      <c r="B3708" t="inlineStr">
        <is>
          <t>2018-04-28</t>
        </is>
      </c>
      <c r="C3708" t="inlineStr">
        <is>
          <t>2018-04</t>
        </is>
      </c>
      <c r="D3708" t="inlineStr">
        <is>
          <t>RS</t>
        </is>
      </c>
      <c r="E3708" t="inlineStr">
        <is>
          <t>housewares</t>
        </is>
      </c>
      <c r="F3708" t="n">
        <v>1</v>
      </c>
      <c r="G3708" t="n">
        <v>63.72</v>
      </c>
      <c r="H3708" t="n">
        <v>26.53</v>
      </c>
      <c r="I3708" t="inlineStr">
        <is>
          <t>credit_card</t>
        </is>
      </c>
      <c r="J3708" t="n">
        <v>6</v>
      </c>
      <c r="K3708" t="inlineStr">
        <is>
          <t>On Time</t>
        </is>
      </c>
      <c r="L3708" t="n">
        <v>5</v>
      </c>
      <c r="M3708">
        <f>VLOOKUP(D3708,State_Lookup!$A$2:$B$28,2,FALSE)</f>
        <v/>
      </c>
    </row>
    <row r="3709">
      <c r="A3709" t="inlineStr">
        <is>
          <t>3637b54ea3991c5c9471dd8c9e77ab7f</t>
        </is>
      </c>
      <c r="B3709" t="inlineStr">
        <is>
          <t>2018-04-28</t>
        </is>
      </c>
      <c r="C3709" t="inlineStr">
        <is>
          <t>2018-04</t>
        </is>
      </c>
      <c r="D3709" t="inlineStr">
        <is>
          <t>SP</t>
        </is>
      </c>
      <c r="E3709" t="inlineStr">
        <is>
          <t>bed_bath_table</t>
        </is>
      </c>
      <c r="F3709" t="n">
        <v>1</v>
      </c>
      <c r="G3709" t="n">
        <v>19.9</v>
      </c>
      <c r="H3709" t="n">
        <v>12.79</v>
      </c>
      <c r="I3709" t="inlineStr">
        <is>
          <t>credit_card</t>
        </is>
      </c>
      <c r="J3709" t="n">
        <v>6</v>
      </c>
      <c r="K3709" t="inlineStr">
        <is>
          <t>On Time</t>
        </is>
      </c>
      <c r="L3709" t="n">
        <v>1</v>
      </c>
      <c r="M3709">
        <f>VLOOKUP(D3709,State_Lookup!$A$2:$B$28,2,FALSE)</f>
        <v/>
      </c>
    </row>
    <row r="3710">
      <c r="A3710" t="inlineStr">
        <is>
          <t>4b007a72f108b589a20227ab419705c9</t>
        </is>
      </c>
      <c r="B3710" t="inlineStr">
        <is>
          <t>2018-04-29</t>
        </is>
      </c>
      <c r="C3710" t="inlineStr">
        <is>
          <t>2018-04</t>
        </is>
      </c>
      <c r="D3710" t="inlineStr">
        <is>
          <t>SP</t>
        </is>
      </c>
      <c r="E3710" t="inlineStr">
        <is>
          <t>housewares</t>
        </is>
      </c>
      <c r="F3710" t="n">
        <v>1</v>
      </c>
      <c r="G3710" t="n">
        <v>28.99</v>
      </c>
      <c r="H3710" t="n">
        <v>7.39</v>
      </c>
      <c r="I3710" t="inlineStr">
        <is>
          <t>boleto</t>
        </is>
      </c>
      <c r="J3710" t="n">
        <v>4</v>
      </c>
      <c r="K3710" t="inlineStr">
        <is>
          <t>On Time</t>
        </is>
      </c>
      <c r="L3710" t="n">
        <v>4</v>
      </c>
      <c r="M3710">
        <f>VLOOKUP(D3710,State_Lookup!$A$2:$B$28,2,FALSE)</f>
        <v/>
      </c>
    </row>
    <row r="3711">
      <c r="A3711" t="inlineStr">
        <is>
          <t>c98ec8cb960d61c4375413b70f225104</t>
        </is>
      </c>
      <c r="B3711" t="inlineStr">
        <is>
          <t>2018-04-29</t>
        </is>
      </c>
      <c r="C3711" t="inlineStr">
        <is>
          <t>2018-04</t>
        </is>
      </c>
      <c r="D3711" t="inlineStr">
        <is>
          <t>RJ</t>
        </is>
      </c>
      <c r="E3711" t="inlineStr">
        <is>
          <t>bed_bath_table</t>
        </is>
      </c>
      <c r="F3711" t="n">
        <v>3</v>
      </c>
      <c r="G3711" t="n">
        <v>163.98</v>
      </c>
      <c r="H3711" t="n">
        <v>67.72</v>
      </c>
      <c r="I3711" t="inlineStr">
        <is>
          <t>credit_card</t>
        </is>
      </c>
      <c r="J3711" t="n">
        <v>12</v>
      </c>
      <c r="K3711" t="inlineStr">
        <is>
          <t>On Time</t>
        </is>
      </c>
      <c r="L3711" t="n">
        <v>1</v>
      </c>
      <c r="M3711">
        <f>VLOOKUP(D3711,State_Lookup!$A$2:$B$28,2,FALSE)</f>
        <v/>
      </c>
    </row>
    <row r="3712">
      <c r="A3712" t="inlineStr">
        <is>
          <t>df65475c6013cd0563e8c2fd9245c378</t>
        </is>
      </c>
      <c r="B3712" t="inlineStr">
        <is>
          <t>2018-04-29</t>
        </is>
      </c>
      <c r="C3712" t="inlineStr">
        <is>
          <t>2018-04</t>
        </is>
      </c>
      <c r="D3712" t="inlineStr">
        <is>
          <t>RS</t>
        </is>
      </c>
      <c r="E3712" t="inlineStr">
        <is>
          <t>perfumery</t>
        </is>
      </c>
      <c r="F3712" t="n">
        <v>1</v>
      </c>
      <c r="G3712" t="n">
        <v>385</v>
      </c>
      <c r="H3712" t="n">
        <v>18.66</v>
      </c>
      <c r="I3712" t="inlineStr">
        <is>
          <t>credit_card</t>
        </is>
      </c>
      <c r="J3712" t="n">
        <v>10</v>
      </c>
      <c r="K3712" t="inlineStr">
        <is>
          <t>On Time</t>
        </is>
      </c>
      <c r="L3712" t="n">
        <v>3</v>
      </c>
      <c r="M3712">
        <f>VLOOKUP(D3712,State_Lookup!$A$2:$B$28,2,FALSE)</f>
        <v/>
      </c>
    </row>
    <row r="3713">
      <c r="A3713" t="inlineStr">
        <is>
          <t>a769c6d90738b1546865c01148fad5cb</t>
        </is>
      </c>
      <c r="B3713" t="inlineStr">
        <is>
          <t>2018-04-29</t>
        </is>
      </c>
      <c r="C3713" t="inlineStr">
        <is>
          <t>2018-04</t>
        </is>
      </c>
      <c r="D3713" t="inlineStr">
        <is>
          <t>ES</t>
        </is>
      </c>
      <c r="E3713" t="inlineStr">
        <is>
          <t>health_beauty</t>
        </is>
      </c>
      <c r="F3713" t="n">
        <v>1</v>
      </c>
      <c r="G3713" t="n">
        <v>110.32</v>
      </c>
      <c r="H3713" t="n">
        <v>15.65</v>
      </c>
      <c r="I3713" t="inlineStr">
        <is>
          <t>credit_card</t>
        </is>
      </c>
      <c r="J3713" t="n">
        <v>12</v>
      </c>
      <c r="K3713" t="inlineStr">
        <is>
          <t>On Time</t>
        </is>
      </c>
      <c r="L3713" t="n">
        <v>4</v>
      </c>
      <c r="M3713">
        <f>VLOOKUP(D3713,State_Lookup!$A$2:$B$28,2,FALSE)</f>
        <v/>
      </c>
    </row>
    <row r="3714">
      <c r="A3714" t="inlineStr">
        <is>
          <t>15c1a0aa2e32bd15bfe9302af6280f97</t>
        </is>
      </c>
      <c r="B3714" t="inlineStr">
        <is>
          <t>2018-04-29</t>
        </is>
      </c>
      <c r="C3714" t="inlineStr">
        <is>
          <t>2018-04</t>
        </is>
      </c>
      <c r="D3714" t="inlineStr">
        <is>
          <t>RS</t>
        </is>
      </c>
      <c r="E3714" t="inlineStr">
        <is>
          <t>dvds_blu_ray</t>
        </is>
      </c>
      <c r="F3714" t="n">
        <v>1</v>
      </c>
      <c r="G3714" t="n">
        <v>8.9</v>
      </c>
      <c r="H3714" t="n">
        <v>15.23</v>
      </c>
      <c r="I3714" t="inlineStr">
        <is>
          <t>credit_card</t>
        </is>
      </c>
      <c r="J3714" t="n">
        <v>9</v>
      </c>
      <c r="K3714" t="inlineStr">
        <is>
          <t>On Time</t>
        </is>
      </c>
      <c r="L3714" t="n">
        <v>5</v>
      </c>
      <c r="M3714">
        <f>VLOOKUP(D3714,State_Lookup!$A$2:$B$28,2,FALSE)</f>
        <v/>
      </c>
    </row>
    <row r="3715">
      <c r="A3715" t="inlineStr">
        <is>
          <t>08e83756399f8394bef75d0441b17b57</t>
        </is>
      </c>
      <c r="B3715" t="inlineStr">
        <is>
          <t>2018-04-29</t>
        </is>
      </c>
      <c r="C3715" t="inlineStr">
        <is>
          <t>2018-04</t>
        </is>
      </c>
      <c r="D3715" t="inlineStr">
        <is>
          <t>PA</t>
        </is>
      </c>
      <c r="E3715" t="inlineStr">
        <is>
          <t>cool_stuff</t>
        </is>
      </c>
      <c r="F3715" t="n">
        <v>1</v>
      </c>
      <c r="G3715" t="n">
        <v>269.9</v>
      </c>
      <c r="H3715" t="n">
        <v>48.33</v>
      </c>
      <c r="I3715" t="inlineStr">
        <is>
          <t>boleto</t>
        </is>
      </c>
      <c r="J3715" t="n">
        <v>44</v>
      </c>
      <c r="K3715" t="inlineStr">
        <is>
          <t>Late</t>
        </is>
      </c>
      <c r="L3715" t="n">
        <v>1</v>
      </c>
      <c r="M3715">
        <f>VLOOKUP(D3715,State_Lookup!$A$2:$B$28,2,FALSE)</f>
        <v/>
      </c>
    </row>
    <row r="3716">
      <c r="A3716" t="inlineStr">
        <is>
          <t>360e4c361e56f19fc4093559b59b4bfd</t>
        </is>
      </c>
      <c r="B3716" t="inlineStr">
        <is>
          <t>2018-04-30</t>
        </is>
      </c>
      <c r="C3716" t="inlineStr">
        <is>
          <t>2018-04</t>
        </is>
      </c>
      <c r="D3716" t="inlineStr">
        <is>
          <t>SP</t>
        </is>
      </c>
      <c r="E3716" t="inlineStr">
        <is>
          <t>toys</t>
        </is>
      </c>
      <c r="F3716" t="n">
        <v>1</v>
      </c>
      <c r="G3716" t="n">
        <v>79.90000000000001</v>
      </c>
      <c r="H3716" t="n">
        <v>13.92</v>
      </c>
      <c r="I3716" t="inlineStr">
        <is>
          <t>credit_card</t>
        </is>
      </c>
      <c r="J3716" t="n">
        <v>3</v>
      </c>
      <c r="K3716" t="inlineStr">
        <is>
          <t>On Time</t>
        </is>
      </c>
      <c r="L3716" t="n">
        <v>5</v>
      </c>
      <c r="M3716">
        <f>VLOOKUP(D3716,State_Lookup!$A$2:$B$28,2,FALSE)</f>
        <v/>
      </c>
    </row>
    <row r="3717">
      <c r="A3717" t="inlineStr">
        <is>
          <t>b80fc187408e5b39dc58457b7db2b4b1</t>
        </is>
      </c>
      <c r="B3717" t="inlineStr">
        <is>
          <t>2018-04-30</t>
        </is>
      </c>
      <c r="C3717" t="inlineStr">
        <is>
          <t>2018-04</t>
        </is>
      </c>
      <c r="D3717" t="inlineStr">
        <is>
          <t>SP</t>
        </is>
      </c>
      <c r="E3717" t="inlineStr">
        <is>
          <t>housewares</t>
        </is>
      </c>
      <c r="F3717" t="n">
        <v>2</v>
      </c>
      <c r="G3717" t="n">
        <v>116</v>
      </c>
      <c r="H3717" t="n">
        <v>25.7</v>
      </c>
      <c r="I3717" t="inlineStr">
        <is>
          <t>credit_card</t>
        </is>
      </c>
      <c r="J3717" t="n">
        <v>4</v>
      </c>
      <c r="K3717" t="inlineStr">
        <is>
          <t>On Time</t>
        </is>
      </c>
      <c r="L3717" t="n">
        <v>4</v>
      </c>
      <c r="M3717">
        <f>VLOOKUP(D3717,State_Lookup!$A$2:$B$28,2,FALSE)</f>
        <v/>
      </c>
    </row>
    <row r="3718">
      <c r="A3718" t="inlineStr">
        <is>
          <t>01f67ca8027e959060afd840aa06f465</t>
        </is>
      </c>
      <c r="B3718" t="inlineStr">
        <is>
          <t>2018-04-30</t>
        </is>
      </c>
      <c r="C3718" t="inlineStr">
        <is>
          <t>2018-04</t>
        </is>
      </c>
      <c r="D3718" t="inlineStr">
        <is>
          <t>CE</t>
        </is>
      </c>
      <c r="E3718" t="inlineStr">
        <is>
          <t>health_beauty</t>
        </is>
      </c>
      <c r="F3718" t="n">
        <v>1</v>
      </c>
      <c r="G3718" t="n">
        <v>330</v>
      </c>
      <c r="H3718" t="n">
        <v>14.7</v>
      </c>
      <c r="I3718" t="inlineStr">
        <is>
          <t>credit_card</t>
        </is>
      </c>
      <c r="J3718" t="n">
        <v>65</v>
      </c>
      <c r="K3718" t="inlineStr">
        <is>
          <t>Late</t>
        </is>
      </c>
      <c r="L3718" t="n">
        <v>1</v>
      </c>
      <c r="M3718">
        <f>VLOOKUP(D3718,State_Lookup!$A$2:$B$28,2,FALSE)</f>
        <v/>
      </c>
    </row>
    <row r="3719">
      <c r="A3719" t="inlineStr">
        <is>
          <t>2db6929b692b91f237289729903d37cc</t>
        </is>
      </c>
      <c r="B3719" t="inlineStr">
        <is>
          <t>2018-04-30</t>
        </is>
      </c>
      <c r="C3719" t="inlineStr">
        <is>
          <t>2018-04</t>
        </is>
      </c>
      <c r="D3719" t="inlineStr">
        <is>
          <t>SP</t>
        </is>
      </c>
      <c r="E3719" t="inlineStr">
        <is>
          <t>industry_commerce_and_business</t>
        </is>
      </c>
      <c r="F3719" t="n">
        <v>1</v>
      </c>
      <c r="G3719" t="n">
        <v>150</v>
      </c>
      <c r="H3719" t="n">
        <v>25.7</v>
      </c>
      <c r="I3719" t="inlineStr">
        <is>
          <t>credit_card</t>
        </is>
      </c>
      <c r="J3719" t="n">
        <v>7</v>
      </c>
      <c r="K3719" t="inlineStr">
        <is>
          <t>On Time</t>
        </is>
      </c>
      <c r="L3719" t="n">
        <v>5</v>
      </c>
      <c r="M3719">
        <f>VLOOKUP(D3719,State_Lookup!$A$2:$B$28,2,FALSE)</f>
        <v/>
      </c>
    </row>
    <row r="3720">
      <c r="A3720" t="inlineStr">
        <is>
          <t>249e44947c66e3b0e46b3ba2f38d846d</t>
        </is>
      </c>
      <c r="B3720" t="inlineStr">
        <is>
          <t>2018-04-30</t>
        </is>
      </c>
      <c r="C3720" t="inlineStr">
        <is>
          <t>2018-04</t>
        </is>
      </c>
      <c r="D3720" t="inlineStr">
        <is>
          <t>ES</t>
        </is>
      </c>
      <c r="E3720" t="inlineStr">
        <is>
          <t>computers_accessories</t>
        </is>
      </c>
      <c r="F3720" t="n">
        <v>1</v>
      </c>
      <c r="G3720" t="n">
        <v>119</v>
      </c>
      <c r="H3720" t="n">
        <v>19.74</v>
      </c>
      <c r="I3720" t="inlineStr">
        <is>
          <t>credit_card</t>
        </is>
      </c>
      <c r="J3720" t="n">
        <v>9</v>
      </c>
      <c r="K3720" t="inlineStr">
        <is>
          <t>On Time</t>
        </is>
      </c>
      <c r="L3720" t="n">
        <v>5</v>
      </c>
      <c r="M3720">
        <f>VLOOKUP(D3720,State_Lookup!$A$2:$B$28,2,FALSE)</f>
        <v/>
      </c>
    </row>
    <row r="3721">
      <c r="A3721" t="inlineStr">
        <is>
          <t>96ddb284342cfe7ebbde748a2e2de094</t>
        </is>
      </c>
      <c r="B3721" t="inlineStr">
        <is>
          <t>2018-04-30</t>
        </is>
      </c>
      <c r="C3721" t="inlineStr">
        <is>
          <t>2018-04</t>
        </is>
      </c>
      <c r="D3721" t="inlineStr">
        <is>
          <t>SP</t>
        </is>
      </c>
      <c r="E3721" t="inlineStr">
        <is>
          <t>furniture_decor</t>
        </is>
      </c>
      <c r="F3721" t="n">
        <v>1</v>
      </c>
      <c r="G3721" t="n">
        <v>78</v>
      </c>
      <c r="H3721" t="n">
        <v>14.64</v>
      </c>
      <c r="I3721" t="inlineStr">
        <is>
          <t>credit_card</t>
        </is>
      </c>
      <c r="J3721" t="n">
        <v>10</v>
      </c>
      <c r="K3721" t="inlineStr">
        <is>
          <t>On Time</t>
        </is>
      </c>
      <c r="L3721" t="n">
        <v>1</v>
      </c>
      <c r="M3721">
        <f>VLOOKUP(D3721,State_Lookup!$A$2:$B$28,2,FALSE)</f>
        <v/>
      </c>
    </row>
    <row r="3722">
      <c r="A3722" t="inlineStr">
        <is>
          <t>b06373098fedad1545401c91bf3af711</t>
        </is>
      </c>
      <c r="B3722" t="inlineStr">
        <is>
          <t>2018-04-30</t>
        </is>
      </c>
      <c r="C3722" t="inlineStr">
        <is>
          <t>2018-04</t>
        </is>
      </c>
      <c r="D3722" t="inlineStr">
        <is>
          <t>SP</t>
        </is>
      </c>
      <c r="E3722" t="inlineStr">
        <is>
          <t>baby</t>
        </is>
      </c>
      <c r="F3722" t="n">
        <v>1</v>
      </c>
      <c r="G3722" t="n">
        <v>35.9</v>
      </c>
      <c r="H3722" t="n">
        <v>8.880000000000001</v>
      </c>
      <c r="I3722" t="inlineStr">
        <is>
          <t>credit_card</t>
        </is>
      </c>
      <c r="J3722" t="n">
        <v>9</v>
      </c>
      <c r="K3722" t="inlineStr">
        <is>
          <t>On Time</t>
        </is>
      </c>
      <c r="L3722" t="n">
        <v>5</v>
      </c>
      <c r="M3722">
        <f>VLOOKUP(D3722,State_Lookup!$A$2:$B$28,2,FALSE)</f>
        <v/>
      </c>
    </row>
    <row r="3723">
      <c r="A3723" t="inlineStr">
        <is>
          <t>142ac5357e541e5881d26fc5eb5f3754</t>
        </is>
      </c>
      <c r="B3723" t="inlineStr">
        <is>
          <t>2018-04-30</t>
        </is>
      </c>
      <c r="C3723" t="inlineStr">
        <is>
          <t>2018-04</t>
        </is>
      </c>
      <c r="D3723" t="inlineStr">
        <is>
          <t>SP</t>
        </is>
      </c>
      <c r="E3723" t="inlineStr">
        <is>
          <t>housewares</t>
        </is>
      </c>
      <c r="F3723" t="n">
        <v>1</v>
      </c>
      <c r="G3723" t="n">
        <v>279.99</v>
      </c>
      <c r="H3723" t="n">
        <v>31.82</v>
      </c>
      <c r="I3723" t="inlineStr">
        <is>
          <t>credit_card</t>
        </is>
      </c>
      <c r="J3723" t="n">
        <v>8</v>
      </c>
      <c r="K3723" t="inlineStr">
        <is>
          <t>On Time</t>
        </is>
      </c>
      <c r="L3723" t="n">
        <v>3</v>
      </c>
      <c r="M3723">
        <f>VLOOKUP(D3723,State_Lookup!$A$2:$B$28,2,FALSE)</f>
        <v/>
      </c>
    </row>
    <row r="3724">
      <c r="A3724" t="inlineStr">
        <is>
          <t>effeb0c3ecae530d0470721524db864f</t>
        </is>
      </c>
      <c r="B3724" t="inlineStr">
        <is>
          <t>2018-04-30</t>
        </is>
      </c>
      <c r="C3724" t="inlineStr">
        <is>
          <t>2018-04</t>
        </is>
      </c>
      <c r="D3724" t="inlineStr">
        <is>
          <t>SC</t>
        </is>
      </c>
      <c r="E3724" t="inlineStr">
        <is>
          <t>garden_tools</t>
        </is>
      </c>
      <c r="F3724" t="n">
        <v>1</v>
      </c>
      <c r="G3724" t="n">
        <v>379</v>
      </c>
      <c r="H3724" t="n">
        <v>17.66</v>
      </c>
      <c r="I3724" t="inlineStr">
        <is>
          <t>credit_card</t>
        </is>
      </c>
      <c r="J3724" t="n">
        <v>3</v>
      </c>
      <c r="K3724" t="inlineStr">
        <is>
          <t>On Time</t>
        </is>
      </c>
      <c r="L3724" t="n">
        <v>5</v>
      </c>
      <c r="M3724">
        <f>VLOOKUP(D3724,State_Lookup!$A$2:$B$28,2,FALSE)</f>
        <v/>
      </c>
    </row>
    <row r="3725">
      <c r="A3725" t="inlineStr">
        <is>
          <t>5e24ecfdf90a8dfceb3cd8ed37db5c26</t>
        </is>
      </c>
      <c r="B3725" t="inlineStr">
        <is>
          <t>2018-04-30</t>
        </is>
      </c>
      <c r="C3725" t="inlineStr">
        <is>
          <t>2018-04</t>
        </is>
      </c>
      <c r="D3725" t="inlineStr">
        <is>
          <t>RS</t>
        </is>
      </c>
      <c r="E3725" t="inlineStr">
        <is>
          <t>furniture_decor</t>
        </is>
      </c>
      <c r="F3725" t="n">
        <v>1</v>
      </c>
      <c r="G3725" t="n">
        <v>39.98</v>
      </c>
      <c r="H3725" t="n">
        <v>19.32</v>
      </c>
      <c r="I3725" t="inlineStr">
        <is>
          <t>credit_card</t>
        </is>
      </c>
      <c r="J3725" t="n">
        <v>10</v>
      </c>
      <c r="K3725" t="inlineStr">
        <is>
          <t>On Time</t>
        </is>
      </c>
      <c r="L3725" t="n">
        <v>5</v>
      </c>
      <c r="M3725">
        <f>VLOOKUP(D3725,State_Lookup!$A$2:$B$28,2,FALSE)</f>
        <v/>
      </c>
    </row>
    <row r="3726">
      <c r="A3726" t="inlineStr">
        <is>
          <t>f8f13f6d3692fb485fc728d915cb26d1</t>
        </is>
      </c>
      <c r="B3726" t="inlineStr">
        <is>
          <t>2018-04-30</t>
        </is>
      </c>
      <c r="C3726" t="inlineStr">
        <is>
          <t>2018-04</t>
        </is>
      </c>
      <c r="D3726" t="inlineStr">
        <is>
          <t>RJ</t>
        </is>
      </c>
      <c r="E3726" t="inlineStr">
        <is>
          <t>construction_tools_lights</t>
        </is>
      </c>
      <c r="F3726" t="n">
        <v>1</v>
      </c>
      <c r="G3726" t="n">
        <v>74.90000000000001</v>
      </c>
      <c r="H3726" t="n">
        <v>16.49</v>
      </c>
      <c r="I3726" t="inlineStr">
        <is>
          <t>credit_card</t>
        </is>
      </c>
      <c r="J3726" t="n">
        <v>10</v>
      </c>
      <c r="K3726" t="inlineStr">
        <is>
          <t>On Time</t>
        </is>
      </c>
      <c r="L3726" t="n">
        <v>3</v>
      </c>
      <c r="M3726">
        <f>VLOOKUP(D3726,State_Lookup!$A$2:$B$28,2,FALSE)</f>
        <v/>
      </c>
    </row>
    <row r="3727">
      <c r="A3727" t="inlineStr">
        <is>
          <t>da730a4d617d48b8e8d136ef1f86915d</t>
        </is>
      </c>
      <c r="B3727" t="inlineStr">
        <is>
          <t>2018-04-30</t>
        </is>
      </c>
      <c r="C3727" t="inlineStr">
        <is>
          <t>2018-04</t>
        </is>
      </c>
      <c r="D3727" t="inlineStr">
        <is>
          <t>SP</t>
        </is>
      </c>
      <c r="E3727" t="inlineStr">
        <is>
          <t>bed_bath_table</t>
        </is>
      </c>
      <c r="F3727" t="n">
        <v>1</v>
      </c>
      <c r="G3727" t="n">
        <v>96</v>
      </c>
      <c r="H3727" t="n">
        <v>14.03</v>
      </c>
      <c r="I3727" t="inlineStr">
        <is>
          <t>credit_card</t>
        </is>
      </c>
      <c r="J3727" t="n">
        <v>9</v>
      </c>
      <c r="K3727" t="inlineStr">
        <is>
          <t>On Time</t>
        </is>
      </c>
      <c r="L3727" t="n">
        <v>5</v>
      </c>
      <c r="M3727">
        <f>VLOOKUP(D3727,State_Lookup!$A$2:$B$28,2,FALSE)</f>
        <v/>
      </c>
    </row>
    <row r="3728">
      <c r="A3728" t="inlineStr">
        <is>
          <t>69f7357c456d8072ad6671becb0f55a5</t>
        </is>
      </c>
      <c r="B3728" t="inlineStr">
        <is>
          <t>2018-04-30</t>
        </is>
      </c>
      <c r="C3728" t="inlineStr">
        <is>
          <t>2018-04</t>
        </is>
      </c>
      <c r="D3728" t="inlineStr">
        <is>
          <t>SP</t>
        </is>
      </c>
      <c r="E3728" t="inlineStr">
        <is>
          <t>stationery</t>
        </is>
      </c>
      <c r="F3728" t="n">
        <v>1</v>
      </c>
      <c r="G3728" t="n">
        <v>99</v>
      </c>
      <c r="H3728" t="n">
        <v>18.27</v>
      </c>
      <c r="I3728" t="inlineStr">
        <is>
          <t>credit_card</t>
        </is>
      </c>
      <c r="J3728" t="n">
        <v>17</v>
      </c>
      <c r="K3728" t="inlineStr">
        <is>
          <t>Late</t>
        </is>
      </c>
      <c r="L3728" t="n">
        <v>5</v>
      </c>
      <c r="M3728">
        <f>VLOOKUP(D3728,State_Lookup!$A$2:$B$28,2,FALSE)</f>
        <v/>
      </c>
    </row>
    <row r="3729">
      <c r="A3729" t="inlineStr">
        <is>
          <t>3493a5e1499df429a53453047b3b4365</t>
        </is>
      </c>
      <c r="B3729" t="inlineStr">
        <is>
          <t>2018-04-30</t>
        </is>
      </c>
      <c r="C3729" t="inlineStr">
        <is>
          <t>2018-04</t>
        </is>
      </c>
      <c r="D3729" t="inlineStr">
        <is>
          <t>MG</t>
        </is>
      </c>
      <c r="E3729" t="inlineStr">
        <is>
          <t>health_beauty</t>
        </is>
      </c>
      <c r="F3729" t="n">
        <v>2</v>
      </c>
      <c r="G3729" t="n">
        <v>84.36</v>
      </c>
      <c r="H3729" t="n">
        <v>37.62</v>
      </c>
      <c r="I3729" t="inlineStr">
        <is>
          <t>credit_card</t>
        </is>
      </c>
      <c r="J3729" t="n">
        <v>10</v>
      </c>
      <c r="K3729" t="inlineStr">
        <is>
          <t>On Time</t>
        </is>
      </c>
      <c r="L3729" t="n">
        <v>4</v>
      </c>
      <c r="M3729">
        <f>VLOOKUP(D3729,State_Lookup!$A$2:$B$28,2,FALSE)</f>
        <v/>
      </c>
    </row>
    <row r="3730">
      <c r="A3730" t="inlineStr">
        <is>
          <t>b6b9f5144b004ad3db40567cdce34811</t>
        </is>
      </c>
      <c r="B3730" t="inlineStr">
        <is>
          <t>2018-04-30</t>
        </is>
      </c>
      <c r="C3730" t="inlineStr">
        <is>
          <t>2018-04</t>
        </is>
      </c>
      <c r="D3730" t="inlineStr">
        <is>
          <t>MG</t>
        </is>
      </c>
      <c r="E3730" t="inlineStr">
        <is>
          <t>perfumery</t>
        </is>
      </c>
      <c r="F3730" t="n">
        <v>2</v>
      </c>
      <c r="G3730" t="n">
        <v>47.8</v>
      </c>
      <c r="H3730" t="n">
        <v>36.46</v>
      </c>
      <c r="I3730" t="inlineStr">
        <is>
          <t>boleto</t>
        </is>
      </c>
      <c r="J3730" t="n">
        <v>14</v>
      </c>
      <c r="K3730" t="inlineStr">
        <is>
          <t>On Time</t>
        </is>
      </c>
      <c r="L3730" t="n">
        <v>5</v>
      </c>
      <c r="M3730">
        <f>VLOOKUP(D3730,State_Lookup!$A$2:$B$28,2,FALSE)</f>
        <v/>
      </c>
    </row>
    <row r="3731">
      <c r="A3731" t="inlineStr">
        <is>
          <t>df4a5680a53eb14aa69c035b1c759413</t>
        </is>
      </c>
      <c r="B3731" t="inlineStr">
        <is>
          <t>2018-05-01</t>
        </is>
      </c>
      <c r="C3731" t="inlineStr">
        <is>
          <t>2018-05</t>
        </is>
      </c>
      <c r="D3731" t="inlineStr">
        <is>
          <t>SP</t>
        </is>
      </c>
      <c r="E3731" t="inlineStr">
        <is>
          <t>sports_leisure</t>
        </is>
      </c>
      <c r="F3731" t="n">
        <v>1</v>
      </c>
      <c r="G3731" t="n">
        <v>199.9</v>
      </c>
      <c r="H3731" t="n">
        <v>13.3</v>
      </c>
      <c r="I3731" t="inlineStr">
        <is>
          <t>boleto</t>
        </is>
      </c>
      <c r="J3731" t="n">
        <v>3</v>
      </c>
      <c r="K3731" t="inlineStr">
        <is>
          <t>On Time</t>
        </is>
      </c>
      <c r="L3731" t="n">
        <v>4</v>
      </c>
      <c r="M3731">
        <f>VLOOKUP(D3731,State_Lookup!$A$2:$B$28,2,FALSE)</f>
        <v/>
      </c>
    </row>
    <row r="3732">
      <c r="A3732" t="inlineStr">
        <is>
          <t>b1526359b93e19d491c0eaa5b2c053ec</t>
        </is>
      </c>
      <c r="B3732" t="inlineStr">
        <is>
          <t>2018-05-01</t>
        </is>
      </c>
      <c r="C3732" t="inlineStr">
        <is>
          <t>2018-05</t>
        </is>
      </c>
      <c r="D3732" t="inlineStr">
        <is>
          <t>RJ</t>
        </is>
      </c>
      <c r="E3732" t="inlineStr">
        <is>
          <t>bed_bath_table</t>
        </is>
      </c>
      <c r="F3732" t="n">
        <v>3</v>
      </c>
      <c r="G3732" t="n">
        <v>599.7</v>
      </c>
      <c r="H3732" t="n">
        <v>82.44</v>
      </c>
      <c r="I3732" t="inlineStr">
        <is>
          <t>credit_card</t>
        </is>
      </c>
      <c r="J3732" t="n">
        <v>23</v>
      </c>
      <c r="K3732" t="inlineStr">
        <is>
          <t>On Time</t>
        </is>
      </c>
      <c r="L3732" t="n">
        <v>5</v>
      </c>
      <c r="M3732">
        <f>VLOOKUP(D3732,State_Lookup!$A$2:$B$28,2,FALSE)</f>
        <v/>
      </c>
    </row>
    <row r="3733">
      <c r="A3733" t="inlineStr">
        <is>
          <t>3a6ce7cca096e50508a84d2fee462b66</t>
        </is>
      </c>
      <c r="B3733" t="inlineStr">
        <is>
          <t>2018-05-01</t>
        </is>
      </c>
      <c r="C3733" t="inlineStr">
        <is>
          <t>2018-05</t>
        </is>
      </c>
      <c r="D3733" t="inlineStr">
        <is>
          <t>MG</t>
        </is>
      </c>
      <c r="E3733" t="inlineStr">
        <is>
          <t>bed_bath_table</t>
        </is>
      </c>
      <c r="F3733" t="n">
        <v>1</v>
      </c>
      <c r="G3733" t="n">
        <v>24.9</v>
      </c>
      <c r="H3733" t="n">
        <v>18.23</v>
      </c>
      <c r="I3733" t="inlineStr">
        <is>
          <t>credit_card</t>
        </is>
      </c>
      <c r="J3733" t="n">
        <v>10</v>
      </c>
      <c r="K3733" t="inlineStr">
        <is>
          <t>On Time</t>
        </is>
      </c>
      <c r="L3733" t="n">
        <v>5</v>
      </c>
      <c r="M3733">
        <f>VLOOKUP(D3733,State_Lookup!$A$2:$B$28,2,FALSE)</f>
        <v/>
      </c>
    </row>
    <row r="3734">
      <c r="A3734" t="inlineStr">
        <is>
          <t>d3e80887b0f3cb72b3b9966a6071c8db</t>
        </is>
      </c>
      <c r="B3734" t="inlineStr">
        <is>
          <t>2018-05-01</t>
        </is>
      </c>
      <c r="C3734" t="inlineStr">
        <is>
          <t>2018-05</t>
        </is>
      </c>
      <c r="D3734" t="inlineStr">
        <is>
          <t>RS</t>
        </is>
      </c>
      <c r="E3734" t="inlineStr">
        <is>
          <t>christmas_supplies</t>
        </is>
      </c>
      <c r="F3734" t="n">
        <v>1</v>
      </c>
      <c r="G3734" t="n">
        <v>67.2</v>
      </c>
      <c r="H3734" t="n">
        <v>23.05</v>
      </c>
      <c r="I3734" t="inlineStr">
        <is>
          <t>credit_card</t>
        </is>
      </c>
      <c r="J3734" t="n">
        <v>17</v>
      </c>
      <c r="K3734" t="inlineStr">
        <is>
          <t>On Time</t>
        </is>
      </c>
      <c r="L3734" t="n">
        <v>5</v>
      </c>
      <c r="M3734">
        <f>VLOOKUP(D3734,State_Lookup!$A$2:$B$28,2,FALSE)</f>
        <v/>
      </c>
    </row>
    <row r="3735">
      <c r="A3735" t="inlineStr">
        <is>
          <t>e3ca5aaa7c0ebf70aab37862b7aff263</t>
        </is>
      </c>
      <c r="B3735" t="inlineStr">
        <is>
          <t>2018-05-01</t>
        </is>
      </c>
      <c r="C3735" t="inlineStr">
        <is>
          <t>2018-05</t>
        </is>
      </c>
      <c r="D3735" t="inlineStr">
        <is>
          <t>BA</t>
        </is>
      </c>
      <c r="E3735" t="inlineStr">
        <is>
          <t>signaling_and_security</t>
        </is>
      </c>
      <c r="F3735" t="n">
        <v>1</v>
      </c>
      <c r="G3735" t="n">
        <v>25</v>
      </c>
      <c r="H3735" t="n">
        <v>22.06</v>
      </c>
      <c r="I3735" t="inlineStr">
        <is>
          <t>boleto</t>
        </is>
      </c>
      <c r="J3735" t="n">
        <v>15</v>
      </c>
      <c r="K3735" t="inlineStr">
        <is>
          <t>On Time</t>
        </is>
      </c>
      <c r="L3735" t="n">
        <v>3</v>
      </c>
      <c r="M3735">
        <f>VLOOKUP(D3735,State_Lookup!$A$2:$B$28,2,FALSE)</f>
        <v/>
      </c>
    </row>
    <row r="3736">
      <c r="A3736" t="inlineStr">
        <is>
          <t>e1860ce96baa10d7f08d86aaf5927459</t>
        </is>
      </c>
      <c r="B3736" t="inlineStr">
        <is>
          <t>2018-05-01</t>
        </is>
      </c>
      <c r="C3736" t="inlineStr">
        <is>
          <t>2018-05</t>
        </is>
      </c>
      <c r="D3736" t="inlineStr">
        <is>
          <t>DF</t>
        </is>
      </c>
      <c r="E3736" t="inlineStr">
        <is>
          <t>bed_bath_table</t>
        </is>
      </c>
      <c r="F3736" t="n">
        <v>1</v>
      </c>
      <c r="G3736" t="n">
        <v>83.79000000000001</v>
      </c>
      <c r="H3736" t="n">
        <v>9.27</v>
      </c>
      <c r="I3736" t="inlineStr">
        <is>
          <t>credit_card</t>
        </is>
      </c>
      <c r="J3736" t="n">
        <v>9</v>
      </c>
      <c r="K3736" t="inlineStr">
        <is>
          <t>On Time</t>
        </is>
      </c>
      <c r="L3736" t="n">
        <v>5</v>
      </c>
      <c r="M3736">
        <f>VLOOKUP(D3736,State_Lookup!$A$2:$B$28,2,FALSE)</f>
        <v/>
      </c>
    </row>
    <row r="3737">
      <c r="A3737" t="inlineStr">
        <is>
          <t>23012529620559c40578e18d7746f3ff</t>
        </is>
      </c>
      <c r="B3737" t="inlineStr">
        <is>
          <t>2018-05-01</t>
        </is>
      </c>
      <c r="C3737" t="inlineStr">
        <is>
          <t>2018-05</t>
        </is>
      </c>
      <c r="D3737" t="inlineStr">
        <is>
          <t>PR</t>
        </is>
      </c>
      <c r="E3737" t="inlineStr">
        <is>
          <t>electronics</t>
        </is>
      </c>
      <c r="F3737" t="n">
        <v>1</v>
      </c>
      <c r="G3737" t="n">
        <v>27.5</v>
      </c>
      <c r="H3737" t="n">
        <v>18.23</v>
      </c>
      <c r="I3737" t="inlineStr">
        <is>
          <t>credit_card</t>
        </is>
      </c>
      <c r="J3737" t="n">
        <v>10</v>
      </c>
      <c r="K3737" t="inlineStr">
        <is>
          <t>On Time</t>
        </is>
      </c>
      <c r="L3737" t="n">
        <v>5</v>
      </c>
      <c r="M3737">
        <f>VLOOKUP(D3737,State_Lookup!$A$2:$B$28,2,FALSE)</f>
        <v/>
      </c>
    </row>
    <row r="3738">
      <c r="A3738" t="inlineStr">
        <is>
          <t>d24ea9296a5de338db8128bf4a6b9c48</t>
        </is>
      </c>
      <c r="B3738" t="inlineStr">
        <is>
          <t>2018-05-01</t>
        </is>
      </c>
      <c r="C3738" t="inlineStr">
        <is>
          <t>2018-05</t>
        </is>
      </c>
      <c r="D3738" t="inlineStr">
        <is>
          <t>SP</t>
        </is>
      </c>
      <c r="E3738" t="inlineStr">
        <is>
          <t>home_construction</t>
        </is>
      </c>
      <c r="F3738" t="n">
        <v>1</v>
      </c>
      <c r="G3738" t="n">
        <v>37.95</v>
      </c>
      <c r="H3738" t="n">
        <v>8.640000000000001</v>
      </c>
      <c r="I3738" t="inlineStr">
        <is>
          <t>credit_card</t>
        </is>
      </c>
      <c r="J3738" t="n">
        <v>12</v>
      </c>
      <c r="K3738" t="inlineStr">
        <is>
          <t>On Time</t>
        </is>
      </c>
      <c r="L3738" t="n">
        <v>2</v>
      </c>
      <c r="M3738">
        <f>VLOOKUP(D3738,State_Lookup!$A$2:$B$28,2,FALSE)</f>
        <v/>
      </c>
    </row>
    <row r="3739">
      <c r="A3739" t="inlineStr">
        <is>
          <t>3d31baf1573b52990d33a1f9d2f03ce5</t>
        </is>
      </c>
      <c r="B3739" t="inlineStr">
        <is>
          <t>2018-05-01</t>
        </is>
      </c>
      <c r="C3739" t="inlineStr">
        <is>
          <t>2018-05</t>
        </is>
      </c>
      <c r="D3739" t="inlineStr">
        <is>
          <t>SP</t>
        </is>
      </c>
      <c r="E3739" t="inlineStr">
        <is>
          <t>bed_bath_table</t>
        </is>
      </c>
      <c r="F3739" t="n">
        <v>1</v>
      </c>
      <c r="G3739" t="n">
        <v>129.99</v>
      </c>
      <c r="H3739" t="n">
        <v>15</v>
      </c>
      <c r="I3739" t="inlineStr">
        <is>
          <t>credit_card</t>
        </is>
      </c>
      <c r="J3739" t="n">
        <v>6</v>
      </c>
      <c r="K3739" t="inlineStr">
        <is>
          <t>On Time</t>
        </is>
      </c>
      <c r="L3739" t="n">
        <v>5</v>
      </c>
      <c r="M3739">
        <f>VLOOKUP(D3739,State_Lookup!$A$2:$B$28,2,FALSE)</f>
        <v/>
      </c>
    </row>
    <row r="3740">
      <c r="A3740" t="inlineStr">
        <is>
          <t>5e2d5a12419379ae165fd3596839a3cb</t>
        </is>
      </c>
      <c r="B3740" t="inlineStr">
        <is>
          <t>2018-05-01</t>
        </is>
      </c>
      <c r="C3740" t="inlineStr">
        <is>
          <t>2018-05</t>
        </is>
      </c>
      <c r="D3740" t="inlineStr">
        <is>
          <t>RS</t>
        </is>
      </c>
      <c r="E3740" t="inlineStr">
        <is>
          <t>health_beauty</t>
        </is>
      </c>
      <c r="F3740" t="n">
        <v>1</v>
      </c>
      <c r="G3740" t="n">
        <v>169.9</v>
      </c>
      <c r="H3740" t="n">
        <v>31.84</v>
      </c>
      <c r="I3740" t="inlineStr">
        <is>
          <t>credit_card</t>
        </is>
      </c>
      <c r="J3740" t="n">
        <v>8</v>
      </c>
      <c r="K3740" t="inlineStr">
        <is>
          <t>On Time</t>
        </is>
      </c>
      <c r="L3740" t="n">
        <v>4</v>
      </c>
      <c r="M3740">
        <f>VLOOKUP(D3740,State_Lookup!$A$2:$B$28,2,FALSE)</f>
        <v/>
      </c>
    </row>
    <row r="3741">
      <c r="A3741" t="inlineStr">
        <is>
          <t>c2575ff905b5b189ccda375084be2de2</t>
        </is>
      </c>
      <c r="B3741" t="inlineStr">
        <is>
          <t>2018-05-01</t>
        </is>
      </c>
      <c r="C3741" t="inlineStr">
        <is>
          <t>2018-05</t>
        </is>
      </c>
      <c r="D3741" t="inlineStr">
        <is>
          <t>SP</t>
        </is>
      </c>
      <c r="E3741" t="inlineStr">
        <is>
          <t>watches_gifts</t>
        </is>
      </c>
      <c r="F3741" t="n">
        <v>1</v>
      </c>
      <c r="G3741" t="n">
        <v>95.90000000000001</v>
      </c>
      <c r="H3741" t="n">
        <v>17.58</v>
      </c>
      <c r="I3741" t="inlineStr">
        <is>
          <t>credit_card</t>
        </is>
      </c>
      <c r="J3741" t="n">
        <v>10</v>
      </c>
      <c r="K3741" t="inlineStr">
        <is>
          <t>On Time</t>
        </is>
      </c>
      <c r="L3741" t="n">
        <v>1</v>
      </c>
      <c r="M3741">
        <f>VLOOKUP(D3741,State_Lookup!$A$2:$B$28,2,FALSE)</f>
        <v/>
      </c>
    </row>
    <row r="3742">
      <c r="A3742" t="inlineStr">
        <is>
          <t>fad50f5d61cd24d316352c44508b6ef9</t>
        </is>
      </c>
      <c r="B3742" t="inlineStr">
        <is>
          <t>2018-05-01</t>
        </is>
      </c>
      <c r="C3742" t="inlineStr">
        <is>
          <t>2018-05</t>
        </is>
      </c>
      <c r="D3742" t="inlineStr">
        <is>
          <t>SP</t>
        </is>
      </c>
      <c r="E3742" t="inlineStr">
        <is>
          <t>sports_leisure</t>
        </is>
      </c>
      <c r="F3742" t="n">
        <v>1</v>
      </c>
      <c r="G3742" t="n">
        <v>350</v>
      </c>
      <c r="H3742" t="n">
        <v>13.55</v>
      </c>
      <c r="I3742" t="inlineStr">
        <is>
          <t>boleto</t>
        </is>
      </c>
      <c r="J3742" t="n">
        <v>6</v>
      </c>
      <c r="K3742" t="inlineStr">
        <is>
          <t>On Time</t>
        </is>
      </c>
      <c r="L3742" t="n">
        <v>4</v>
      </c>
      <c r="M3742">
        <f>VLOOKUP(D3742,State_Lookup!$A$2:$B$28,2,FALSE)</f>
        <v/>
      </c>
    </row>
    <row r="3743">
      <c r="A3743" t="inlineStr">
        <is>
          <t>6482040c4887d33a7129473d3db4d0bd</t>
        </is>
      </c>
      <c r="B3743" t="inlineStr">
        <is>
          <t>2018-05-02</t>
        </is>
      </c>
      <c r="C3743" t="inlineStr">
        <is>
          <t>2018-05</t>
        </is>
      </c>
      <c r="D3743" t="inlineStr">
        <is>
          <t>SP</t>
        </is>
      </c>
      <c r="E3743" t="inlineStr">
        <is>
          <t>fashion_shoes</t>
        </is>
      </c>
      <c r="F3743" t="n">
        <v>1</v>
      </c>
      <c r="G3743" t="n">
        <v>199.7</v>
      </c>
      <c r="H3743" t="n">
        <v>15.49</v>
      </c>
      <c r="I3743" t="inlineStr">
        <is>
          <t>credit_card</t>
        </is>
      </c>
      <c r="J3743" t="n">
        <v>9</v>
      </c>
      <c r="K3743" t="inlineStr">
        <is>
          <t>On Time</t>
        </is>
      </c>
      <c r="L3743" t="n">
        <v>5</v>
      </c>
      <c r="M3743">
        <f>VLOOKUP(D3743,State_Lookup!$A$2:$B$28,2,FALSE)</f>
        <v/>
      </c>
    </row>
    <row r="3744">
      <c r="A3744" t="inlineStr">
        <is>
          <t>1ac04fcb479aaae425488d963ebd0847</t>
        </is>
      </c>
      <c r="B3744" t="inlineStr">
        <is>
          <t>2018-05-02</t>
        </is>
      </c>
      <c r="C3744" t="inlineStr">
        <is>
          <t>2018-05</t>
        </is>
      </c>
      <c r="D3744" t="inlineStr">
        <is>
          <t>RJ</t>
        </is>
      </c>
      <c r="E3744" t="inlineStr">
        <is>
          <t>housewares</t>
        </is>
      </c>
      <c r="F3744" t="n">
        <v>1</v>
      </c>
      <c r="G3744" t="n">
        <v>94.90000000000001</v>
      </c>
      <c r="H3744" t="n">
        <v>11.53</v>
      </c>
      <c r="I3744" t="inlineStr">
        <is>
          <t>credit_card</t>
        </is>
      </c>
      <c r="J3744" t="n">
        <v>3</v>
      </c>
      <c r="K3744" t="inlineStr">
        <is>
          <t>On Time</t>
        </is>
      </c>
      <c r="L3744" t="n">
        <v>5</v>
      </c>
      <c r="M3744">
        <f>VLOOKUP(D3744,State_Lookup!$A$2:$B$28,2,FALSE)</f>
        <v/>
      </c>
    </row>
    <row r="3745">
      <c r="A3745" t="inlineStr">
        <is>
          <t>97d09fc348cbda42ae770c92ec3af0c1</t>
        </is>
      </c>
      <c r="B3745" t="inlineStr">
        <is>
          <t>2018-05-02</t>
        </is>
      </c>
      <c r="C3745" t="inlineStr">
        <is>
          <t>2018-05</t>
        </is>
      </c>
      <c r="D3745" t="inlineStr">
        <is>
          <t>MG</t>
        </is>
      </c>
      <c r="E3745" t="inlineStr">
        <is>
          <t>home_appliances</t>
        </is>
      </c>
      <c r="F3745" t="n">
        <v>1</v>
      </c>
      <c r="G3745" t="n">
        <v>50.99</v>
      </c>
      <c r="H3745" t="n">
        <v>18.24</v>
      </c>
      <c r="I3745" t="inlineStr">
        <is>
          <t>credit_card</t>
        </is>
      </c>
      <c r="J3745" t="n">
        <v>7</v>
      </c>
      <c r="K3745" t="inlineStr">
        <is>
          <t>On Time</t>
        </is>
      </c>
      <c r="L3745" t="n">
        <v>4</v>
      </c>
      <c r="M3745">
        <f>VLOOKUP(D3745,State_Lookup!$A$2:$B$28,2,FALSE)</f>
        <v/>
      </c>
    </row>
    <row r="3746">
      <c r="A3746" t="inlineStr">
        <is>
          <t>b62ced5bbcbad01b30fd58926d727b21</t>
        </is>
      </c>
      <c r="B3746" t="inlineStr">
        <is>
          <t>2018-05-02</t>
        </is>
      </c>
      <c r="C3746" t="inlineStr">
        <is>
          <t>2018-05</t>
        </is>
      </c>
      <c r="D3746" t="inlineStr">
        <is>
          <t>MT</t>
        </is>
      </c>
      <c r="E3746" t="inlineStr">
        <is>
          <t>bed_bath_table</t>
        </is>
      </c>
      <c r="F3746" t="n">
        <v>2</v>
      </c>
      <c r="G3746" t="n">
        <v>189</v>
      </c>
      <c r="H3746" t="n">
        <v>54.78</v>
      </c>
      <c r="I3746" t="inlineStr">
        <is>
          <t>credit_card</t>
        </is>
      </c>
      <c r="J3746" t="n">
        <v>22</v>
      </c>
      <c r="K3746" t="inlineStr">
        <is>
          <t>On Time</t>
        </is>
      </c>
      <c r="L3746" t="n">
        <v>5</v>
      </c>
      <c r="M3746">
        <f>VLOOKUP(D3746,State_Lookup!$A$2:$B$28,2,FALSE)</f>
        <v/>
      </c>
    </row>
    <row r="3747">
      <c r="A3747" t="inlineStr">
        <is>
          <t>b647577bafd629cca1b1c3b7aed598ed</t>
        </is>
      </c>
      <c r="B3747" t="inlineStr">
        <is>
          <t>2018-05-02</t>
        </is>
      </c>
      <c r="C3747" t="inlineStr">
        <is>
          <t>2018-05</t>
        </is>
      </c>
      <c r="D3747" t="inlineStr">
        <is>
          <t>MT</t>
        </is>
      </c>
      <c r="E3747" t="inlineStr">
        <is>
          <t>health_beauty</t>
        </is>
      </c>
      <c r="F3747" t="n">
        <v>1</v>
      </c>
      <c r="G3747" t="n">
        <v>84</v>
      </c>
      <c r="H3747" t="n">
        <v>22.3</v>
      </c>
      <c r="I3747" t="inlineStr">
        <is>
          <t>boleto</t>
        </is>
      </c>
      <c r="J3747" t="n">
        <v>8</v>
      </c>
      <c r="K3747" t="inlineStr">
        <is>
          <t>On Time</t>
        </is>
      </c>
      <c r="L3747" t="n">
        <v>5</v>
      </c>
      <c r="M3747">
        <f>VLOOKUP(D3747,State_Lookup!$A$2:$B$28,2,FALSE)</f>
        <v/>
      </c>
    </row>
    <row r="3748">
      <c r="A3748" t="inlineStr">
        <is>
          <t>a275c8910a3b6a6bd7fe83c397afb4ec</t>
        </is>
      </c>
      <c r="B3748" t="inlineStr">
        <is>
          <t>2018-05-02</t>
        </is>
      </c>
      <c r="C3748" t="inlineStr">
        <is>
          <t>2018-05</t>
        </is>
      </c>
      <c r="D3748" t="inlineStr">
        <is>
          <t>SP</t>
        </is>
      </c>
      <c r="E3748" t="inlineStr">
        <is>
          <t>furniture_decor</t>
        </is>
      </c>
      <c r="F3748" t="n">
        <v>1</v>
      </c>
      <c r="G3748" t="n">
        <v>99.90000000000001</v>
      </c>
      <c r="H3748" t="n">
        <v>11.32</v>
      </c>
      <c r="I3748" t="inlineStr">
        <is>
          <t>credit_card</t>
        </is>
      </c>
      <c r="J3748" t="n">
        <v>2</v>
      </c>
      <c r="K3748" t="inlineStr">
        <is>
          <t>On Time</t>
        </is>
      </c>
      <c r="L3748" t="n">
        <v>5</v>
      </c>
      <c r="M3748">
        <f>VLOOKUP(D3748,State_Lookup!$A$2:$B$28,2,FALSE)</f>
        <v/>
      </c>
    </row>
    <row r="3749">
      <c r="A3749" t="inlineStr">
        <is>
          <t>4839cbb2ed51cf281dadeff495e39d6d</t>
        </is>
      </c>
      <c r="B3749" t="inlineStr">
        <is>
          <t>2018-05-02</t>
        </is>
      </c>
      <c r="C3749" t="inlineStr">
        <is>
          <t>2018-05</t>
        </is>
      </c>
      <c r="D3749" t="inlineStr">
        <is>
          <t>SC</t>
        </is>
      </c>
      <c r="E3749" t="inlineStr">
        <is>
          <t>furniture_decor</t>
        </is>
      </c>
      <c r="F3749" t="n">
        <v>1</v>
      </c>
      <c r="G3749" t="n">
        <v>126.69</v>
      </c>
      <c r="H3749" t="n">
        <v>25.22</v>
      </c>
      <c r="I3749" t="inlineStr">
        <is>
          <t>credit_card</t>
        </is>
      </c>
      <c r="J3749" t="n">
        <v>9</v>
      </c>
      <c r="K3749" t="inlineStr">
        <is>
          <t>On Time</t>
        </is>
      </c>
      <c r="L3749" t="n">
        <v>4</v>
      </c>
      <c r="M3749">
        <f>VLOOKUP(D3749,State_Lookup!$A$2:$B$28,2,FALSE)</f>
        <v/>
      </c>
    </row>
    <row r="3750">
      <c r="A3750" t="inlineStr">
        <is>
          <t>af45c3a8c24539daa13f4ca8d2868464</t>
        </is>
      </c>
      <c r="B3750" t="inlineStr">
        <is>
          <t>2018-05-02</t>
        </is>
      </c>
      <c r="C3750" t="inlineStr">
        <is>
          <t>2018-05</t>
        </is>
      </c>
      <c r="D3750" t="inlineStr">
        <is>
          <t>BA</t>
        </is>
      </c>
      <c r="E3750" t="inlineStr">
        <is>
          <t>computers_accessories</t>
        </is>
      </c>
      <c r="F3750" t="n">
        <v>1</v>
      </c>
      <c r="G3750" t="n">
        <v>49</v>
      </c>
      <c r="H3750" t="n">
        <v>22.06</v>
      </c>
      <c r="I3750" t="inlineStr">
        <is>
          <t>boleto</t>
        </is>
      </c>
      <c r="J3750" t="n">
        <v>13</v>
      </c>
      <c r="K3750" t="inlineStr">
        <is>
          <t>On Time</t>
        </is>
      </c>
      <c r="L3750" t="n">
        <v>3</v>
      </c>
      <c r="M3750">
        <f>VLOOKUP(D3750,State_Lookup!$A$2:$B$28,2,FALSE)</f>
        <v/>
      </c>
    </row>
    <row r="3751">
      <c r="A3751" t="inlineStr">
        <is>
          <t>4263f66dd6ea50568c4369369a163208</t>
        </is>
      </c>
      <c r="B3751" t="inlineStr">
        <is>
          <t>2018-05-02</t>
        </is>
      </c>
      <c r="C3751" t="inlineStr">
        <is>
          <t>2018-05</t>
        </is>
      </c>
      <c r="D3751" t="inlineStr">
        <is>
          <t>SP</t>
        </is>
      </c>
      <c r="E3751" t="inlineStr">
        <is>
          <t>telephony</t>
        </is>
      </c>
      <c r="F3751" t="n">
        <v>1</v>
      </c>
      <c r="G3751" t="n">
        <v>649</v>
      </c>
      <c r="H3751" t="n">
        <v>16.98</v>
      </c>
      <c r="I3751" t="inlineStr">
        <is>
          <t>boleto</t>
        </is>
      </c>
      <c r="J3751" t="inlineStr"/>
      <c r="K3751" t="inlineStr">
        <is>
          <t>Not Delivered</t>
        </is>
      </c>
      <c r="L3751" t="inlineStr"/>
      <c r="M3751">
        <f>VLOOKUP(D3751,State_Lookup!$A$2:$B$28,2,FALSE)</f>
        <v/>
      </c>
    </row>
    <row r="3752">
      <c r="A3752" t="inlineStr">
        <is>
          <t>d2ae2653b9dbc7b50f11bf3e4001ec8e</t>
        </is>
      </c>
      <c r="B3752" t="inlineStr">
        <is>
          <t>2018-05-02</t>
        </is>
      </c>
      <c r="C3752" t="inlineStr">
        <is>
          <t>2018-05</t>
        </is>
      </c>
      <c r="D3752" t="inlineStr">
        <is>
          <t>ES</t>
        </is>
      </c>
      <c r="E3752" t="inlineStr">
        <is>
          <t>bed_bath_table</t>
        </is>
      </c>
      <c r="F3752" t="n">
        <v>2</v>
      </c>
      <c r="G3752" t="n">
        <v>329.8</v>
      </c>
      <c r="H3752" t="n">
        <v>23.96</v>
      </c>
      <c r="I3752" t="inlineStr">
        <is>
          <t>credit_card</t>
        </is>
      </c>
      <c r="J3752" t="n">
        <v>11</v>
      </c>
      <c r="K3752" t="inlineStr">
        <is>
          <t>On Time</t>
        </is>
      </c>
      <c r="L3752" t="n">
        <v>5</v>
      </c>
      <c r="M3752">
        <f>VLOOKUP(D3752,State_Lookup!$A$2:$B$28,2,FALSE)</f>
        <v/>
      </c>
    </row>
    <row r="3753">
      <c r="A3753" t="inlineStr">
        <is>
          <t>dc5e5ca2d07c93091a87b58d9888769a</t>
        </is>
      </c>
      <c r="B3753" t="inlineStr">
        <is>
          <t>2018-05-02</t>
        </is>
      </c>
      <c r="C3753" t="inlineStr">
        <is>
          <t>2018-05</t>
        </is>
      </c>
      <c r="D3753" t="inlineStr">
        <is>
          <t>SP</t>
        </is>
      </c>
      <c r="E3753" t="inlineStr">
        <is>
          <t>pet_shop</t>
        </is>
      </c>
      <c r="F3753" t="n">
        <v>1</v>
      </c>
      <c r="G3753" t="n">
        <v>14.9</v>
      </c>
      <c r="H3753" t="n">
        <v>12.79</v>
      </c>
      <c r="I3753" t="inlineStr">
        <is>
          <t>credit_card</t>
        </is>
      </c>
      <c r="J3753" t="n">
        <v>6</v>
      </c>
      <c r="K3753" t="inlineStr">
        <is>
          <t>On Time</t>
        </is>
      </c>
      <c r="L3753" t="n">
        <v>5</v>
      </c>
      <c r="M3753">
        <f>VLOOKUP(D3753,State_Lookup!$A$2:$B$28,2,FALSE)</f>
        <v/>
      </c>
    </row>
    <row r="3754">
      <c r="A3754" t="inlineStr">
        <is>
          <t>51ec62622b0b1e86fc4a3098424576ea</t>
        </is>
      </c>
      <c r="B3754" t="inlineStr">
        <is>
          <t>2018-05-02</t>
        </is>
      </c>
      <c r="C3754" t="inlineStr">
        <is>
          <t>2018-05</t>
        </is>
      </c>
      <c r="D3754" t="inlineStr">
        <is>
          <t>RJ</t>
        </is>
      </c>
      <c r="E3754" t="inlineStr">
        <is>
          <t>unknown</t>
        </is>
      </c>
      <c r="F3754" t="n">
        <v>2</v>
      </c>
      <c r="G3754" t="n">
        <v>23.8</v>
      </c>
      <c r="H3754" t="n">
        <v>36.46</v>
      </c>
      <c r="I3754" t="inlineStr">
        <is>
          <t>credit_card</t>
        </is>
      </c>
      <c r="J3754" t="n">
        <v>9</v>
      </c>
      <c r="K3754" t="inlineStr">
        <is>
          <t>On Time</t>
        </is>
      </c>
      <c r="L3754" t="n">
        <v>1</v>
      </c>
      <c r="M3754">
        <f>VLOOKUP(D3754,State_Lookup!$A$2:$B$28,2,FALSE)</f>
        <v/>
      </c>
    </row>
    <row r="3755">
      <c r="A3755" t="inlineStr">
        <is>
          <t>dddb05d44cc0328777c8d87c479b3680</t>
        </is>
      </c>
      <c r="B3755" t="inlineStr">
        <is>
          <t>2018-05-02</t>
        </is>
      </c>
      <c r="C3755" t="inlineStr">
        <is>
          <t>2018-05</t>
        </is>
      </c>
      <c r="D3755" t="inlineStr">
        <is>
          <t>SP</t>
        </is>
      </c>
      <c r="E3755" t="inlineStr">
        <is>
          <t>pet_shop</t>
        </is>
      </c>
      <c r="F3755" t="n">
        <v>1</v>
      </c>
      <c r="G3755" t="n">
        <v>129.9</v>
      </c>
      <c r="H3755" t="n">
        <v>15.76</v>
      </c>
      <c r="I3755" t="inlineStr">
        <is>
          <t>credit_card</t>
        </is>
      </c>
      <c r="J3755" t="n">
        <v>6</v>
      </c>
      <c r="K3755" t="inlineStr">
        <is>
          <t>On Time</t>
        </is>
      </c>
      <c r="L3755" t="n">
        <v>5</v>
      </c>
      <c r="M3755">
        <f>VLOOKUP(D3755,State_Lookup!$A$2:$B$28,2,FALSE)</f>
        <v/>
      </c>
    </row>
    <row r="3756">
      <c r="A3756" t="inlineStr">
        <is>
          <t>0d8b3fb610ae4ac24891052ed60e8a2a</t>
        </is>
      </c>
      <c r="B3756" t="inlineStr">
        <is>
          <t>2018-05-02</t>
        </is>
      </c>
      <c r="C3756" t="inlineStr">
        <is>
          <t>2018-05</t>
        </is>
      </c>
      <c r="D3756" t="inlineStr">
        <is>
          <t>MT</t>
        </is>
      </c>
      <c r="E3756" t="inlineStr">
        <is>
          <t>garden_tools</t>
        </is>
      </c>
      <c r="F3756" t="n">
        <v>2</v>
      </c>
      <c r="G3756" t="n">
        <v>107.8</v>
      </c>
      <c r="H3756" t="n">
        <v>0</v>
      </c>
      <c r="I3756" t="inlineStr">
        <is>
          <t>boleto</t>
        </is>
      </c>
      <c r="J3756" t="n">
        <v>11</v>
      </c>
      <c r="K3756" t="inlineStr">
        <is>
          <t>On Time</t>
        </is>
      </c>
      <c r="L3756" t="n">
        <v>5</v>
      </c>
      <c r="M3756">
        <f>VLOOKUP(D3756,State_Lookup!$A$2:$B$28,2,FALSE)</f>
        <v/>
      </c>
    </row>
    <row r="3757">
      <c r="A3757" t="inlineStr">
        <is>
          <t>d1ccf9110e914e714e76f6434142710f</t>
        </is>
      </c>
      <c r="B3757" t="inlineStr">
        <is>
          <t>2018-05-03</t>
        </is>
      </c>
      <c r="C3757" t="inlineStr">
        <is>
          <t>2018-05</t>
        </is>
      </c>
      <c r="D3757" t="inlineStr">
        <is>
          <t>SC</t>
        </is>
      </c>
      <c r="E3757" t="inlineStr">
        <is>
          <t>stationery</t>
        </is>
      </c>
      <c r="F3757" t="n">
        <v>1</v>
      </c>
      <c r="G3757" t="n">
        <v>127</v>
      </c>
      <c r="H3757" t="n">
        <v>27.62</v>
      </c>
      <c r="I3757" t="inlineStr">
        <is>
          <t>credit_card</t>
        </is>
      </c>
      <c r="J3757" t="n">
        <v>11</v>
      </c>
      <c r="K3757" t="inlineStr">
        <is>
          <t>On Time</t>
        </is>
      </c>
      <c r="L3757" t="n">
        <v>5</v>
      </c>
      <c r="M3757">
        <f>VLOOKUP(D3757,State_Lookup!$A$2:$B$28,2,FALSE)</f>
        <v/>
      </c>
    </row>
    <row r="3758">
      <c r="A3758" t="inlineStr">
        <is>
          <t>612d5630822f4796875619b3a6a7b481</t>
        </is>
      </c>
      <c r="B3758" t="inlineStr">
        <is>
          <t>2018-05-03</t>
        </is>
      </c>
      <c r="C3758" t="inlineStr">
        <is>
          <t>2018-05</t>
        </is>
      </c>
      <c r="D3758" t="inlineStr">
        <is>
          <t>BA</t>
        </is>
      </c>
      <c r="E3758" t="inlineStr">
        <is>
          <t>luggage_accessories</t>
        </is>
      </c>
      <c r="F3758" t="n">
        <v>1</v>
      </c>
      <c r="G3758" t="n">
        <v>97</v>
      </c>
      <c r="H3758" t="n">
        <v>27.41</v>
      </c>
      <c r="I3758" t="inlineStr">
        <is>
          <t>credit_card</t>
        </is>
      </c>
      <c r="J3758" t="n">
        <v>11</v>
      </c>
      <c r="K3758" t="inlineStr">
        <is>
          <t>On Time</t>
        </is>
      </c>
      <c r="L3758" t="n">
        <v>5</v>
      </c>
      <c r="M3758">
        <f>VLOOKUP(D3758,State_Lookup!$A$2:$B$28,2,FALSE)</f>
        <v/>
      </c>
    </row>
    <row r="3759">
      <c r="A3759" t="inlineStr">
        <is>
          <t>74e9098e04f430c82e0a8da397f7922a</t>
        </is>
      </c>
      <c r="B3759" t="inlineStr">
        <is>
          <t>2018-05-03</t>
        </is>
      </c>
      <c r="C3759" t="inlineStr">
        <is>
          <t>2018-05</t>
        </is>
      </c>
      <c r="D3759" t="inlineStr">
        <is>
          <t>SP</t>
        </is>
      </c>
      <c r="E3759" t="inlineStr">
        <is>
          <t>bed_bath_table</t>
        </is>
      </c>
      <c r="F3759" t="n">
        <v>1</v>
      </c>
      <c r="G3759" t="n">
        <v>88.90000000000001</v>
      </c>
      <c r="H3759" t="n">
        <v>14.71</v>
      </c>
      <c r="I3759" t="inlineStr">
        <is>
          <t>credit_card</t>
        </is>
      </c>
      <c r="J3759" t="n">
        <v>7</v>
      </c>
      <c r="K3759" t="inlineStr">
        <is>
          <t>On Time</t>
        </is>
      </c>
      <c r="L3759" t="n">
        <v>4</v>
      </c>
      <c r="M3759">
        <f>VLOOKUP(D3759,State_Lookup!$A$2:$B$28,2,FALSE)</f>
        <v/>
      </c>
    </row>
    <row r="3760">
      <c r="A3760" t="inlineStr">
        <is>
          <t>ec4f4f7e31b79905b7626cbbdf077813</t>
        </is>
      </c>
      <c r="B3760" t="inlineStr">
        <is>
          <t>2018-05-03</t>
        </is>
      </c>
      <c r="C3760" t="inlineStr">
        <is>
          <t>2018-05</t>
        </is>
      </c>
      <c r="D3760" t="inlineStr">
        <is>
          <t>SP</t>
        </is>
      </c>
      <c r="E3760" t="inlineStr">
        <is>
          <t>books_technical</t>
        </is>
      </c>
      <c r="F3760" t="n">
        <v>1</v>
      </c>
      <c r="G3760" t="n">
        <v>57.89</v>
      </c>
      <c r="H3760" t="n">
        <v>11.15</v>
      </c>
      <c r="I3760" t="inlineStr">
        <is>
          <t>credit_card</t>
        </is>
      </c>
      <c r="J3760" t="n">
        <v>7</v>
      </c>
      <c r="K3760" t="inlineStr">
        <is>
          <t>On Time</t>
        </is>
      </c>
      <c r="L3760" t="n">
        <v>5</v>
      </c>
      <c r="M3760">
        <f>VLOOKUP(D3760,State_Lookup!$A$2:$B$28,2,FALSE)</f>
        <v/>
      </c>
    </row>
    <row r="3761">
      <c r="A3761" t="inlineStr">
        <is>
          <t>bb16216a067e407c9e713fe14624e093</t>
        </is>
      </c>
      <c r="B3761" t="inlineStr">
        <is>
          <t>2018-05-03</t>
        </is>
      </c>
      <c r="C3761" t="inlineStr">
        <is>
          <t>2018-05</t>
        </is>
      </c>
      <c r="D3761" t="inlineStr">
        <is>
          <t>SC</t>
        </is>
      </c>
      <c r="E3761" t="inlineStr">
        <is>
          <t>garden_tools</t>
        </is>
      </c>
      <c r="F3761" t="n">
        <v>1</v>
      </c>
      <c r="G3761" t="n">
        <v>53.9</v>
      </c>
      <c r="H3761" t="n">
        <v>0</v>
      </c>
      <c r="I3761" t="inlineStr">
        <is>
          <t>boleto</t>
        </is>
      </c>
      <c r="J3761" t="n">
        <v>11</v>
      </c>
      <c r="K3761" t="inlineStr">
        <is>
          <t>On Time</t>
        </is>
      </c>
      <c r="L3761" t="n">
        <v>5</v>
      </c>
      <c r="M3761">
        <f>VLOOKUP(D3761,State_Lookup!$A$2:$B$28,2,FALSE)</f>
        <v/>
      </c>
    </row>
    <row r="3762">
      <c r="A3762" t="inlineStr">
        <is>
          <t>f55f2ceef609960024f449621f6f478b</t>
        </is>
      </c>
      <c r="B3762" t="inlineStr">
        <is>
          <t>2018-05-03</t>
        </is>
      </c>
      <c r="C3762" t="inlineStr">
        <is>
          <t>2018-05</t>
        </is>
      </c>
      <c r="D3762" t="inlineStr">
        <is>
          <t>GO</t>
        </is>
      </c>
      <c r="E3762" t="inlineStr">
        <is>
          <t>toys</t>
        </is>
      </c>
      <c r="F3762" t="n">
        <v>1</v>
      </c>
      <c r="G3762" t="n">
        <v>89.98999999999999</v>
      </c>
      <c r="H3762" t="n">
        <v>19.6</v>
      </c>
      <c r="I3762" t="inlineStr">
        <is>
          <t>credit_card</t>
        </is>
      </c>
      <c r="J3762" t="n">
        <v>8</v>
      </c>
      <c r="K3762" t="inlineStr">
        <is>
          <t>On Time</t>
        </is>
      </c>
      <c r="L3762" t="n">
        <v>5</v>
      </c>
      <c r="M3762">
        <f>VLOOKUP(D3762,State_Lookup!$A$2:$B$28,2,FALSE)</f>
        <v/>
      </c>
    </row>
    <row r="3763">
      <c r="A3763" t="inlineStr">
        <is>
          <t>848e76f65aa5d3843c356d8a68dfa5b5</t>
        </is>
      </c>
      <c r="B3763" t="inlineStr">
        <is>
          <t>2018-05-03</t>
        </is>
      </c>
      <c r="C3763" t="inlineStr">
        <is>
          <t>2018-05</t>
        </is>
      </c>
      <c r="D3763" t="inlineStr">
        <is>
          <t>RS</t>
        </is>
      </c>
      <c r="E3763" t="inlineStr">
        <is>
          <t>sports_leisure</t>
        </is>
      </c>
      <c r="F3763" t="n">
        <v>1</v>
      </c>
      <c r="G3763" t="n">
        <v>107.7</v>
      </c>
      <c r="H3763" t="n">
        <v>18.63</v>
      </c>
      <c r="I3763" t="inlineStr">
        <is>
          <t>credit_card</t>
        </is>
      </c>
      <c r="J3763" t="n">
        <v>8</v>
      </c>
      <c r="K3763" t="inlineStr">
        <is>
          <t>On Time</t>
        </is>
      </c>
      <c r="L3763" t="n">
        <v>4</v>
      </c>
      <c r="M3763">
        <f>VLOOKUP(D3763,State_Lookup!$A$2:$B$28,2,FALSE)</f>
        <v/>
      </c>
    </row>
    <row r="3764">
      <c r="A3764" t="inlineStr">
        <is>
          <t>89a591b9a088299ff2b3938b877f3ea3</t>
        </is>
      </c>
      <c r="B3764" t="inlineStr">
        <is>
          <t>2018-05-03</t>
        </is>
      </c>
      <c r="C3764" t="inlineStr">
        <is>
          <t>2018-05</t>
        </is>
      </c>
      <c r="D3764" t="inlineStr">
        <is>
          <t>BA</t>
        </is>
      </c>
      <c r="E3764" t="inlineStr">
        <is>
          <t>furniture_decor</t>
        </is>
      </c>
      <c r="F3764" t="n">
        <v>1</v>
      </c>
      <c r="G3764" t="n">
        <v>64.90000000000001</v>
      </c>
      <c r="H3764" t="n">
        <v>17.16</v>
      </c>
      <c r="I3764" t="inlineStr">
        <is>
          <t>credit_card</t>
        </is>
      </c>
      <c r="J3764" t="n">
        <v>16</v>
      </c>
      <c r="K3764" t="inlineStr">
        <is>
          <t>On Time</t>
        </is>
      </c>
      <c r="L3764" t="n">
        <v>3</v>
      </c>
      <c r="M3764">
        <f>VLOOKUP(D3764,State_Lookup!$A$2:$B$28,2,FALSE)</f>
        <v/>
      </c>
    </row>
    <row r="3765">
      <c r="A3765" t="inlineStr">
        <is>
          <t>9fbac5c017947f1c23fe7979ad6c4e00</t>
        </is>
      </c>
      <c r="B3765" t="inlineStr">
        <is>
          <t>2018-05-03</t>
        </is>
      </c>
      <c r="C3765" t="inlineStr">
        <is>
          <t>2018-05</t>
        </is>
      </c>
      <c r="D3765" t="inlineStr">
        <is>
          <t>RJ</t>
        </is>
      </c>
      <c r="E3765" t="inlineStr">
        <is>
          <t>watches_gifts</t>
        </is>
      </c>
      <c r="F3765" t="n">
        <v>1</v>
      </c>
      <c r="G3765" t="n">
        <v>99.90000000000001</v>
      </c>
      <c r="H3765" t="n">
        <v>0</v>
      </c>
      <c r="I3765" t="inlineStr">
        <is>
          <t>credit_card</t>
        </is>
      </c>
      <c r="J3765" t="n">
        <v>14</v>
      </c>
      <c r="K3765" t="inlineStr">
        <is>
          <t>On Time</t>
        </is>
      </c>
      <c r="L3765" t="n">
        <v>5</v>
      </c>
      <c r="M3765">
        <f>VLOOKUP(D3765,State_Lookup!$A$2:$B$28,2,FALSE)</f>
        <v/>
      </c>
    </row>
    <row r="3766">
      <c r="A3766" t="inlineStr">
        <is>
          <t>7e33051b148132bd0c823915b8863e35</t>
        </is>
      </c>
      <c r="B3766" t="inlineStr">
        <is>
          <t>2018-05-03</t>
        </is>
      </c>
      <c r="C3766" t="inlineStr">
        <is>
          <t>2018-05</t>
        </is>
      </c>
      <c r="D3766" t="inlineStr">
        <is>
          <t>SP</t>
        </is>
      </c>
      <c r="E3766" t="inlineStr">
        <is>
          <t>health_beauty</t>
        </is>
      </c>
      <c r="F3766" t="n">
        <v>1</v>
      </c>
      <c r="G3766" t="n">
        <v>159.9</v>
      </c>
      <c r="H3766" t="n">
        <v>20.09</v>
      </c>
      <c r="I3766" t="inlineStr">
        <is>
          <t>credit_card</t>
        </is>
      </c>
      <c r="J3766" t="n">
        <v>5</v>
      </c>
      <c r="K3766" t="inlineStr">
        <is>
          <t>On Time</t>
        </is>
      </c>
      <c r="L3766" t="n">
        <v>5</v>
      </c>
      <c r="M3766">
        <f>VLOOKUP(D3766,State_Lookup!$A$2:$B$28,2,FALSE)</f>
        <v/>
      </c>
    </row>
    <row r="3767">
      <c r="A3767" t="inlineStr">
        <is>
          <t>8d17ba5695db76a5fc7fed0645778642</t>
        </is>
      </c>
      <c r="B3767" t="inlineStr">
        <is>
          <t>2018-05-03</t>
        </is>
      </c>
      <c r="C3767" t="inlineStr">
        <is>
          <t>2018-05</t>
        </is>
      </c>
      <c r="D3767" t="inlineStr">
        <is>
          <t>MG</t>
        </is>
      </c>
      <c r="E3767" t="inlineStr">
        <is>
          <t>sports_leisure</t>
        </is>
      </c>
      <c r="F3767" t="n">
        <v>1</v>
      </c>
      <c r="G3767" t="n">
        <v>120</v>
      </c>
      <c r="H3767" t="n">
        <v>15.72</v>
      </c>
      <c r="I3767" t="inlineStr">
        <is>
          <t>boleto</t>
        </is>
      </c>
      <c r="J3767" t="n">
        <v>8</v>
      </c>
      <c r="K3767" t="inlineStr">
        <is>
          <t>On Time</t>
        </is>
      </c>
      <c r="L3767" t="n">
        <v>4</v>
      </c>
      <c r="M3767">
        <f>VLOOKUP(D3767,State_Lookup!$A$2:$B$28,2,FALSE)</f>
        <v/>
      </c>
    </row>
    <row r="3768">
      <c r="A3768" t="inlineStr">
        <is>
          <t>3fed89335b07739e36d2b4680ce3e900</t>
        </is>
      </c>
      <c r="B3768" t="inlineStr">
        <is>
          <t>2018-05-03</t>
        </is>
      </c>
      <c r="C3768" t="inlineStr">
        <is>
          <t>2018-05</t>
        </is>
      </c>
      <c r="D3768" t="inlineStr">
        <is>
          <t>SP</t>
        </is>
      </c>
      <c r="E3768" t="inlineStr">
        <is>
          <t>auto</t>
        </is>
      </c>
      <c r="F3768" t="n">
        <v>2</v>
      </c>
      <c r="G3768" t="n">
        <v>31.89</v>
      </c>
      <c r="H3768" t="n">
        <v>31.94</v>
      </c>
      <c r="I3768" t="inlineStr">
        <is>
          <t>credit_card</t>
        </is>
      </c>
      <c r="J3768" t="n">
        <v>7</v>
      </c>
      <c r="K3768" t="inlineStr">
        <is>
          <t>On Time</t>
        </is>
      </c>
      <c r="L3768" t="n">
        <v>4</v>
      </c>
      <c r="M3768">
        <f>VLOOKUP(D3768,State_Lookup!$A$2:$B$28,2,FALSE)</f>
        <v/>
      </c>
    </row>
    <row r="3769">
      <c r="A3769" t="inlineStr">
        <is>
          <t>5b11ad967b9d5763b6f2417944c07f57</t>
        </is>
      </c>
      <c r="B3769" t="inlineStr">
        <is>
          <t>2018-05-03</t>
        </is>
      </c>
      <c r="C3769" t="inlineStr">
        <is>
          <t>2018-05</t>
        </is>
      </c>
      <c r="D3769" t="inlineStr">
        <is>
          <t>RJ</t>
        </is>
      </c>
      <c r="E3769" t="inlineStr">
        <is>
          <t>watches_gifts</t>
        </is>
      </c>
      <c r="F3769" t="n">
        <v>1</v>
      </c>
      <c r="G3769" t="n">
        <v>144</v>
      </c>
      <c r="H3769" t="n">
        <v>18.89</v>
      </c>
      <c r="I3769" t="inlineStr">
        <is>
          <t>credit_card</t>
        </is>
      </c>
      <c r="J3769" t="n">
        <v>42</v>
      </c>
      <c r="K3769" t="inlineStr">
        <is>
          <t>Late</t>
        </is>
      </c>
      <c r="L3769" t="n">
        <v>3</v>
      </c>
      <c r="M3769">
        <f>VLOOKUP(D3769,State_Lookup!$A$2:$B$28,2,FALSE)</f>
        <v/>
      </c>
    </row>
    <row r="3770">
      <c r="A3770" t="inlineStr">
        <is>
          <t>afdc19847d2b39afa2d82a35ec730571</t>
        </is>
      </c>
      <c r="B3770" t="inlineStr">
        <is>
          <t>2018-05-03</t>
        </is>
      </c>
      <c r="C3770" t="inlineStr">
        <is>
          <t>2018-05</t>
        </is>
      </c>
      <c r="D3770" t="inlineStr">
        <is>
          <t>RJ</t>
        </is>
      </c>
      <c r="E3770" t="inlineStr">
        <is>
          <t>fashion_bags_accessories</t>
        </is>
      </c>
      <c r="F3770" t="n">
        <v>1</v>
      </c>
      <c r="G3770" t="n">
        <v>39.9</v>
      </c>
      <c r="H3770" t="n">
        <v>15.23</v>
      </c>
      <c r="I3770" t="inlineStr">
        <is>
          <t>voucher</t>
        </is>
      </c>
      <c r="J3770" t="n">
        <v>4</v>
      </c>
      <c r="K3770" t="inlineStr">
        <is>
          <t>On Time</t>
        </is>
      </c>
      <c r="L3770" t="n">
        <v>5</v>
      </c>
      <c r="M3770">
        <f>VLOOKUP(D3770,State_Lookup!$A$2:$B$28,2,FALSE)</f>
        <v/>
      </c>
    </row>
    <row r="3771">
      <c r="A3771" t="inlineStr">
        <is>
          <t>eb6bf171200b90eb73d01a3f2096691a</t>
        </is>
      </c>
      <c r="B3771" t="inlineStr">
        <is>
          <t>2018-05-03</t>
        </is>
      </c>
      <c r="C3771" t="inlineStr">
        <is>
          <t>2018-05</t>
        </is>
      </c>
      <c r="D3771" t="inlineStr">
        <is>
          <t>SP</t>
        </is>
      </c>
      <c r="E3771" t="inlineStr">
        <is>
          <t>health_beauty</t>
        </is>
      </c>
      <c r="F3771" t="n">
        <v>1</v>
      </c>
      <c r="G3771" t="n">
        <v>95</v>
      </c>
      <c r="H3771" t="n">
        <v>7.53</v>
      </c>
      <c r="I3771" t="inlineStr">
        <is>
          <t>credit_card</t>
        </is>
      </c>
      <c r="J3771" t="n">
        <v>3</v>
      </c>
      <c r="K3771" t="inlineStr">
        <is>
          <t>On Time</t>
        </is>
      </c>
      <c r="L3771" t="n">
        <v>5</v>
      </c>
      <c r="M3771">
        <f>VLOOKUP(D3771,State_Lookup!$A$2:$B$28,2,FALSE)</f>
        <v/>
      </c>
    </row>
    <row r="3772">
      <c r="A3772" t="inlineStr">
        <is>
          <t>624ae9036a4782219f00bb569c7e39e8</t>
        </is>
      </c>
      <c r="B3772" t="inlineStr">
        <is>
          <t>2018-05-03</t>
        </is>
      </c>
      <c r="C3772" t="inlineStr">
        <is>
          <t>2018-05</t>
        </is>
      </c>
      <c r="D3772" t="inlineStr">
        <is>
          <t>SP</t>
        </is>
      </c>
      <c r="E3772" t="inlineStr">
        <is>
          <t>garden_tools</t>
        </is>
      </c>
      <c r="F3772" t="n">
        <v>1</v>
      </c>
      <c r="G3772" t="n">
        <v>53.9</v>
      </c>
      <c r="H3772" t="n">
        <v>10.13</v>
      </c>
      <c r="I3772" t="inlineStr">
        <is>
          <t>credit_card</t>
        </is>
      </c>
      <c r="J3772" t="n">
        <v>7</v>
      </c>
      <c r="K3772" t="inlineStr">
        <is>
          <t>On Time</t>
        </is>
      </c>
      <c r="L3772" t="n">
        <v>5</v>
      </c>
      <c r="M3772">
        <f>VLOOKUP(D3772,State_Lookup!$A$2:$B$28,2,FALSE)</f>
        <v/>
      </c>
    </row>
    <row r="3773">
      <c r="A3773" t="inlineStr">
        <is>
          <t>4d458ae78b6be4d04c94a3e7372ca386</t>
        </is>
      </c>
      <c r="B3773" t="inlineStr">
        <is>
          <t>2018-05-03</t>
        </is>
      </c>
      <c r="C3773" t="inlineStr">
        <is>
          <t>2018-05</t>
        </is>
      </c>
      <c r="D3773" t="inlineStr">
        <is>
          <t>SP</t>
        </is>
      </c>
      <c r="E3773" t="inlineStr">
        <is>
          <t>garden_tools</t>
        </is>
      </c>
      <c r="F3773" t="n">
        <v>1</v>
      </c>
      <c r="G3773" t="n">
        <v>48.28</v>
      </c>
      <c r="H3773" t="n">
        <v>18.23</v>
      </c>
      <c r="I3773" t="inlineStr">
        <is>
          <t>boleto</t>
        </is>
      </c>
      <c r="J3773" t="n">
        <v>12</v>
      </c>
      <c r="K3773" t="inlineStr">
        <is>
          <t>On Time</t>
        </is>
      </c>
      <c r="L3773" t="n">
        <v>5</v>
      </c>
      <c r="M3773">
        <f>VLOOKUP(D3773,State_Lookup!$A$2:$B$28,2,FALSE)</f>
        <v/>
      </c>
    </row>
    <row r="3774">
      <c r="A3774" t="inlineStr">
        <is>
          <t>d2dece433559912b3b1d40ac3afc35cb</t>
        </is>
      </c>
      <c r="B3774" t="inlineStr">
        <is>
          <t>2018-05-03</t>
        </is>
      </c>
      <c r="C3774" t="inlineStr">
        <is>
          <t>2018-05</t>
        </is>
      </c>
      <c r="D3774" t="inlineStr">
        <is>
          <t>SP</t>
        </is>
      </c>
      <c r="E3774" t="inlineStr">
        <is>
          <t>bed_bath_table</t>
        </is>
      </c>
      <c r="F3774" t="n">
        <v>1</v>
      </c>
      <c r="G3774" t="n">
        <v>169.99</v>
      </c>
      <c r="H3774" t="n">
        <v>46.05</v>
      </c>
      <c r="I3774" t="inlineStr">
        <is>
          <t>credit_card</t>
        </is>
      </c>
      <c r="J3774" t="n">
        <v>6</v>
      </c>
      <c r="K3774" t="inlineStr">
        <is>
          <t>On Time</t>
        </is>
      </c>
      <c r="L3774" t="n">
        <v>5</v>
      </c>
      <c r="M3774">
        <f>VLOOKUP(D3774,State_Lookup!$A$2:$B$28,2,FALSE)</f>
        <v/>
      </c>
    </row>
    <row r="3775">
      <c r="A3775" t="inlineStr">
        <is>
          <t>45f609157f70cc8017bc5c1d617ef629</t>
        </is>
      </c>
      <c r="B3775" t="inlineStr">
        <is>
          <t>2018-05-04</t>
        </is>
      </c>
      <c r="C3775" t="inlineStr">
        <is>
          <t>2018-05</t>
        </is>
      </c>
      <c r="D3775" t="inlineStr">
        <is>
          <t>RS</t>
        </is>
      </c>
      <c r="E3775" t="inlineStr">
        <is>
          <t>stationery</t>
        </is>
      </c>
      <c r="F3775" t="n">
        <v>1</v>
      </c>
      <c r="G3775" t="n">
        <v>79</v>
      </c>
      <c r="H3775" t="n">
        <v>23.13</v>
      </c>
      <c r="I3775" t="inlineStr">
        <is>
          <t>credit_card</t>
        </is>
      </c>
      <c r="J3775" t="n">
        <v>4</v>
      </c>
      <c r="K3775" t="inlineStr">
        <is>
          <t>On Time</t>
        </is>
      </c>
      <c r="L3775" t="n">
        <v>5</v>
      </c>
      <c r="M3775">
        <f>VLOOKUP(D3775,State_Lookup!$A$2:$B$28,2,FALSE)</f>
        <v/>
      </c>
    </row>
    <row r="3776">
      <c r="A3776" t="inlineStr">
        <is>
          <t>df982d6b3644712f7d5070f053c8009a</t>
        </is>
      </c>
      <c r="B3776" t="inlineStr">
        <is>
          <t>2018-05-04</t>
        </is>
      </c>
      <c r="C3776" t="inlineStr">
        <is>
          <t>2018-05</t>
        </is>
      </c>
      <c r="D3776" t="inlineStr">
        <is>
          <t>RJ</t>
        </is>
      </c>
      <c r="E3776" t="inlineStr">
        <is>
          <t>health_beauty</t>
        </is>
      </c>
      <c r="F3776" t="n">
        <v>1</v>
      </c>
      <c r="G3776" t="n">
        <v>139.9</v>
      </c>
      <c r="H3776" t="n">
        <v>13.97</v>
      </c>
      <c r="I3776" t="inlineStr">
        <is>
          <t>credit_card</t>
        </is>
      </c>
      <c r="J3776" t="n">
        <v>4</v>
      </c>
      <c r="K3776" t="inlineStr">
        <is>
          <t>On Time</t>
        </is>
      </c>
      <c r="L3776" t="n">
        <v>4</v>
      </c>
      <c r="M3776">
        <f>VLOOKUP(D3776,State_Lookup!$A$2:$B$28,2,FALSE)</f>
        <v/>
      </c>
    </row>
    <row r="3777">
      <c r="A3777" t="inlineStr">
        <is>
          <t>1a7dcdf0c1f8c7b57dab8c7378c79cf9</t>
        </is>
      </c>
      <c r="B3777" t="inlineStr">
        <is>
          <t>2018-05-04</t>
        </is>
      </c>
      <c r="C3777" t="inlineStr">
        <is>
          <t>2018-05</t>
        </is>
      </c>
      <c r="D3777" t="inlineStr">
        <is>
          <t>MG</t>
        </is>
      </c>
      <c r="E3777" t="inlineStr">
        <is>
          <t>housewares</t>
        </is>
      </c>
      <c r="F3777" t="n">
        <v>1</v>
      </c>
      <c r="G3777" t="n">
        <v>74.59</v>
      </c>
      <c r="H3777" t="n">
        <v>11.62</v>
      </c>
      <c r="I3777" t="inlineStr">
        <is>
          <t>credit_card</t>
        </is>
      </c>
      <c r="J3777" t="n">
        <v>7</v>
      </c>
      <c r="K3777" t="inlineStr">
        <is>
          <t>On Time</t>
        </is>
      </c>
      <c r="L3777" t="n">
        <v>3</v>
      </c>
      <c r="M3777">
        <f>VLOOKUP(D3777,State_Lookup!$A$2:$B$28,2,FALSE)</f>
        <v/>
      </c>
    </row>
    <row r="3778">
      <c r="A3778" t="inlineStr">
        <is>
          <t>78a921fe4bd6b5ca34e29ea5749bce4f</t>
        </is>
      </c>
      <c r="B3778" t="inlineStr">
        <is>
          <t>2018-05-04</t>
        </is>
      </c>
      <c r="C3778" t="inlineStr">
        <is>
          <t>2018-05</t>
        </is>
      </c>
      <c r="D3778" t="inlineStr">
        <is>
          <t>RJ</t>
        </is>
      </c>
      <c r="E3778" t="inlineStr">
        <is>
          <t>sports_leisure</t>
        </is>
      </c>
      <c r="F3778" t="n">
        <v>1</v>
      </c>
      <c r="G3778" t="n">
        <v>69.90000000000001</v>
      </c>
      <c r="H3778" t="n">
        <v>18.6</v>
      </c>
      <c r="I3778" t="inlineStr">
        <is>
          <t>credit_card</t>
        </is>
      </c>
      <c r="J3778" t="n">
        <v>21</v>
      </c>
      <c r="K3778" t="inlineStr">
        <is>
          <t>On Time</t>
        </is>
      </c>
      <c r="L3778" t="n">
        <v>3</v>
      </c>
      <c r="M3778">
        <f>VLOOKUP(D3778,State_Lookup!$A$2:$B$28,2,FALSE)</f>
        <v/>
      </c>
    </row>
    <row r="3779">
      <c r="A3779" t="inlineStr">
        <is>
          <t>a178e5115c4f2f2b1f778cbf210e07cb</t>
        </is>
      </c>
      <c r="B3779" t="inlineStr">
        <is>
          <t>2018-05-04</t>
        </is>
      </c>
      <c r="C3779" t="inlineStr">
        <is>
          <t>2018-05</t>
        </is>
      </c>
      <c r="D3779" t="inlineStr">
        <is>
          <t>SP</t>
        </is>
      </c>
      <c r="E3779" t="inlineStr">
        <is>
          <t>bed_bath_table</t>
        </is>
      </c>
      <c r="F3779" t="n">
        <v>4</v>
      </c>
      <c r="G3779" t="n">
        <v>299.6</v>
      </c>
      <c r="H3779" t="n">
        <v>44.6</v>
      </c>
      <c r="I3779" t="inlineStr">
        <is>
          <t>credit_card</t>
        </is>
      </c>
      <c r="J3779" t="n">
        <v>6</v>
      </c>
      <c r="K3779" t="inlineStr">
        <is>
          <t>On Time</t>
        </is>
      </c>
      <c r="L3779" t="n">
        <v>2</v>
      </c>
      <c r="M3779">
        <f>VLOOKUP(D3779,State_Lookup!$A$2:$B$28,2,FALSE)</f>
        <v/>
      </c>
    </row>
    <row r="3780">
      <c r="A3780" t="inlineStr">
        <is>
          <t>6d1c806cf81ca71cdd31c2079e39190b</t>
        </is>
      </c>
      <c r="B3780" t="inlineStr">
        <is>
          <t>2018-05-04</t>
        </is>
      </c>
      <c r="C3780" t="inlineStr">
        <is>
          <t>2018-05</t>
        </is>
      </c>
      <c r="D3780" t="inlineStr">
        <is>
          <t>SP</t>
        </is>
      </c>
      <c r="E3780" t="inlineStr">
        <is>
          <t>fashion_bags_accessories</t>
        </is>
      </c>
      <c r="F3780" t="n">
        <v>1</v>
      </c>
      <c r="G3780" t="n">
        <v>49</v>
      </c>
      <c r="H3780" t="n">
        <v>7.39</v>
      </c>
      <c r="I3780" t="inlineStr">
        <is>
          <t>boleto</t>
        </is>
      </c>
      <c r="J3780" t="n">
        <v>5</v>
      </c>
      <c r="K3780" t="inlineStr">
        <is>
          <t>On Time</t>
        </is>
      </c>
      <c r="L3780" t="n">
        <v>1</v>
      </c>
      <c r="M3780">
        <f>VLOOKUP(D3780,State_Lookup!$A$2:$B$28,2,FALSE)</f>
        <v/>
      </c>
    </row>
    <row r="3781">
      <c r="A3781" t="inlineStr">
        <is>
          <t>f45b5f54393b15cb48be3cbac8dd536f</t>
        </is>
      </c>
      <c r="B3781" t="inlineStr">
        <is>
          <t>2018-05-04</t>
        </is>
      </c>
      <c r="C3781" t="inlineStr">
        <is>
          <t>2018-05</t>
        </is>
      </c>
      <c r="D3781" t="inlineStr">
        <is>
          <t>RJ</t>
        </is>
      </c>
      <c r="E3781" t="inlineStr">
        <is>
          <t>watches_gifts</t>
        </is>
      </c>
      <c r="F3781" t="n">
        <v>2</v>
      </c>
      <c r="G3781" t="n">
        <v>301</v>
      </c>
      <c r="H3781" t="n">
        <v>37.85</v>
      </c>
      <c r="I3781" t="inlineStr">
        <is>
          <t>credit_card</t>
        </is>
      </c>
      <c r="J3781" t="n">
        <v>17</v>
      </c>
      <c r="K3781" t="inlineStr">
        <is>
          <t>On Time</t>
        </is>
      </c>
      <c r="L3781" t="n">
        <v>1</v>
      </c>
      <c r="M3781">
        <f>VLOOKUP(D3781,State_Lookup!$A$2:$B$28,2,FALSE)</f>
        <v/>
      </c>
    </row>
    <row r="3782">
      <c r="A3782" t="inlineStr">
        <is>
          <t>b980d737d846b36f807b28e40796003a</t>
        </is>
      </c>
      <c r="B3782" t="inlineStr">
        <is>
          <t>2018-05-04</t>
        </is>
      </c>
      <c r="C3782" t="inlineStr">
        <is>
          <t>2018-05</t>
        </is>
      </c>
      <c r="D3782" t="inlineStr">
        <is>
          <t>SP</t>
        </is>
      </c>
      <c r="E3782" t="inlineStr">
        <is>
          <t>computers_accessories</t>
        </is>
      </c>
      <c r="F3782" t="n">
        <v>1</v>
      </c>
      <c r="G3782" t="n">
        <v>149.9</v>
      </c>
      <c r="H3782" t="n">
        <v>25.18</v>
      </c>
      <c r="I3782" t="inlineStr">
        <is>
          <t>credit_card</t>
        </is>
      </c>
      <c r="J3782" t="n">
        <v>9</v>
      </c>
      <c r="K3782" t="inlineStr">
        <is>
          <t>On Time</t>
        </is>
      </c>
      <c r="L3782" t="n">
        <v>5</v>
      </c>
      <c r="M3782">
        <f>VLOOKUP(D3782,State_Lookup!$A$2:$B$28,2,FALSE)</f>
        <v/>
      </c>
    </row>
    <row r="3783">
      <c r="A3783" t="inlineStr">
        <is>
          <t>6447ac90fec2245143232faee2c1728b</t>
        </is>
      </c>
      <c r="B3783" t="inlineStr">
        <is>
          <t>2018-05-04</t>
        </is>
      </c>
      <c r="C3783" t="inlineStr">
        <is>
          <t>2018-05</t>
        </is>
      </c>
      <c r="D3783" t="inlineStr">
        <is>
          <t>PR</t>
        </is>
      </c>
      <c r="E3783" t="inlineStr">
        <is>
          <t>cool_stuff</t>
        </is>
      </c>
      <c r="F3783" t="n">
        <v>1</v>
      </c>
      <c r="G3783" t="n">
        <v>199</v>
      </c>
      <c r="H3783" t="n">
        <v>23.14</v>
      </c>
      <c r="I3783" t="inlineStr">
        <is>
          <t>boleto</t>
        </is>
      </c>
      <c r="J3783" t="n">
        <v>6</v>
      </c>
      <c r="K3783" t="inlineStr">
        <is>
          <t>On Time</t>
        </is>
      </c>
      <c r="L3783" t="n">
        <v>5</v>
      </c>
      <c r="M3783">
        <f>VLOOKUP(D3783,State_Lookup!$A$2:$B$28,2,FALSE)</f>
        <v/>
      </c>
    </row>
    <row r="3784">
      <c r="A3784" t="inlineStr">
        <is>
          <t>b427e0ed8b6a3055c62312f135330e7e</t>
        </is>
      </c>
      <c r="B3784" t="inlineStr">
        <is>
          <t>2018-05-04</t>
        </is>
      </c>
      <c r="C3784" t="inlineStr">
        <is>
          <t>2018-05</t>
        </is>
      </c>
      <c r="D3784" t="inlineStr">
        <is>
          <t>SP</t>
        </is>
      </c>
      <c r="E3784" t="inlineStr">
        <is>
          <t>health_beauty</t>
        </is>
      </c>
      <c r="F3784" t="n">
        <v>4</v>
      </c>
      <c r="G3784" t="n">
        <v>441.28</v>
      </c>
      <c r="H3784" t="n">
        <v>31.84</v>
      </c>
      <c r="I3784" t="inlineStr">
        <is>
          <t>credit_card</t>
        </is>
      </c>
      <c r="J3784" t="n">
        <v>5</v>
      </c>
      <c r="K3784" t="inlineStr">
        <is>
          <t>On Time</t>
        </is>
      </c>
      <c r="L3784" t="n">
        <v>5</v>
      </c>
      <c r="M3784">
        <f>VLOOKUP(D3784,State_Lookup!$A$2:$B$28,2,FALSE)</f>
        <v/>
      </c>
    </row>
    <row r="3785">
      <c r="A3785" t="inlineStr">
        <is>
          <t>38aa75897750a332bf16c880772df768</t>
        </is>
      </c>
      <c r="B3785" t="inlineStr">
        <is>
          <t>2018-05-04</t>
        </is>
      </c>
      <c r="C3785" t="inlineStr">
        <is>
          <t>2018-05</t>
        </is>
      </c>
      <c r="D3785" t="inlineStr">
        <is>
          <t>SP</t>
        </is>
      </c>
      <c r="E3785" t="inlineStr">
        <is>
          <t>bed_bath_table</t>
        </is>
      </c>
      <c r="F3785" t="n">
        <v>1</v>
      </c>
      <c r="G3785" t="n">
        <v>109.9</v>
      </c>
      <c r="H3785" t="n">
        <v>11.86</v>
      </c>
      <c r="I3785" t="inlineStr">
        <is>
          <t>credit_card</t>
        </is>
      </c>
      <c r="J3785" t="n">
        <v>4</v>
      </c>
      <c r="K3785" t="inlineStr">
        <is>
          <t>On Time</t>
        </is>
      </c>
      <c r="L3785" t="n">
        <v>4</v>
      </c>
      <c r="M3785">
        <f>VLOOKUP(D3785,State_Lookup!$A$2:$B$28,2,FALSE)</f>
        <v/>
      </c>
    </row>
    <row r="3786">
      <c r="A3786" t="inlineStr">
        <is>
          <t>19f7c2937f28a1340a7a3c5c64a26123</t>
        </is>
      </c>
      <c r="B3786" t="inlineStr">
        <is>
          <t>2018-05-04</t>
        </is>
      </c>
      <c r="C3786" t="inlineStr">
        <is>
          <t>2018-05</t>
        </is>
      </c>
      <c r="D3786" t="inlineStr">
        <is>
          <t>RJ</t>
        </is>
      </c>
      <c r="E3786" t="inlineStr">
        <is>
          <t>watches_gifts</t>
        </is>
      </c>
      <c r="F3786" t="n">
        <v>1</v>
      </c>
      <c r="G3786" t="n">
        <v>118</v>
      </c>
      <c r="H3786" t="n">
        <v>18.71</v>
      </c>
      <c r="I3786" t="inlineStr">
        <is>
          <t>credit_card</t>
        </is>
      </c>
      <c r="J3786" t="n">
        <v>14</v>
      </c>
      <c r="K3786" t="inlineStr">
        <is>
          <t>On Time</t>
        </is>
      </c>
      <c r="L3786" t="n">
        <v>5</v>
      </c>
      <c r="M3786">
        <f>VLOOKUP(D3786,State_Lookup!$A$2:$B$28,2,FALSE)</f>
        <v/>
      </c>
    </row>
    <row r="3787">
      <c r="A3787" t="inlineStr">
        <is>
          <t>85f76b65f934f5fb1d96eba0d53f6639</t>
        </is>
      </c>
      <c r="B3787" t="inlineStr">
        <is>
          <t>2018-05-05</t>
        </is>
      </c>
      <c r="C3787" t="inlineStr">
        <is>
          <t>2018-05</t>
        </is>
      </c>
      <c r="D3787" t="inlineStr">
        <is>
          <t>SP</t>
        </is>
      </c>
      <c r="E3787" t="inlineStr">
        <is>
          <t>garden_tools</t>
        </is>
      </c>
      <c r="F3787" t="n">
        <v>1</v>
      </c>
      <c r="G3787" t="n">
        <v>53.9</v>
      </c>
      <c r="H3787" t="n">
        <v>10.13</v>
      </c>
      <c r="I3787" t="inlineStr">
        <is>
          <t>credit_card</t>
        </is>
      </c>
      <c r="J3787" t="n">
        <v>5</v>
      </c>
      <c r="K3787" t="inlineStr">
        <is>
          <t>On Time</t>
        </is>
      </c>
      <c r="L3787" t="n">
        <v>5</v>
      </c>
      <c r="M3787">
        <f>VLOOKUP(D3787,State_Lookup!$A$2:$B$28,2,FALSE)</f>
        <v/>
      </c>
    </row>
    <row r="3788">
      <c r="A3788" t="inlineStr">
        <is>
          <t>fc2f758d05227510a9f46e37a1e0095e</t>
        </is>
      </c>
      <c r="B3788" t="inlineStr">
        <is>
          <t>2018-05-05</t>
        </is>
      </c>
      <c r="C3788" t="inlineStr">
        <is>
          <t>2018-05</t>
        </is>
      </c>
      <c r="D3788" t="inlineStr">
        <is>
          <t>SP</t>
        </is>
      </c>
      <c r="E3788" t="inlineStr">
        <is>
          <t>kitchen_dining_laundry_garden_furniture</t>
        </is>
      </c>
      <c r="F3788" t="n">
        <v>1</v>
      </c>
      <c r="G3788" t="n">
        <v>449.9</v>
      </c>
      <c r="H3788" t="n">
        <v>85.47</v>
      </c>
      <c r="I3788" t="inlineStr">
        <is>
          <t>credit_card</t>
        </is>
      </c>
      <c r="J3788" t="n">
        <v>4</v>
      </c>
      <c r="K3788" t="inlineStr">
        <is>
          <t>On Time</t>
        </is>
      </c>
      <c r="L3788" t="n">
        <v>3</v>
      </c>
      <c r="M3788">
        <f>VLOOKUP(D3788,State_Lookup!$A$2:$B$28,2,FALSE)</f>
        <v/>
      </c>
    </row>
    <row r="3789">
      <c r="A3789" t="inlineStr">
        <is>
          <t>41b0453ab02025f52af28600854f3682</t>
        </is>
      </c>
      <c r="B3789" t="inlineStr">
        <is>
          <t>2018-05-05</t>
        </is>
      </c>
      <c r="C3789" t="inlineStr">
        <is>
          <t>2018-05</t>
        </is>
      </c>
      <c r="D3789" t="inlineStr">
        <is>
          <t>RS</t>
        </is>
      </c>
      <c r="E3789" t="inlineStr">
        <is>
          <t>housewares</t>
        </is>
      </c>
      <c r="F3789" t="n">
        <v>1</v>
      </c>
      <c r="G3789" t="n">
        <v>40.5</v>
      </c>
      <c r="H3789" t="n">
        <v>46.43</v>
      </c>
      <c r="I3789" t="inlineStr">
        <is>
          <t>credit_card</t>
        </is>
      </c>
      <c r="J3789" t="n">
        <v>6</v>
      </c>
      <c r="K3789" t="inlineStr">
        <is>
          <t>On Time</t>
        </is>
      </c>
      <c r="L3789" t="n">
        <v>4</v>
      </c>
      <c r="M3789">
        <f>VLOOKUP(D3789,State_Lookup!$A$2:$B$28,2,FALSE)</f>
        <v/>
      </c>
    </row>
    <row r="3790">
      <c r="A3790" t="inlineStr">
        <is>
          <t>84eb86f5f4ba017cd1644c27f6140424</t>
        </is>
      </c>
      <c r="B3790" t="inlineStr">
        <is>
          <t>2018-05-05</t>
        </is>
      </c>
      <c r="C3790" t="inlineStr">
        <is>
          <t>2018-05</t>
        </is>
      </c>
      <c r="D3790" t="inlineStr">
        <is>
          <t>CE</t>
        </is>
      </c>
      <c r="E3790" t="inlineStr">
        <is>
          <t>telephony</t>
        </is>
      </c>
      <c r="F3790" t="n">
        <v>1</v>
      </c>
      <c r="G3790" t="n">
        <v>29.99</v>
      </c>
      <c r="H3790" t="n">
        <v>19.04</v>
      </c>
      <c r="I3790" t="inlineStr">
        <is>
          <t>credit_card</t>
        </is>
      </c>
      <c r="J3790" t="n">
        <v>23</v>
      </c>
      <c r="K3790" t="inlineStr">
        <is>
          <t>On Time</t>
        </is>
      </c>
      <c r="L3790" t="n">
        <v>5</v>
      </c>
      <c r="M3790">
        <f>VLOOKUP(D3790,State_Lookup!$A$2:$B$28,2,FALSE)</f>
        <v/>
      </c>
    </row>
    <row r="3791">
      <c r="A3791" t="inlineStr">
        <is>
          <t>c87482c77931bd39e99e46dd2a7013d2</t>
        </is>
      </c>
      <c r="B3791" t="inlineStr">
        <is>
          <t>2018-05-05</t>
        </is>
      </c>
      <c r="C3791" t="inlineStr">
        <is>
          <t>2018-05</t>
        </is>
      </c>
      <c r="D3791" t="inlineStr">
        <is>
          <t>SP</t>
        </is>
      </c>
      <c r="E3791" t="inlineStr">
        <is>
          <t>furniture_decor</t>
        </is>
      </c>
      <c r="F3791" t="n">
        <v>3</v>
      </c>
      <c r="G3791" t="n">
        <v>130</v>
      </c>
      <c r="H3791" t="n">
        <v>37.17</v>
      </c>
      <c r="I3791" t="inlineStr">
        <is>
          <t>credit_card</t>
        </is>
      </c>
      <c r="J3791" t="n">
        <v>4</v>
      </c>
      <c r="K3791" t="inlineStr">
        <is>
          <t>On Time</t>
        </is>
      </c>
      <c r="L3791" t="n">
        <v>1</v>
      </c>
      <c r="M3791">
        <f>VLOOKUP(D3791,State_Lookup!$A$2:$B$28,2,FALSE)</f>
        <v/>
      </c>
    </row>
    <row r="3792">
      <c r="A3792" t="inlineStr">
        <is>
          <t>a9240539eed71e70690ea5a026f9f419</t>
        </is>
      </c>
      <c r="B3792" t="inlineStr">
        <is>
          <t>2018-05-05</t>
        </is>
      </c>
      <c r="C3792" t="inlineStr">
        <is>
          <t>2018-05</t>
        </is>
      </c>
      <c r="D3792" t="inlineStr">
        <is>
          <t>SP</t>
        </is>
      </c>
      <c r="E3792" t="inlineStr">
        <is>
          <t>auto</t>
        </is>
      </c>
      <c r="F3792" t="n">
        <v>1</v>
      </c>
      <c r="G3792" t="n">
        <v>23</v>
      </c>
      <c r="H3792" t="n">
        <v>12.79</v>
      </c>
      <c r="I3792" t="inlineStr">
        <is>
          <t>credit_card</t>
        </is>
      </c>
      <c r="J3792" t="n">
        <v>6</v>
      </c>
      <c r="K3792" t="inlineStr">
        <is>
          <t>On Time</t>
        </is>
      </c>
      <c r="L3792" t="n">
        <v>5</v>
      </c>
      <c r="M3792">
        <f>VLOOKUP(D3792,State_Lookup!$A$2:$B$28,2,FALSE)</f>
        <v/>
      </c>
    </row>
    <row r="3793">
      <c r="A3793" t="inlineStr">
        <is>
          <t>708e29e2e9ba7ec969db5cf4cf84e9fd</t>
        </is>
      </c>
      <c r="B3793" t="inlineStr">
        <is>
          <t>2018-05-05</t>
        </is>
      </c>
      <c r="C3793" t="inlineStr">
        <is>
          <t>2018-05</t>
        </is>
      </c>
      <c r="D3793" t="inlineStr">
        <is>
          <t>RJ</t>
        </is>
      </c>
      <c r="E3793" t="inlineStr">
        <is>
          <t>furniture_decor</t>
        </is>
      </c>
      <c r="F3793" t="n">
        <v>1</v>
      </c>
      <c r="G3793" t="n">
        <v>65.90000000000001</v>
      </c>
      <c r="H3793" t="n">
        <v>15.34</v>
      </c>
      <c r="I3793" t="inlineStr">
        <is>
          <t>boleto</t>
        </is>
      </c>
      <c r="J3793" t="n">
        <v>9</v>
      </c>
      <c r="K3793" t="inlineStr">
        <is>
          <t>On Time</t>
        </is>
      </c>
      <c r="L3793" t="n">
        <v>5</v>
      </c>
      <c r="M3793">
        <f>VLOOKUP(D3793,State_Lookup!$A$2:$B$28,2,FALSE)</f>
        <v/>
      </c>
    </row>
    <row r="3794">
      <c r="A3794" t="inlineStr">
        <is>
          <t>2b83ae3a3dbd7388b86f75c4e41eba63</t>
        </is>
      </c>
      <c r="B3794" t="inlineStr">
        <is>
          <t>2018-05-06</t>
        </is>
      </c>
      <c r="C3794" t="inlineStr">
        <is>
          <t>2018-05</t>
        </is>
      </c>
      <c r="D3794" t="inlineStr">
        <is>
          <t>SP</t>
        </is>
      </c>
      <c r="E3794" t="inlineStr">
        <is>
          <t>bed_bath_table</t>
        </is>
      </c>
      <c r="F3794" t="n">
        <v>1</v>
      </c>
      <c r="G3794" t="n">
        <v>164.9</v>
      </c>
      <c r="H3794" t="n">
        <v>13.63</v>
      </c>
      <c r="I3794" t="inlineStr">
        <is>
          <t>credit_card</t>
        </is>
      </c>
      <c r="J3794" t="n">
        <v>4</v>
      </c>
      <c r="K3794" t="inlineStr">
        <is>
          <t>On Time</t>
        </is>
      </c>
      <c r="L3794" t="n">
        <v>3</v>
      </c>
      <c r="M3794">
        <f>VLOOKUP(D3794,State_Lookup!$A$2:$B$28,2,FALSE)</f>
        <v/>
      </c>
    </row>
    <row r="3795">
      <c r="A3795" t="inlineStr">
        <is>
          <t>43e1cbf9959b24b39acb40a44ff3655b</t>
        </is>
      </c>
      <c r="B3795" t="inlineStr">
        <is>
          <t>2018-05-06</t>
        </is>
      </c>
      <c r="C3795" t="inlineStr">
        <is>
          <t>2018-05</t>
        </is>
      </c>
      <c r="D3795" t="inlineStr">
        <is>
          <t>RJ</t>
        </is>
      </c>
      <c r="E3795" t="inlineStr">
        <is>
          <t>health_beauty</t>
        </is>
      </c>
      <c r="F3795" t="n">
        <v>1</v>
      </c>
      <c r="G3795" t="n">
        <v>69.90000000000001</v>
      </c>
      <c r="H3795" t="n">
        <v>8.82</v>
      </c>
      <c r="I3795" t="inlineStr">
        <is>
          <t>credit_card</t>
        </is>
      </c>
      <c r="J3795" t="n">
        <v>2</v>
      </c>
      <c r="K3795" t="inlineStr">
        <is>
          <t>On Time</t>
        </is>
      </c>
      <c r="L3795" t="n">
        <v>5</v>
      </c>
      <c r="M3795">
        <f>VLOOKUP(D3795,State_Lookup!$A$2:$B$28,2,FALSE)</f>
        <v/>
      </c>
    </row>
    <row r="3796">
      <c r="A3796" t="inlineStr">
        <is>
          <t>0e3586e663acb9adff4f778c7d174890</t>
        </is>
      </c>
      <c r="B3796" t="inlineStr">
        <is>
          <t>2018-05-06</t>
        </is>
      </c>
      <c r="C3796" t="inlineStr">
        <is>
          <t>2018-05</t>
        </is>
      </c>
      <c r="D3796" t="inlineStr">
        <is>
          <t>RJ</t>
        </is>
      </c>
      <c r="E3796" t="inlineStr">
        <is>
          <t>cool_stuff</t>
        </is>
      </c>
      <c r="F3796" t="n">
        <v>1</v>
      </c>
      <c r="G3796" t="n">
        <v>131.99</v>
      </c>
      <c r="H3796" t="n">
        <v>11.82</v>
      </c>
      <c r="I3796" t="inlineStr">
        <is>
          <t>credit_card</t>
        </is>
      </c>
      <c r="J3796" t="n">
        <v>8</v>
      </c>
      <c r="K3796" t="inlineStr">
        <is>
          <t>On Time</t>
        </is>
      </c>
      <c r="L3796" t="n">
        <v>2</v>
      </c>
      <c r="M3796">
        <f>VLOOKUP(D3796,State_Lookup!$A$2:$B$28,2,FALSE)</f>
        <v/>
      </c>
    </row>
    <row r="3797">
      <c r="A3797" t="inlineStr">
        <is>
          <t>aa2cd8b186c94011da9d0f80785a3f20</t>
        </is>
      </c>
      <c r="B3797" t="inlineStr">
        <is>
          <t>2018-05-06</t>
        </is>
      </c>
      <c r="C3797" t="inlineStr">
        <is>
          <t>2018-05</t>
        </is>
      </c>
      <c r="D3797" t="inlineStr">
        <is>
          <t>SP</t>
        </is>
      </c>
      <c r="E3797" t="inlineStr">
        <is>
          <t>housewares</t>
        </is>
      </c>
      <c r="F3797" t="n">
        <v>1</v>
      </c>
      <c r="G3797" t="n">
        <v>53.9</v>
      </c>
      <c r="H3797" t="n">
        <v>12.43</v>
      </c>
      <c r="I3797" t="inlineStr">
        <is>
          <t>boleto</t>
        </is>
      </c>
      <c r="J3797" t="n">
        <v>2</v>
      </c>
      <c r="K3797" t="inlineStr">
        <is>
          <t>On Time</t>
        </is>
      </c>
      <c r="L3797" t="n">
        <v>5</v>
      </c>
      <c r="M3797">
        <f>VLOOKUP(D3797,State_Lookup!$A$2:$B$28,2,FALSE)</f>
        <v/>
      </c>
    </row>
    <row r="3798">
      <c r="A3798" t="inlineStr">
        <is>
          <t>91375775b1203d41f95ade228721b3a5</t>
        </is>
      </c>
      <c r="B3798" t="inlineStr">
        <is>
          <t>2018-05-06</t>
        </is>
      </c>
      <c r="C3798" t="inlineStr">
        <is>
          <t>2018-05</t>
        </is>
      </c>
      <c r="D3798" t="inlineStr">
        <is>
          <t>DF</t>
        </is>
      </c>
      <c r="E3798" t="inlineStr">
        <is>
          <t>luggage_accessories</t>
        </is>
      </c>
      <c r="F3798" t="n">
        <v>1</v>
      </c>
      <c r="G3798" t="n">
        <v>54.54</v>
      </c>
      <c r="H3798" t="n">
        <v>22.96</v>
      </c>
      <c r="I3798" t="inlineStr">
        <is>
          <t>credit_card</t>
        </is>
      </c>
      <c r="J3798" t="n">
        <v>8</v>
      </c>
      <c r="K3798" t="inlineStr">
        <is>
          <t>On Time</t>
        </is>
      </c>
      <c r="L3798" t="n">
        <v>5</v>
      </c>
      <c r="M3798">
        <f>VLOOKUP(D3798,State_Lookup!$A$2:$B$28,2,FALSE)</f>
        <v/>
      </c>
    </row>
    <row r="3799">
      <c r="A3799" t="inlineStr">
        <is>
          <t>b31ee936a88cbd1d2c24a2e61db2c18c</t>
        </is>
      </c>
      <c r="B3799" t="inlineStr">
        <is>
          <t>2018-05-06</t>
        </is>
      </c>
      <c r="C3799" t="inlineStr">
        <is>
          <t>2018-05</t>
        </is>
      </c>
      <c r="D3799" t="inlineStr">
        <is>
          <t>PR</t>
        </is>
      </c>
      <c r="E3799" t="inlineStr">
        <is>
          <t>baby</t>
        </is>
      </c>
      <c r="F3799" t="n">
        <v>1</v>
      </c>
      <c r="G3799" t="n">
        <v>51.45</v>
      </c>
      <c r="H3799" t="n">
        <v>18.24</v>
      </c>
      <c r="I3799" t="inlineStr">
        <is>
          <t>credit_card</t>
        </is>
      </c>
      <c r="J3799" t="n">
        <v>8</v>
      </c>
      <c r="K3799" t="inlineStr">
        <is>
          <t>On Time</t>
        </is>
      </c>
      <c r="L3799" t="n">
        <v>3</v>
      </c>
      <c r="M3799">
        <f>VLOOKUP(D3799,State_Lookup!$A$2:$B$28,2,FALSE)</f>
        <v/>
      </c>
    </row>
    <row r="3800">
      <c r="A3800" t="inlineStr">
        <is>
          <t>85958e05a9ae7ade12cafdbbdc882de3</t>
        </is>
      </c>
      <c r="B3800" t="inlineStr">
        <is>
          <t>2018-05-06</t>
        </is>
      </c>
      <c r="C3800" t="inlineStr">
        <is>
          <t>2018-05</t>
        </is>
      </c>
      <c r="D3800" t="inlineStr">
        <is>
          <t>SP</t>
        </is>
      </c>
      <c r="E3800" t="inlineStr">
        <is>
          <t>auto</t>
        </is>
      </c>
      <c r="F3800" t="n">
        <v>1</v>
      </c>
      <c r="G3800" t="n">
        <v>58.9</v>
      </c>
      <c r="H3800" t="n">
        <v>14.5</v>
      </c>
      <c r="I3800" t="inlineStr">
        <is>
          <t>credit_card</t>
        </is>
      </c>
      <c r="J3800" t="n">
        <v>5</v>
      </c>
      <c r="K3800" t="inlineStr">
        <is>
          <t>On Time</t>
        </is>
      </c>
      <c r="L3800" t="n">
        <v>5</v>
      </c>
      <c r="M3800">
        <f>VLOOKUP(D3800,State_Lookup!$A$2:$B$28,2,FALSE)</f>
        <v/>
      </c>
    </row>
    <row r="3801">
      <c r="A3801" t="inlineStr">
        <is>
          <t>e5d30ef739b1ed6f89f11ff5fd9e285a</t>
        </is>
      </c>
      <c r="B3801" t="inlineStr">
        <is>
          <t>2018-05-06</t>
        </is>
      </c>
      <c r="C3801" t="inlineStr">
        <is>
          <t>2018-05</t>
        </is>
      </c>
      <c r="D3801" t="inlineStr">
        <is>
          <t>RJ</t>
        </is>
      </c>
      <c r="E3801" t="inlineStr">
        <is>
          <t>health_beauty</t>
        </is>
      </c>
      <c r="F3801" t="n">
        <v>1</v>
      </c>
      <c r="G3801" t="n">
        <v>76.98999999999999</v>
      </c>
      <c r="H3801" t="n">
        <v>16.51</v>
      </c>
      <c r="I3801" t="inlineStr">
        <is>
          <t>credit_card</t>
        </is>
      </c>
      <c r="J3801" t="n">
        <v>12</v>
      </c>
      <c r="K3801" t="inlineStr">
        <is>
          <t>On Time</t>
        </is>
      </c>
      <c r="L3801" t="n">
        <v>4</v>
      </c>
      <c r="M3801">
        <f>VLOOKUP(D3801,State_Lookup!$A$2:$B$28,2,FALSE)</f>
        <v/>
      </c>
    </row>
    <row r="3802">
      <c r="A3802" t="inlineStr">
        <is>
          <t>91470888d3c2a943e6ca5533ac6d86c1</t>
        </is>
      </c>
      <c r="B3802" t="inlineStr">
        <is>
          <t>2018-05-06</t>
        </is>
      </c>
      <c r="C3802" t="inlineStr">
        <is>
          <t>2018-05</t>
        </is>
      </c>
      <c r="D3802" t="inlineStr">
        <is>
          <t>SC</t>
        </is>
      </c>
      <c r="E3802" t="inlineStr">
        <is>
          <t>christmas_supplies</t>
        </is>
      </c>
      <c r="F3802" t="n">
        <v>1</v>
      </c>
      <c r="G3802" t="n">
        <v>79.90000000000001</v>
      </c>
      <c r="H3802" t="n">
        <v>35.69</v>
      </c>
      <c r="I3802" t="inlineStr">
        <is>
          <t>credit_card</t>
        </is>
      </c>
      <c r="J3802" t="n">
        <v>9</v>
      </c>
      <c r="K3802" t="inlineStr">
        <is>
          <t>On Time</t>
        </is>
      </c>
      <c r="L3802" t="n">
        <v>5</v>
      </c>
      <c r="M3802">
        <f>VLOOKUP(D3802,State_Lookup!$A$2:$B$28,2,FALSE)</f>
        <v/>
      </c>
    </row>
    <row r="3803">
      <c r="A3803" t="inlineStr">
        <is>
          <t>12bac66f44df6a103bb5b982c45f5617</t>
        </is>
      </c>
      <c r="B3803" t="inlineStr">
        <is>
          <t>2018-05-06</t>
        </is>
      </c>
      <c r="C3803" t="inlineStr">
        <is>
          <t>2018-05</t>
        </is>
      </c>
      <c r="D3803" t="inlineStr">
        <is>
          <t>SP</t>
        </is>
      </c>
      <c r="E3803" t="inlineStr">
        <is>
          <t>books_general_interest</t>
        </is>
      </c>
      <c r="F3803" t="n">
        <v>1</v>
      </c>
      <c r="G3803" t="n">
        <v>8.9</v>
      </c>
      <c r="H3803" t="n">
        <v>7.87</v>
      </c>
      <c r="I3803" t="inlineStr">
        <is>
          <t>credit_card</t>
        </is>
      </c>
      <c r="J3803" t="n">
        <v>5</v>
      </c>
      <c r="K3803" t="inlineStr">
        <is>
          <t>On Time</t>
        </is>
      </c>
      <c r="L3803" t="n">
        <v>5</v>
      </c>
      <c r="M3803">
        <f>VLOOKUP(D3803,State_Lookup!$A$2:$B$28,2,FALSE)</f>
        <v/>
      </c>
    </row>
    <row r="3804">
      <c r="A3804" t="inlineStr">
        <is>
          <t>3caf494d4c5d2bd8d542138e316ad680</t>
        </is>
      </c>
      <c r="B3804" t="inlineStr">
        <is>
          <t>2018-05-07</t>
        </is>
      </c>
      <c r="C3804" t="inlineStr">
        <is>
          <t>2018-05</t>
        </is>
      </c>
      <c r="D3804" t="inlineStr">
        <is>
          <t>MG</t>
        </is>
      </c>
      <c r="E3804" t="inlineStr">
        <is>
          <t>baby</t>
        </is>
      </c>
      <c r="F3804" t="n">
        <v>2</v>
      </c>
      <c r="G3804" t="n">
        <v>421.99</v>
      </c>
      <c r="H3804" t="n">
        <v>36.39</v>
      </c>
      <c r="I3804" t="inlineStr">
        <is>
          <t>credit_card</t>
        </is>
      </c>
      <c r="J3804" t="n">
        <v>3</v>
      </c>
      <c r="K3804" t="inlineStr">
        <is>
          <t>On Time</t>
        </is>
      </c>
      <c r="L3804" t="n">
        <v>1</v>
      </c>
      <c r="M3804">
        <f>VLOOKUP(D3804,State_Lookup!$A$2:$B$28,2,FALSE)</f>
        <v/>
      </c>
    </row>
    <row r="3805">
      <c r="A3805" t="inlineStr">
        <is>
          <t>64c3463da17e1c9262d302b03a81fb0b</t>
        </is>
      </c>
      <c r="B3805" t="inlineStr">
        <is>
          <t>2018-05-07</t>
        </is>
      </c>
      <c r="C3805" t="inlineStr">
        <is>
          <t>2018-05</t>
        </is>
      </c>
      <c r="D3805" t="inlineStr">
        <is>
          <t>SP</t>
        </is>
      </c>
      <c r="E3805" t="inlineStr">
        <is>
          <t>computers_accessories</t>
        </is>
      </c>
      <c r="F3805" t="n">
        <v>1</v>
      </c>
      <c r="G3805" t="n">
        <v>14.99</v>
      </c>
      <c r="H3805" t="n">
        <v>7.39</v>
      </c>
      <c r="I3805" t="inlineStr">
        <is>
          <t>credit_card</t>
        </is>
      </c>
      <c r="J3805" t="n">
        <v>1</v>
      </c>
      <c r="K3805" t="inlineStr">
        <is>
          <t>On Time</t>
        </is>
      </c>
      <c r="L3805" t="n">
        <v>3</v>
      </c>
      <c r="M3805">
        <f>VLOOKUP(D3805,State_Lookup!$A$2:$B$28,2,FALSE)</f>
        <v/>
      </c>
    </row>
    <row r="3806">
      <c r="A3806" t="inlineStr">
        <is>
          <t>3dac54c0a4aff807cad8f1a56fc8e745</t>
        </is>
      </c>
      <c r="B3806" t="inlineStr">
        <is>
          <t>2018-05-07</t>
        </is>
      </c>
      <c r="C3806" t="inlineStr">
        <is>
          <t>2018-05</t>
        </is>
      </c>
      <c r="D3806" t="inlineStr">
        <is>
          <t>SP</t>
        </is>
      </c>
      <c r="E3806" t="inlineStr">
        <is>
          <t>health_beauty</t>
        </is>
      </c>
      <c r="F3806" t="n">
        <v>1</v>
      </c>
      <c r="G3806" t="n">
        <v>64.98999999999999</v>
      </c>
      <c r="H3806" t="n">
        <v>27.51</v>
      </c>
      <c r="I3806" t="inlineStr">
        <is>
          <t>credit_card</t>
        </is>
      </c>
      <c r="J3806" t="n">
        <v>16</v>
      </c>
      <c r="K3806" t="inlineStr">
        <is>
          <t>On Time</t>
        </is>
      </c>
      <c r="L3806" t="n">
        <v>5</v>
      </c>
      <c r="M3806">
        <f>VLOOKUP(D3806,State_Lookup!$A$2:$B$28,2,FALSE)</f>
        <v/>
      </c>
    </row>
    <row r="3807">
      <c r="A3807" t="inlineStr">
        <is>
          <t>6b11abc0295e397afb43aecade82621a</t>
        </is>
      </c>
      <c r="B3807" t="inlineStr">
        <is>
          <t>2018-05-07</t>
        </is>
      </c>
      <c r="C3807" t="inlineStr">
        <is>
          <t>2018-05</t>
        </is>
      </c>
      <c r="D3807" t="inlineStr">
        <is>
          <t>SP</t>
        </is>
      </c>
      <c r="E3807" t="inlineStr">
        <is>
          <t>furniture_bedroom</t>
        </is>
      </c>
      <c r="F3807" t="n">
        <v>1</v>
      </c>
      <c r="G3807" t="n">
        <v>169</v>
      </c>
      <c r="H3807" t="n">
        <v>48.04</v>
      </c>
      <c r="I3807" t="inlineStr">
        <is>
          <t>boleto</t>
        </is>
      </c>
      <c r="J3807" t="n">
        <v>10</v>
      </c>
      <c r="K3807" t="inlineStr">
        <is>
          <t>On Time</t>
        </is>
      </c>
      <c r="L3807" t="n">
        <v>5</v>
      </c>
      <c r="M3807">
        <f>VLOOKUP(D3807,State_Lookup!$A$2:$B$28,2,FALSE)</f>
        <v/>
      </c>
    </row>
    <row r="3808">
      <c r="A3808" t="inlineStr">
        <is>
          <t>53279ed2a831a63b7a6ebb56a9097cd0</t>
        </is>
      </c>
      <c r="B3808" t="inlineStr">
        <is>
          <t>2018-05-07</t>
        </is>
      </c>
      <c r="C3808" t="inlineStr">
        <is>
          <t>2018-05</t>
        </is>
      </c>
      <c r="D3808" t="inlineStr">
        <is>
          <t>SP</t>
        </is>
      </c>
      <c r="E3808" t="inlineStr">
        <is>
          <t>consoles_games</t>
        </is>
      </c>
      <c r="F3808" t="n">
        <v>1</v>
      </c>
      <c r="G3808" t="n">
        <v>79</v>
      </c>
      <c r="H3808" t="n">
        <v>18.43</v>
      </c>
      <c r="I3808" t="inlineStr">
        <is>
          <t>credit_card</t>
        </is>
      </c>
      <c r="J3808" t="n">
        <v>4</v>
      </c>
      <c r="K3808" t="inlineStr">
        <is>
          <t>On Time</t>
        </is>
      </c>
      <c r="L3808" t="n">
        <v>5</v>
      </c>
      <c r="M3808">
        <f>VLOOKUP(D3808,State_Lookup!$A$2:$B$28,2,FALSE)</f>
        <v/>
      </c>
    </row>
    <row r="3809">
      <c r="A3809" t="inlineStr">
        <is>
          <t>4529e58edfd8d45fdef9eaa1d6efdc64</t>
        </is>
      </c>
      <c r="B3809" t="inlineStr">
        <is>
          <t>2018-05-07</t>
        </is>
      </c>
      <c r="C3809" t="inlineStr">
        <is>
          <t>2018-05</t>
        </is>
      </c>
      <c r="D3809" t="inlineStr">
        <is>
          <t>SP</t>
        </is>
      </c>
      <c r="E3809" t="inlineStr">
        <is>
          <t>computers_accessories</t>
        </is>
      </c>
      <c r="F3809" t="n">
        <v>1</v>
      </c>
      <c r="G3809" t="n">
        <v>24.98</v>
      </c>
      <c r="H3809" t="n">
        <v>7.39</v>
      </c>
      <c r="I3809" t="inlineStr">
        <is>
          <t>credit_card</t>
        </is>
      </c>
      <c r="J3809" t="n">
        <v>1</v>
      </c>
      <c r="K3809" t="inlineStr">
        <is>
          <t>On Time</t>
        </is>
      </c>
      <c r="L3809" t="n">
        <v>5</v>
      </c>
      <c r="M3809">
        <f>VLOOKUP(D3809,State_Lookup!$A$2:$B$28,2,FALSE)</f>
        <v/>
      </c>
    </row>
    <row r="3810">
      <c r="A3810" t="inlineStr">
        <is>
          <t>14feb2791a33105fe2092f7ac34e3200</t>
        </is>
      </c>
      <c r="B3810" t="inlineStr">
        <is>
          <t>2018-05-07</t>
        </is>
      </c>
      <c r="C3810" t="inlineStr">
        <is>
          <t>2018-05</t>
        </is>
      </c>
      <c r="D3810" t="inlineStr">
        <is>
          <t>SP</t>
        </is>
      </c>
      <c r="E3810" t="inlineStr">
        <is>
          <t>bed_bath_table</t>
        </is>
      </c>
      <c r="F3810" t="n">
        <v>1</v>
      </c>
      <c r="G3810" t="n">
        <v>79.98999999999999</v>
      </c>
      <c r="H3810" t="n">
        <v>13.92</v>
      </c>
      <c r="I3810" t="inlineStr">
        <is>
          <t>credit_card</t>
        </is>
      </c>
      <c r="J3810" t="n">
        <v>8</v>
      </c>
      <c r="K3810" t="inlineStr">
        <is>
          <t>On Time</t>
        </is>
      </c>
      <c r="L3810" t="n">
        <v>5</v>
      </c>
      <c r="M3810">
        <f>VLOOKUP(D3810,State_Lookup!$A$2:$B$28,2,FALSE)</f>
        <v/>
      </c>
    </row>
    <row r="3811">
      <c r="A3811" t="inlineStr">
        <is>
          <t>a11cb431739ce0d512e8a8e96654722f</t>
        </is>
      </c>
      <c r="B3811" t="inlineStr">
        <is>
          <t>2018-05-07</t>
        </is>
      </c>
      <c r="C3811" t="inlineStr">
        <is>
          <t>2018-05</t>
        </is>
      </c>
      <c r="D3811" t="inlineStr">
        <is>
          <t>SP</t>
        </is>
      </c>
      <c r="E3811" t="inlineStr">
        <is>
          <t>furniture_decor</t>
        </is>
      </c>
      <c r="F3811" t="n">
        <v>1</v>
      </c>
      <c r="G3811" t="n">
        <v>44.99</v>
      </c>
      <c r="H3811" t="n">
        <v>8.82</v>
      </c>
      <c r="I3811" t="inlineStr">
        <is>
          <t>credit_card</t>
        </is>
      </c>
      <c r="J3811" t="n">
        <v>7</v>
      </c>
      <c r="K3811" t="inlineStr">
        <is>
          <t>On Time</t>
        </is>
      </c>
      <c r="L3811" t="n">
        <v>1</v>
      </c>
      <c r="M3811">
        <f>VLOOKUP(D3811,State_Lookup!$A$2:$B$28,2,FALSE)</f>
        <v/>
      </c>
    </row>
    <row r="3812">
      <c r="A3812" t="inlineStr">
        <is>
          <t>afd40c7db09c18759908ed9d6c66fa2a</t>
        </is>
      </c>
      <c r="B3812" t="inlineStr">
        <is>
          <t>2018-05-07</t>
        </is>
      </c>
      <c r="C3812" t="inlineStr">
        <is>
          <t>2018-05</t>
        </is>
      </c>
      <c r="D3812" t="inlineStr">
        <is>
          <t>PR</t>
        </is>
      </c>
      <c r="E3812" t="inlineStr">
        <is>
          <t>sports_leisure</t>
        </is>
      </c>
      <c r="F3812" t="n">
        <v>1</v>
      </c>
      <c r="G3812" t="n">
        <v>63.8</v>
      </c>
      <c r="H3812" t="n">
        <v>13.57</v>
      </c>
      <c r="I3812" t="inlineStr">
        <is>
          <t>credit_card</t>
        </is>
      </c>
      <c r="J3812" t="n">
        <v>7</v>
      </c>
      <c r="K3812" t="inlineStr">
        <is>
          <t>On Time</t>
        </is>
      </c>
      <c r="L3812" t="n">
        <v>3</v>
      </c>
      <c r="M3812">
        <f>VLOOKUP(D3812,State_Lookup!$A$2:$B$28,2,FALSE)</f>
        <v/>
      </c>
    </row>
    <row r="3813">
      <c r="A3813" t="inlineStr">
        <is>
          <t>0ff95576cbc4bec34c722c80b81a25fd</t>
        </is>
      </c>
      <c r="B3813" t="inlineStr">
        <is>
          <t>2018-05-07</t>
        </is>
      </c>
      <c r="C3813" t="inlineStr">
        <is>
          <t>2018-05</t>
        </is>
      </c>
      <c r="D3813" t="inlineStr">
        <is>
          <t>MG</t>
        </is>
      </c>
      <c r="E3813" t="inlineStr">
        <is>
          <t>telephony</t>
        </is>
      </c>
      <c r="F3813" t="n">
        <v>1</v>
      </c>
      <c r="G3813" t="n">
        <v>49.99</v>
      </c>
      <c r="H3813" t="n">
        <v>15.23</v>
      </c>
      <c r="I3813" t="inlineStr">
        <is>
          <t>credit_card</t>
        </is>
      </c>
      <c r="J3813" t="n">
        <v>8</v>
      </c>
      <c r="K3813" t="inlineStr">
        <is>
          <t>On Time</t>
        </is>
      </c>
      <c r="L3813" t="n">
        <v>5</v>
      </c>
      <c r="M3813">
        <f>VLOOKUP(D3813,State_Lookup!$A$2:$B$28,2,FALSE)</f>
        <v/>
      </c>
    </row>
    <row r="3814">
      <c r="A3814" t="inlineStr">
        <is>
          <t>6398f5a8f74b7a09697d4417628dd212</t>
        </is>
      </c>
      <c r="B3814" t="inlineStr">
        <is>
          <t>2018-05-07</t>
        </is>
      </c>
      <c r="C3814" t="inlineStr">
        <is>
          <t>2018-05</t>
        </is>
      </c>
      <c r="D3814" t="inlineStr">
        <is>
          <t>MG</t>
        </is>
      </c>
      <c r="E3814" t="inlineStr">
        <is>
          <t>construction_tools_construction</t>
        </is>
      </c>
      <c r="F3814" t="n">
        <v>1</v>
      </c>
      <c r="G3814" t="n">
        <v>21.69</v>
      </c>
      <c r="H3814" t="n">
        <v>18.23</v>
      </c>
      <c r="I3814" t="inlineStr">
        <is>
          <t>credit_card</t>
        </is>
      </c>
      <c r="J3814" t="n">
        <v>9</v>
      </c>
      <c r="K3814" t="inlineStr">
        <is>
          <t>On Time</t>
        </is>
      </c>
      <c r="L3814" t="n">
        <v>4</v>
      </c>
      <c r="M3814">
        <f>VLOOKUP(D3814,State_Lookup!$A$2:$B$28,2,FALSE)</f>
        <v/>
      </c>
    </row>
    <row r="3815">
      <c r="A3815" t="inlineStr">
        <is>
          <t>0aecc6c0c2b3598d9cd3119e0a58dc1b</t>
        </is>
      </c>
      <c r="B3815" t="inlineStr">
        <is>
          <t>2018-05-07</t>
        </is>
      </c>
      <c r="C3815" t="inlineStr">
        <is>
          <t>2018-05</t>
        </is>
      </c>
      <c r="D3815" t="inlineStr">
        <is>
          <t>RJ</t>
        </is>
      </c>
      <c r="E3815" t="inlineStr">
        <is>
          <t>sports_leisure</t>
        </is>
      </c>
      <c r="F3815" t="n">
        <v>1</v>
      </c>
      <c r="G3815" t="n">
        <v>149.9</v>
      </c>
      <c r="H3815" t="n">
        <v>46.34</v>
      </c>
      <c r="I3815" t="inlineStr">
        <is>
          <t>credit_card</t>
        </is>
      </c>
      <c r="J3815" t="n">
        <v>7</v>
      </c>
      <c r="K3815" t="inlineStr">
        <is>
          <t>On Time</t>
        </is>
      </c>
      <c r="L3815" t="n">
        <v>5</v>
      </c>
      <c r="M3815">
        <f>VLOOKUP(D3815,State_Lookup!$A$2:$B$28,2,FALSE)</f>
        <v/>
      </c>
    </row>
    <row r="3816">
      <c r="A3816" t="inlineStr">
        <is>
          <t>a333d6edad2cf5efe368d9a457c27fe7</t>
        </is>
      </c>
      <c r="B3816" t="inlineStr">
        <is>
          <t>2018-05-07</t>
        </is>
      </c>
      <c r="C3816" t="inlineStr">
        <is>
          <t>2018-05</t>
        </is>
      </c>
      <c r="D3816" t="inlineStr">
        <is>
          <t>SP</t>
        </is>
      </c>
      <c r="E3816" t="inlineStr">
        <is>
          <t>watches_gifts</t>
        </is>
      </c>
      <c r="F3816" t="n">
        <v>1</v>
      </c>
      <c r="G3816" t="n">
        <v>187</v>
      </c>
      <c r="H3816" t="n">
        <v>13.75</v>
      </c>
      <c r="I3816" t="inlineStr">
        <is>
          <t>credit_card</t>
        </is>
      </c>
      <c r="J3816" t="n">
        <v>4</v>
      </c>
      <c r="K3816" t="inlineStr">
        <is>
          <t>On Time</t>
        </is>
      </c>
      <c r="L3816" t="n">
        <v>5</v>
      </c>
      <c r="M3816">
        <f>VLOOKUP(D3816,State_Lookup!$A$2:$B$28,2,FALSE)</f>
        <v/>
      </c>
    </row>
    <row r="3817">
      <c r="A3817" t="inlineStr">
        <is>
          <t>c2e9150ecca583eb68c1e2e2b650caac</t>
        </is>
      </c>
      <c r="B3817" t="inlineStr">
        <is>
          <t>2018-05-07</t>
        </is>
      </c>
      <c r="C3817" t="inlineStr">
        <is>
          <t>2018-05</t>
        </is>
      </c>
      <c r="D3817" t="inlineStr">
        <is>
          <t>CE</t>
        </is>
      </c>
      <c r="E3817" t="inlineStr">
        <is>
          <t>consoles_games</t>
        </is>
      </c>
      <c r="F3817" t="n">
        <v>1</v>
      </c>
      <c r="G3817" t="n">
        <v>51.81</v>
      </c>
      <c r="H3817" t="n">
        <v>37.05</v>
      </c>
      <c r="I3817" t="inlineStr">
        <is>
          <t>credit_card</t>
        </is>
      </c>
      <c r="J3817" t="n">
        <v>28</v>
      </c>
      <c r="K3817" t="inlineStr">
        <is>
          <t>On Time</t>
        </is>
      </c>
      <c r="L3817" t="n">
        <v>4</v>
      </c>
      <c r="M3817">
        <f>VLOOKUP(D3817,State_Lookup!$A$2:$B$28,2,FALSE)</f>
        <v/>
      </c>
    </row>
    <row r="3818">
      <c r="A3818" t="inlineStr">
        <is>
          <t>4a72b4694f239008b7f61c843bac4bdc</t>
        </is>
      </c>
      <c r="B3818" t="inlineStr">
        <is>
          <t>2018-05-08</t>
        </is>
      </c>
      <c r="C3818" t="inlineStr">
        <is>
          <t>2018-05</t>
        </is>
      </c>
      <c r="D3818" t="inlineStr">
        <is>
          <t>MG</t>
        </is>
      </c>
      <c r="E3818" t="inlineStr">
        <is>
          <t>telephony</t>
        </is>
      </c>
      <c r="F3818" t="n">
        <v>1</v>
      </c>
      <c r="G3818" t="n">
        <v>22.99</v>
      </c>
      <c r="H3818" t="n">
        <v>18.23</v>
      </c>
      <c r="I3818" t="inlineStr">
        <is>
          <t>credit_card</t>
        </is>
      </c>
      <c r="J3818" t="n">
        <v>7</v>
      </c>
      <c r="K3818" t="inlineStr">
        <is>
          <t>On Time</t>
        </is>
      </c>
      <c r="L3818" t="n">
        <v>5</v>
      </c>
      <c r="M3818">
        <f>VLOOKUP(D3818,State_Lookup!$A$2:$B$28,2,FALSE)</f>
        <v/>
      </c>
    </row>
    <row r="3819">
      <c r="A3819" t="inlineStr">
        <is>
          <t>2f864e4c1471571ec2ea1476fa2ba42c</t>
        </is>
      </c>
      <c r="B3819" t="inlineStr">
        <is>
          <t>2018-05-08</t>
        </is>
      </c>
      <c r="C3819" t="inlineStr">
        <is>
          <t>2018-05</t>
        </is>
      </c>
      <c r="D3819" t="inlineStr">
        <is>
          <t>ES</t>
        </is>
      </c>
      <c r="E3819" t="inlineStr">
        <is>
          <t>fashion_bags_accessories</t>
        </is>
      </c>
      <c r="F3819" t="n">
        <v>1</v>
      </c>
      <c r="G3819" t="n">
        <v>89</v>
      </c>
      <c r="H3819" t="n">
        <v>19.31</v>
      </c>
      <c r="I3819" t="inlineStr">
        <is>
          <t>credit_card</t>
        </is>
      </c>
      <c r="J3819" t="n">
        <v>9</v>
      </c>
      <c r="K3819" t="inlineStr">
        <is>
          <t>On Time</t>
        </is>
      </c>
      <c r="L3819" t="n">
        <v>4</v>
      </c>
      <c r="M3819">
        <f>VLOOKUP(D3819,State_Lookup!$A$2:$B$28,2,FALSE)</f>
        <v/>
      </c>
    </row>
    <row r="3820">
      <c r="A3820" t="inlineStr">
        <is>
          <t>0eb90012b8c41dfd386552415c3b1760</t>
        </is>
      </c>
      <c r="B3820" t="inlineStr">
        <is>
          <t>2018-05-08</t>
        </is>
      </c>
      <c r="C3820" t="inlineStr">
        <is>
          <t>2018-05</t>
        </is>
      </c>
      <c r="D3820" t="inlineStr">
        <is>
          <t>RS</t>
        </is>
      </c>
      <c r="E3820" t="inlineStr">
        <is>
          <t>telephony</t>
        </is>
      </c>
      <c r="F3820" t="n">
        <v>1</v>
      </c>
      <c r="G3820" t="n">
        <v>13.77</v>
      </c>
      <c r="H3820" t="n">
        <v>16.41</v>
      </c>
      <c r="I3820" t="inlineStr">
        <is>
          <t>credit_card</t>
        </is>
      </c>
      <c r="J3820" t="n">
        <v>16</v>
      </c>
      <c r="K3820" t="inlineStr">
        <is>
          <t>On Time</t>
        </is>
      </c>
      <c r="L3820" t="n">
        <v>5</v>
      </c>
      <c r="M3820">
        <f>VLOOKUP(D3820,State_Lookup!$A$2:$B$28,2,FALSE)</f>
        <v/>
      </c>
    </row>
    <row r="3821">
      <c r="A3821" t="inlineStr">
        <is>
          <t>bde305d08669a1b46554c10f03a85675</t>
        </is>
      </c>
      <c r="B3821" t="inlineStr">
        <is>
          <t>2018-05-08</t>
        </is>
      </c>
      <c r="C3821" t="inlineStr">
        <is>
          <t>2018-05</t>
        </is>
      </c>
      <c r="D3821" t="inlineStr">
        <is>
          <t>RJ</t>
        </is>
      </c>
      <c r="E3821" t="inlineStr">
        <is>
          <t>pet_shop</t>
        </is>
      </c>
      <c r="F3821" t="n">
        <v>1</v>
      </c>
      <c r="G3821" t="n">
        <v>29.9</v>
      </c>
      <c r="H3821" t="n">
        <v>17.93</v>
      </c>
      <c r="I3821" t="inlineStr">
        <is>
          <t>credit_card</t>
        </is>
      </c>
      <c r="J3821" t="n">
        <v>18</v>
      </c>
      <c r="K3821" t="inlineStr">
        <is>
          <t>On Time</t>
        </is>
      </c>
      <c r="L3821" t="n">
        <v>5</v>
      </c>
      <c r="M3821">
        <f>VLOOKUP(D3821,State_Lookup!$A$2:$B$28,2,FALSE)</f>
        <v/>
      </c>
    </row>
    <row r="3822">
      <c r="A3822" t="inlineStr">
        <is>
          <t>abf8d2c3cc9ffa42db0103106b061889</t>
        </is>
      </c>
      <c r="B3822" t="inlineStr">
        <is>
          <t>2018-05-08</t>
        </is>
      </c>
      <c r="C3822" t="inlineStr">
        <is>
          <t>2018-05</t>
        </is>
      </c>
      <c r="D3822" t="inlineStr">
        <is>
          <t>MG</t>
        </is>
      </c>
      <c r="E3822" t="inlineStr">
        <is>
          <t>office_furniture</t>
        </is>
      </c>
      <c r="F3822" t="n">
        <v>1</v>
      </c>
      <c r="G3822" t="n">
        <v>25</v>
      </c>
      <c r="H3822" t="n">
        <v>23.28</v>
      </c>
      <c r="I3822" t="inlineStr">
        <is>
          <t>credit_card</t>
        </is>
      </c>
      <c r="J3822" t="n">
        <v>7</v>
      </c>
      <c r="K3822" t="inlineStr">
        <is>
          <t>On Time</t>
        </is>
      </c>
      <c r="L3822" t="n">
        <v>3</v>
      </c>
      <c r="M3822">
        <f>VLOOKUP(D3822,State_Lookup!$A$2:$B$28,2,FALSE)</f>
        <v/>
      </c>
    </row>
    <row r="3823">
      <c r="A3823" t="inlineStr">
        <is>
          <t>c1b6a4848079f0c2f936c9535c73fb05</t>
        </is>
      </c>
      <c r="B3823" t="inlineStr">
        <is>
          <t>2018-05-08</t>
        </is>
      </c>
      <c r="C3823" t="inlineStr">
        <is>
          <t>2018-05</t>
        </is>
      </c>
      <c r="D3823" t="inlineStr">
        <is>
          <t>MG</t>
        </is>
      </c>
      <c r="E3823" t="inlineStr">
        <is>
          <t>stationery</t>
        </is>
      </c>
      <c r="F3823" t="n">
        <v>1</v>
      </c>
      <c r="G3823" t="n">
        <v>149</v>
      </c>
      <c r="H3823" t="n">
        <v>23.62</v>
      </c>
      <c r="I3823" t="inlineStr">
        <is>
          <t>credit_card</t>
        </is>
      </c>
      <c r="J3823" t="n">
        <v>4</v>
      </c>
      <c r="K3823" t="inlineStr">
        <is>
          <t>On Time</t>
        </is>
      </c>
      <c r="L3823" t="n">
        <v>5</v>
      </c>
      <c r="M3823">
        <f>VLOOKUP(D3823,State_Lookup!$A$2:$B$28,2,FALSE)</f>
        <v/>
      </c>
    </row>
    <row r="3824">
      <c r="A3824" t="inlineStr">
        <is>
          <t>5adb752a21287f421571ba1688dafa2a</t>
        </is>
      </c>
      <c r="B3824" t="inlineStr">
        <is>
          <t>2018-05-08</t>
        </is>
      </c>
      <c r="C3824" t="inlineStr">
        <is>
          <t>2018-05</t>
        </is>
      </c>
      <c r="D3824" t="inlineStr">
        <is>
          <t>MG</t>
        </is>
      </c>
      <c r="E3824" t="inlineStr">
        <is>
          <t>sports_leisure</t>
        </is>
      </c>
      <c r="F3824" t="n">
        <v>1</v>
      </c>
      <c r="G3824" t="n">
        <v>539</v>
      </c>
      <c r="H3824" t="n">
        <v>46.7</v>
      </c>
      <c r="I3824" t="inlineStr">
        <is>
          <t>credit_card</t>
        </is>
      </c>
      <c r="J3824" t="n">
        <v>5</v>
      </c>
      <c r="K3824" t="inlineStr">
        <is>
          <t>On Time</t>
        </is>
      </c>
      <c r="L3824" t="n">
        <v>5</v>
      </c>
      <c r="M3824">
        <f>VLOOKUP(D3824,State_Lookup!$A$2:$B$28,2,FALSE)</f>
        <v/>
      </c>
    </row>
    <row r="3825">
      <c r="A3825" t="inlineStr">
        <is>
          <t>1f10d8242e602a2a444715754f739d95</t>
        </is>
      </c>
      <c r="B3825" t="inlineStr">
        <is>
          <t>2018-05-08</t>
        </is>
      </c>
      <c r="C3825" t="inlineStr">
        <is>
          <t>2018-05</t>
        </is>
      </c>
      <c r="D3825" t="inlineStr">
        <is>
          <t>PR</t>
        </is>
      </c>
      <c r="E3825" t="inlineStr">
        <is>
          <t>sports_leisure</t>
        </is>
      </c>
      <c r="F3825" t="n">
        <v>1</v>
      </c>
      <c r="G3825" t="n">
        <v>104.9</v>
      </c>
      <c r="H3825" t="n">
        <v>19.7</v>
      </c>
      <c r="I3825" t="inlineStr">
        <is>
          <t>credit_card</t>
        </is>
      </c>
      <c r="J3825" t="n">
        <v>9</v>
      </c>
      <c r="K3825" t="inlineStr">
        <is>
          <t>On Time</t>
        </is>
      </c>
      <c r="L3825" t="n">
        <v>5</v>
      </c>
      <c r="M3825">
        <f>VLOOKUP(D3825,State_Lookup!$A$2:$B$28,2,FALSE)</f>
        <v/>
      </c>
    </row>
    <row r="3826">
      <c r="A3826" t="inlineStr">
        <is>
          <t>099d60cb800db65a72d355528bb7f41e</t>
        </is>
      </c>
      <c r="B3826" t="inlineStr">
        <is>
          <t>2018-05-08</t>
        </is>
      </c>
      <c r="C3826" t="inlineStr">
        <is>
          <t>2018-05</t>
        </is>
      </c>
      <c r="D3826" t="inlineStr">
        <is>
          <t>SP</t>
        </is>
      </c>
      <c r="E3826" t="inlineStr">
        <is>
          <t>luggage_accessories</t>
        </is>
      </c>
      <c r="F3826" t="n">
        <v>1</v>
      </c>
      <c r="G3826" t="n">
        <v>219.9</v>
      </c>
      <c r="H3826" t="n">
        <v>104.73</v>
      </c>
      <c r="I3826" t="inlineStr">
        <is>
          <t>credit_card</t>
        </is>
      </c>
      <c r="J3826" t="n">
        <v>6</v>
      </c>
      <c r="K3826" t="inlineStr">
        <is>
          <t>On Time</t>
        </is>
      </c>
      <c r="L3826" t="n">
        <v>3</v>
      </c>
      <c r="M3826">
        <f>VLOOKUP(D3826,State_Lookup!$A$2:$B$28,2,FALSE)</f>
        <v/>
      </c>
    </row>
    <row r="3827">
      <c r="A3827" t="inlineStr">
        <is>
          <t>91cb837eb3bd9136636db21568d04a78</t>
        </is>
      </c>
      <c r="B3827" t="inlineStr">
        <is>
          <t>2018-05-08</t>
        </is>
      </c>
      <c r="C3827" t="inlineStr">
        <is>
          <t>2018-05</t>
        </is>
      </c>
      <c r="D3827" t="inlineStr">
        <is>
          <t>ES</t>
        </is>
      </c>
      <c r="E3827" t="inlineStr">
        <is>
          <t>health_beauty</t>
        </is>
      </c>
      <c r="F3827" t="n">
        <v>1</v>
      </c>
      <c r="G3827" t="n">
        <v>64.98999999999999</v>
      </c>
      <c r="H3827" t="n">
        <v>15.61</v>
      </c>
      <c r="I3827" t="inlineStr">
        <is>
          <t>credit_card</t>
        </is>
      </c>
      <c r="J3827" t="n">
        <v>34</v>
      </c>
      <c r="K3827" t="inlineStr">
        <is>
          <t>Late</t>
        </is>
      </c>
      <c r="L3827" t="n">
        <v>3</v>
      </c>
      <c r="M3827">
        <f>VLOOKUP(D3827,State_Lookup!$A$2:$B$28,2,FALSE)</f>
        <v/>
      </c>
    </row>
    <row r="3828">
      <c r="A3828" t="inlineStr">
        <is>
          <t>67652712ccb6d4a88f063a50b60a1073</t>
        </is>
      </c>
      <c r="B3828" t="inlineStr">
        <is>
          <t>2018-05-08</t>
        </is>
      </c>
      <c r="C3828" t="inlineStr">
        <is>
          <t>2018-05</t>
        </is>
      </c>
      <c r="D3828" t="inlineStr">
        <is>
          <t>PR</t>
        </is>
      </c>
      <c r="E3828" t="inlineStr">
        <is>
          <t>furniture_decor</t>
        </is>
      </c>
      <c r="F3828" t="n">
        <v>1</v>
      </c>
      <c r="G3828" t="n">
        <v>119</v>
      </c>
      <c r="H3828" t="n">
        <v>31.93</v>
      </c>
      <c r="I3828" t="inlineStr">
        <is>
          <t>credit_card</t>
        </is>
      </c>
      <c r="J3828" t="n">
        <v>1</v>
      </c>
      <c r="K3828" t="inlineStr">
        <is>
          <t>On Time</t>
        </is>
      </c>
      <c r="L3828" t="n">
        <v>5</v>
      </c>
      <c r="M3828">
        <f>VLOOKUP(D3828,State_Lookup!$A$2:$B$28,2,FALSE)</f>
        <v/>
      </c>
    </row>
    <row r="3829">
      <c r="A3829" t="inlineStr">
        <is>
          <t>7400bc8ee7d289b54690fd540a3cdb8b</t>
        </is>
      </c>
      <c r="B3829" t="inlineStr">
        <is>
          <t>2018-05-08</t>
        </is>
      </c>
      <c r="C3829" t="inlineStr">
        <is>
          <t>2018-05</t>
        </is>
      </c>
      <c r="D3829" t="inlineStr">
        <is>
          <t>CE</t>
        </is>
      </c>
      <c r="E3829" t="inlineStr">
        <is>
          <t>pet_shop</t>
        </is>
      </c>
      <c r="F3829" t="n">
        <v>1</v>
      </c>
      <c r="G3829" t="n">
        <v>35.9</v>
      </c>
      <c r="H3829" t="n">
        <v>22.41</v>
      </c>
      <c r="I3829" t="inlineStr">
        <is>
          <t>credit_card</t>
        </is>
      </c>
      <c r="J3829" t="n">
        <v>27</v>
      </c>
      <c r="K3829" t="inlineStr">
        <is>
          <t>Late</t>
        </is>
      </c>
      <c r="L3829" t="n">
        <v>5</v>
      </c>
      <c r="M3829">
        <f>VLOOKUP(D3829,State_Lookup!$A$2:$B$28,2,FALSE)</f>
        <v/>
      </c>
    </row>
    <row r="3830">
      <c r="A3830" t="inlineStr">
        <is>
          <t>4a62fb19d5fa08fb514619dfcc617b3d</t>
        </is>
      </c>
      <c r="B3830" t="inlineStr">
        <is>
          <t>2018-05-09</t>
        </is>
      </c>
      <c r="C3830" t="inlineStr">
        <is>
          <t>2018-05</t>
        </is>
      </c>
      <c r="D3830" t="inlineStr">
        <is>
          <t>SP</t>
        </is>
      </c>
      <c r="E3830" t="inlineStr">
        <is>
          <t>watches_gifts</t>
        </is>
      </c>
      <c r="F3830" t="n">
        <v>1</v>
      </c>
      <c r="G3830" t="n">
        <v>599.99</v>
      </c>
      <c r="H3830" t="n">
        <v>12.55</v>
      </c>
      <c r="I3830" t="inlineStr">
        <is>
          <t>voucher</t>
        </is>
      </c>
      <c r="J3830" t="n">
        <v>5</v>
      </c>
      <c r="K3830" t="inlineStr">
        <is>
          <t>On Time</t>
        </is>
      </c>
      <c r="L3830" t="n">
        <v>3</v>
      </c>
      <c r="M3830">
        <f>VLOOKUP(D3830,State_Lookup!$A$2:$B$28,2,FALSE)</f>
        <v/>
      </c>
    </row>
    <row r="3831">
      <c r="A3831" t="inlineStr">
        <is>
          <t>0d42686b1d1936e4c256ce2fa2cc9db2</t>
        </is>
      </c>
      <c r="B3831" t="inlineStr">
        <is>
          <t>2018-05-09</t>
        </is>
      </c>
      <c r="C3831" t="inlineStr">
        <is>
          <t>2018-05</t>
        </is>
      </c>
      <c r="D3831" t="inlineStr">
        <is>
          <t>SP</t>
        </is>
      </c>
      <c r="E3831" t="inlineStr">
        <is>
          <t>construction_tools_construction</t>
        </is>
      </c>
      <c r="F3831" t="n">
        <v>1</v>
      </c>
      <c r="G3831" t="n">
        <v>39.5</v>
      </c>
      <c r="H3831" t="n">
        <v>7.87</v>
      </c>
      <c r="I3831" t="inlineStr">
        <is>
          <t>credit_card</t>
        </is>
      </c>
      <c r="J3831" t="n">
        <v>1</v>
      </c>
      <c r="K3831" t="inlineStr">
        <is>
          <t>On Time</t>
        </is>
      </c>
      <c r="L3831" t="n">
        <v>5</v>
      </c>
      <c r="M3831">
        <f>VLOOKUP(D3831,State_Lookup!$A$2:$B$28,2,FALSE)</f>
        <v/>
      </c>
    </row>
    <row r="3832">
      <c r="A3832" t="inlineStr">
        <is>
          <t>210e60465099814a1d2c7635e4065153</t>
        </is>
      </c>
      <c r="B3832" t="inlineStr">
        <is>
          <t>2018-05-09</t>
        </is>
      </c>
      <c r="C3832" t="inlineStr">
        <is>
          <t>2018-05</t>
        </is>
      </c>
      <c r="D3832" t="inlineStr">
        <is>
          <t>RJ</t>
        </is>
      </c>
      <c r="E3832" t="inlineStr">
        <is>
          <t>cool_stuff</t>
        </is>
      </c>
      <c r="F3832" t="n">
        <v>1</v>
      </c>
      <c r="G3832" t="n">
        <v>199</v>
      </c>
      <c r="H3832" t="n">
        <v>32.79</v>
      </c>
      <c r="I3832" t="inlineStr">
        <is>
          <t>credit_card</t>
        </is>
      </c>
      <c r="J3832" t="n">
        <v>12</v>
      </c>
      <c r="K3832" t="inlineStr">
        <is>
          <t>On Time</t>
        </is>
      </c>
      <c r="L3832" t="n">
        <v>4</v>
      </c>
      <c r="M3832">
        <f>VLOOKUP(D3832,State_Lookup!$A$2:$B$28,2,FALSE)</f>
        <v/>
      </c>
    </row>
    <row r="3833">
      <c r="A3833" t="inlineStr">
        <is>
          <t>560691faf05a5433e9617b9582948175</t>
        </is>
      </c>
      <c r="B3833" t="inlineStr">
        <is>
          <t>2018-05-09</t>
        </is>
      </c>
      <c r="C3833" t="inlineStr">
        <is>
          <t>2018-05</t>
        </is>
      </c>
      <c r="D3833" t="inlineStr">
        <is>
          <t>SP</t>
        </is>
      </c>
      <c r="E3833" t="inlineStr">
        <is>
          <t>construction_tools_construction</t>
        </is>
      </c>
      <c r="F3833" t="n">
        <v>1</v>
      </c>
      <c r="G3833" t="n">
        <v>141.4</v>
      </c>
      <c r="H3833" t="n">
        <v>11.61</v>
      </c>
      <c r="I3833" t="inlineStr">
        <is>
          <t>boleto</t>
        </is>
      </c>
      <c r="J3833" t="n">
        <v>4</v>
      </c>
      <c r="K3833" t="inlineStr">
        <is>
          <t>On Time</t>
        </is>
      </c>
      <c r="L3833" t="n">
        <v>5</v>
      </c>
      <c r="M3833">
        <f>VLOOKUP(D3833,State_Lookup!$A$2:$B$28,2,FALSE)</f>
        <v/>
      </c>
    </row>
    <row r="3834">
      <c r="A3834" t="inlineStr">
        <is>
          <t>59e57d3a260d94d24e665b2c817981f1</t>
        </is>
      </c>
      <c r="B3834" t="inlineStr">
        <is>
          <t>2018-05-09</t>
        </is>
      </c>
      <c r="C3834" t="inlineStr">
        <is>
          <t>2018-05</t>
        </is>
      </c>
      <c r="D3834" t="inlineStr">
        <is>
          <t>RS</t>
        </is>
      </c>
      <c r="E3834" t="inlineStr">
        <is>
          <t>bed_bath_table</t>
        </is>
      </c>
      <c r="F3834" t="n">
        <v>1</v>
      </c>
      <c r="G3834" t="n">
        <v>149.9</v>
      </c>
      <c r="H3834" t="n">
        <v>17.09</v>
      </c>
      <c r="I3834" t="inlineStr">
        <is>
          <t>credit_card</t>
        </is>
      </c>
      <c r="J3834" t="n">
        <v>12</v>
      </c>
      <c r="K3834" t="inlineStr">
        <is>
          <t>On Time</t>
        </is>
      </c>
      <c r="L3834" t="n">
        <v>5</v>
      </c>
      <c r="M3834">
        <f>VLOOKUP(D3834,State_Lookup!$A$2:$B$28,2,FALSE)</f>
        <v/>
      </c>
    </row>
    <row r="3835">
      <c r="A3835" t="inlineStr">
        <is>
          <t>6c2d7d5f598317a20719a7e5f5487ece</t>
        </is>
      </c>
      <c r="B3835" t="inlineStr">
        <is>
          <t>2018-05-09</t>
        </is>
      </c>
      <c r="C3835" t="inlineStr">
        <is>
          <t>2018-05</t>
        </is>
      </c>
      <c r="D3835" t="inlineStr">
        <is>
          <t>RJ</t>
        </is>
      </c>
      <c r="E3835" t="inlineStr">
        <is>
          <t>health_beauty</t>
        </is>
      </c>
      <c r="F3835" t="n">
        <v>1</v>
      </c>
      <c r="G3835" t="n">
        <v>64.98999999999999</v>
      </c>
      <c r="H3835" t="n">
        <v>41.15</v>
      </c>
      <c r="I3835" t="inlineStr">
        <is>
          <t>credit_card</t>
        </is>
      </c>
      <c r="J3835" t="n">
        <v>34</v>
      </c>
      <c r="K3835" t="inlineStr">
        <is>
          <t>Late</t>
        </is>
      </c>
      <c r="L3835" t="n">
        <v>1</v>
      </c>
      <c r="M3835">
        <f>VLOOKUP(D3835,State_Lookup!$A$2:$B$28,2,FALSE)</f>
        <v/>
      </c>
    </row>
    <row r="3836">
      <c r="A3836" t="inlineStr">
        <is>
          <t>18d436f1bd867f1869bc3a16103a4b75</t>
        </is>
      </c>
      <c r="B3836" t="inlineStr">
        <is>
          <t>2018-05-09</t>
        </is>
      </c>
      <c r="C3836" t="inlineStr">
        <is>
          <t>2018-05</t>
        </is>
      </c>
      <c r="D3836" t="inlineStr">
        <is>
          <t>RJ</t>
        </is>
      </c>
      <c r="E3836" t="inlineStr">
        <is>
          <t>auto</t>
        </is>
      </c>
      <c r="F3836" t="n">
        <v>1</v>
      </c>
      <c r="G3836" t="n">
        <v>199.99</v>
      </c>
      <c r="H3836" t="n">
        <v>17.37</v>
      </c>
      <c r="I3836" t="inlineStr">
        <is>
          <t>credit_card</t>
        </is>
      </c>
      <c r="J3836" t="n">
        <v>5</v>
      </c>
      <c r="K3836" t="inlineStr">
        <is>
          <t>On Time</t>
        </is>
      </c>
      <c r="L3836" t="n">
        <v>5</v>
      </c>
      <c r="M3836">
        <f>VLOOKUP(D3836,State_Lookup!$A$2:$B$28,2,FALSE)</f>
        <v/>
      </c>
    </row>
    <row r="3837">
      <c r="A3837" t="inlineStr">
        <is>
          <t>156f6f0ed73a57da184aecc81303bf9d</t>
        </is>
      </c>
      <c r="B3837" t="inlineStr">
        <is>
          <t>2018-05-09</t>
        </is>
      </c>
      <c r="C3837" t="inlineStr">
        <is>
          <t>2018-05</t>
        </is>
      </c>
      <c r="D3837" t="inlineStr">
        <is>
          <t>SP</t>
        </is>
      </c>
      <c r="E3837" t="inlineStr">
        <is>
          <t>garden_tools</t>
        </is>
      </c>
      <c r="F3837" t="n">
        <v>1</v>
      </c>
      <c r="G3837" t="n">
        <v>22.99</v>
      </c>
      <c r="H3837" t="n">
        <v>8.289999999999999</v>
      </c>
      <c r="I3837" t="inlineStr">
        <is>
          <t>boleto</t>
        </is>
      </c>
      <c r="J3837" t="n">
        <v>2</v>
      </c>
      <c r="K3837" t="inlineStr">
        <is>
          <t>On Time</t>
        </is>
      </c>
      <c r="L3837" t="inlineStr"/>
      <c r="M3837">
        <f>VLOOKUP(D3837,State_Lookup!$A$2:$B$28,2,FALSE)</f>
        <v/>
      </c>
    </row>
    <row r="3838">
      <c r="A3838" t="inlineStr">
        <is>
          <t>b4df3dcfa59f9958e993be5decfee5ce</t>
        </is>
      </c>
      <c r="B3838" t="inlineStr">
        <is>
          <t>2018-05-09</t>
        </is>
      </c>
      <c r="C3838" t="inlineStr">
        <is>
          <t>2018-05</t>
        </is>
      </c>
      <c r="D3838" t="inlineStr">
        <is>
          <t>RJ</t>
        </is>
      </c>
      <c r="E3838" t="inlineStr">
        <is>
          <t>computers_accessories</t>
        </is>
      </c>
      <c r="F3838" t="n">
        <v>1</v>
      </c>
      <c r="G3838" t="n">
        <v>70</v>
      </c>
      <c r="H3838" t="n">
        <v>18.37</v>
      </c>
      <c r="I3838" t="inlineStr">
        <is>
          <t>credit_card</t>
        </is>
      </c>
      <c r="J3838" t="n">
        <v>14</v>
      </c>
      <c r="K3838" t="inlineStr">
        <is>
          <t>On Time</t>
        </is>
      </c>
      <c r="L3838" t="n">
        <v>5</v>
      </c>
      <c r="M3838">
        <f>VLOOKUP(D3838,State_Lookup!$A$2:$B$28,2,FALSE)</f>
        <v/>
      </c>
    </row>
    <row r="3839">
      <c r="A3839" t="inlineStr">
        <is>
          <t>4da1c4073a1bdbb3968cd681337f254d</t>
        </is>
      </c>
      <c r="B3839" t="inlineStr">
        <is>
          <t>2018-05-09</t>
        </is>
      </c>
      <c r="C3839" t="inlineStr">
        <is>
          <t>2018-05</t>
        </is>
      </c>
      <c r="D3839" t="inlineStr">
        <is>
          <t>SP</t>
        </is>
      </c>
      <c r="E3839" t="inlineStr">
        <is>
          <t>books_technical</t>
        </is>
      </c>
      <c r="F3839" t="n">
        <v>1</v>
      </c>
      <c r="G3839" t="n">
        <v>57.89</v>
      </c>
      <c r="H3839" t="n">
        <v>10.29</v>
      </c>
      <c r="I3839" t="inlineStr">
        <is>
          <t>boleto</t>
        </is>
      </c>
      <c r="J3839" t="n">
        <v>29</v>
      </c>
      <c r="K3839" t="inlineStr">
        <is>
          <t>Late</t>
        </is>
      </c>
      <c r="L3839" t="n">
        <v>1</v>
      </c>
      <c r="M3839">
        <f>VLOOKUP(D3839,State_Lookup!$A$2:$B$28,2,FALSE)</f>
        <v/>
      </c>
    </row>
    <row r="3840">
      <c r="A3840" t="inlineStr">
        <is>
          <t>1f1c7f4a61de956eb59c80c6d1f73a2a</t>
        </is>
      </c>
      <c r="B3840" t="inlineStr">
        <is>
          <t>2018-05-09</t>
        </is>
      </c>
      <c r="C3840" t="inlineStr">
        <is>
          <t>2018-05</t>
        </is>
      </c>
      <c r="D3840" t="inlineStr">
        <is>
          <t>PR</t>
        </is>
      </c>
      <c r="E3840" t="inlineStr">
        <is>
          <t>housewares</t>
        </is>
      </c>
      <c r="F3840" t="n">
        <v>1</v>
      </c>
      <c r="G3840" t="n">
        <v>320.99</v>
      </c>
      <c r="H3840" t="n">
        <v>22.71</v>
      </c>
      <c r="I3840" t="inlineStr">
        <is>
          <t>credit_card</t>
        </is>
      </c>
      <c r="J3840" t="n">
        <v>6</v>
      </c>
      <c r="K3840" t="inlineStr">
        <is>
          <t>On Time</t>
        </is>
      </c>
      <c r="L3840" t="n">
        <v>4</v>
      </c>
      <c r="M3840">
        <f>VLOOKUP(D3840,State_Lookup!$A$2:$B$28,2,FALSE)</f>
        <v/>
      </c>
    </row>
    <row r="3841">
      <c r="A3841" t="inlineStr">
        <is>
          <t>7dfab96276603768666b7f949b3ea66f</t>
        </is>
      </c>
      <c r="B3841" t="inlineStr">
        <is>
          <t>2018-05-09</t>
        </is>
      </c>
      <c r="C3841" t="inlineStr">
        <is>
          <t>2018-05</t>
        </is>
      </c>
      <c r="D3841" t="inlineStr">
        <is>
          <t>SP</t>
        </is>
      </c>
      <c r="E3841" t="inlineStr">
        <is>
          <t>health_beauty</t>
        </is>
      </c>
      <c r="F3841" t="n">
        <v>1</v>
      </c>
      <c r="G3841" t="n">
        <v>29.9</v>
      </c>
      <c r="H3841" t="n">
        <v>7.71</v>
      </c>
      <c r="I3841" t="inlineStr">
        <is>
          <t>credit_card</t>
        </is>
      </c>
      <c r="J3841" t="n">
        <v>4</v>
      </c>
      <c r="K3841" t="inlineStr">
        <is>
          <t>On Time</t>
        </is>
      </c>
      <c r="L3841" t="n">
        <v>5</v>
      </c>
      <c r="M3841">
        <f>VLOOKUP(D3841,State_Lookup!$A$2:$B$28,2,FALSE)</f>
        <v/>
      </c>
    </row>
    <row r="3842">
      <c r="A3842" t="inlineStr">
        <is>
          <t>cf2d1ce92345a8db1f8b09ac4575aa7f</t>
        </is>
      </c>
      <c r="B3842" t="inlineStr">
        <is>
          <t>2018-05-09</t>
        </is>
      </c>
      <c r="C3842" t="inlineStr">
        <is>
          <t>2018-05</t>
        </is>
      </c>
      <c r="D3842" t="inlineStr">
        <is>
          <t>RS</t>
        </is>
      </c>
      <c r="E3842" t="inlineStr">
        <is>
          <t>bed_bath_table</t>
        </is>
      </c>
      <c r="F3842" t="n">
        <v>1</v>
      </c>
      <c r="G3842" t="n">
        <v>37</v>
      </c>
      <c r="H3842" t="n">
        <v>18.23</v>
      </c>
      <c r="I3842" t="inlineStr">
        <is>
          <t>credit_card</t>
        </is>
      </c>
      <c r="J3842" t="n">
        <v>6</v>
      </c>
      <c r="K3842" t="inlineStr">
        <is>
          <t>On Time</t>
        </is>
      </c>
      <c r="L3842" t="n">
        <v>4</v>
      </c>
      <c r="M3842">
        <f>VLOOKUP(D3842,State_Lookup!$A$2:$B$28,2,FALSE)</f>
        <v/>
      </c>
    </row>
    <row r="3843">
      <c r="A3843" t="inlineStr">
        <is>
          <t>f41ef35b2b93249c5239c5df242e8b28</t>
        </is>
      </c>
      <c r="B3843" t="inlineStr">
        <is>
          <t>2018-05-09</t>
        </is>
      </c>
      <c r="C3843" t="inlineStr">
        <is>
          <t>2018-05</t>
        </is>
      </c>
      <c r="D3843" t="inlineStr">
        <is>
          <t>SP</t>
        </is>
      </c>
      <c r="E3843" t="inlineStr">
        <is>
          <t>furniture_decor</t>
        </is>
      </c>
      <c r="F3843" t="n">
        <v>1</v>
      </c>
      <c r="G3843" t="n">
        <v>150</v>
      </c>
      <c r="H3843" t="n">
        <v>13.95</v>
      </c>
      <c r="I3843" t="inlineStr">
        <is>
          <t>credit_card</t>
        </is>
      </c>
      <c r="J3843" t="n">
        <v>6</v>
      </c>
      <c r="K3843" t="inlineStr">
        <is>
          <t>On Time</t>
        </is>
      </c>
      <c r="L3843" t="n">
        <v>5</v>
      </c>
      <c r="M3843">
        <f>VLOOKUP(D3843,State_Lookup!$A$2:$B$28,2,FALSE)</f>
        <v/>
      </c>
    </row>
    <row r="3844">
      <c r="A3844" t="inlineStr">
        <is>
          <t>2321337240c200736e346c2445003fd3</t>
        </is>
      </c>
      <c r="B3844" t="inlineStr">
        <is>
          <t>2018-05-09</t>
        </is>
      </c>
      <c r="C3844" t="inlineStr">
        <is>
          <t>2018-05</t>
        </is>
      </c>
      <c r="D3844" t="inlineStr">
        <is>
          <t>SP</t>
        </is>
      </c>
      <c r="E3844" t="inlineStr">
        <is>
          <t>watches_gifts</t>
        </is>
      </c>
      <c r="F3844" t="n">
        <v>1</v>
      </c>
      <c r="G3844" t="n">
        <v>519</v>
      </c>
      <c r="H3844" t="n">
        <v>11.99</v>
      </c>
      <c r="I3844" t="inlineStr">
        <is>
          <t>credit_card</t>
        </is>
      </c>
      <c r="J3844" t="inlineStr"/>
      <c r="K3844" t="inlineStr">
        <is>
          <t>Not Delivered</t>
        </is>
      </c>
      <c r="L3844" t="n">
        <v>1</v>
      </c>
      <c r="M3844">
        <f>VLOOKUP(D3844,State_Lookup!$A$2:$B$28,2,FALSE)</f>
        <v/>
      </c>
    </row>
    <row r="3845">
      <c r="A3845" t="inlineStr">
        <is>
          <t>31757b95c65bd61af1af6d30103b64cf</t>
        </is>
      </c>
      <c r="B3845" t="inlineStr">
        <is>
          <t>2018-05-09</t>
        </is>
      </c>
      <c r="C3845" t="inlineStr">
        <is>
          <t>2018-05</t>
        </is>
      </c>
      <c r="D3845" t="inlineStr">
        <is>
          <t>SP</t>
        </is>
      </c>
      <c r="E3845" t="inlineStr">
        <is>
          <t>health_beauty</t>
        </is>
      </c>
      <c r="F3845" t="n">
        <v>1</v>
      </c>
      <c r="G3845" t="n">
        <v>90</v>
      </c>
      <c r="H3845" t="n">
        <v>14.05</v>
      </c>
      <c r="I3845" t="inlineStr">
        <is>
          <t>credit_card</t>
        </is>
      </c>
      <c r="J3845" t="n">
        <v>13</v>
      </c>
      <c r="K3845" t="inlineStr">
        <is>
          <t>On Time</t>
        </is>
      </c>
      <c r="L3845" t="n">
        <v>5</v>
      </c>
      <c r="M3845">
        <f>VLOOKUP(D3845,State_Lookup!$A$2:$B$28,2,FALSE)</f>
        <v/>
      </c>
    </row>
    <row r="3846">
      <c r="A3846" t="inlineStr">
        <is>
          <t>a56949479e3d5637c235d6d58740fee3</t>
        </is>
      </c>
      <c r="B3846" t="inlineStr">
        <is>
          <t>2018-05-10</t>
        </is>
      </c>
      <c r="C3846" t="inlineStr">
        <is>
          <t>2018-05</t>
        </is>
      </c>
      <c r="D3846" t="inlineStr">
        <is>
          <t>DF</t>
        </is>
      </c>
      <c r="E3846" t="inlineStr">
        <is>
          <t>sports_leisure</t>
        </is>
      </c>
      <c r="F3846" t="n">
        <v>1</v>
      </c>
      <c r="G3846" t="n">
        <v>135.21</v>
      </c>
      <c r="H3846" t="n">
        <v>15.83</v>
      </c>
      <c r="I3846" t="inlineStr">
        <is>
          <t>boleto</t>
        </is>
      </c>
      <c r="J3846" t="n">
        <v>6</v>
      </c>
      <c r="K3846" t="inlineStr">
        <is>
          <t>On Time</t>
        </is>
      </c>
      <c r="L3846" t="n">
        <v>5</v>
      </c>
      <c r="M3846">
        <f>VLOOKUP(D3846,State_Lookup!$A$2:$B$28,2,FALSE)</f>
        <v/>
      </c>
    </row>
    <row r="3847">
      <c r="A3847" t="inlineStr">
        <is>
          <t>558731462aceb9588378c7c19194d2db</t>
        </is>
      </c>
      <c r="B3847" t="inlineStr">
        <is>
          <t>2018-05-10</t>
        </is>
      </c>
      <c r="C3847" t="inlineStr">
        <is>
          <t>2018-05</t>
        </is>
      </c>
      <c r="D3847" t="inlineStr">
        <is>
          <t>RJ</t>
        </is>
      </c>
      <c r="E3847" t="inlineStr">
        <is>
          <t>home_appliances</t>
        </is>
      </c>
      <c r="F3847" t="n">
        <v>1</v>
      </c>
      <c r="G3847" t="n">
        <v>1054</v>
      </c>
      <c r="H3847" t="n">
        <v>35.96</v>
      </c>
      <c r="I3847" t="inlineStr">
        <is>
          <t>credit_card</t>
        </is>
      </c>
      <c r="J3847" t="n">
        <v>8</v>
      </c>
      <c r="K3847" t="inlineStr">
        <is>
          <t>On Time</t>
        </is>
      </c>
      <c r="L3847" t="n">
        <v>4</v>
      </c>
      <c r="M3847">
        <f>VLOOKUP(D3847,State_Lookup!$A$2:$B$28,2,FALSE)</f>
        <v/>
      </c>
    </row>
    <row r="3848">
      <c r="A3848" t="inlineStr">
        <is>
          <t>f489949dbe23cf9313deb342913ece0c</t>
        </is>
      </c>
      <c r="B3848" t="inlineStr">
        <is>
          <t>2018-05-10</t>
        </is>
      </c>
      <c r="C3848" t="inlineStr">
        <is>
          <t>2018-05</t>
        </is>
      </c>
      <c r="D3848" t="inlineStr">
        <is>
          <t>RS</t>
        </is>
      </c>
      <c r="E3848" t="inlineStr">
        <is>
          <t>computers_accessories</t>
        </is>
      </c>
      <c r="F3848" t="n">
        <v>1</v>
      </c>
      <c r="G3848" t="n">
        <v>1360.02</v>
      </c>
      <c r="H3848" t="n">
        <v>76.44</v>
      </c>
      <c r="I3848" t="inlineStr">
        <is>
          <t>credit_card</t>
        </is>
      </c>
      <c r="J3848" t="n">
        <v>10</v>
      </c>
      <c r="K3848" t="inlineStr">
        <is>
          <t>On Time</t>
        </is>
      </c>
      <c r="L3848" t="n">
        <v>5</v>
      </c>
      <c r="M3848">
        <f>VLOOKUP(D3848,State_Lookup!$A$2:$B$28,2,FALSE)</f>
        <v/>
      </c>
    </row>
    <row r="3849">
      <c r="A3849" t="inlineStr">
        <is>
          <t>35990049382e07dba1a9ef3550cad655</t>
        </is>
      </c>
      <c r="B3849" t="inlineStr">
        <is>
          <t>2018-05-10</t>
        </is>
      </c>
      <c r="C3849" t="inlineStr">
        <is>
          <t>2018-05</t>
        </is>
      </c>
      <c r="D3849" t="inlineStr">
        <is>
          <t>RJ</t>
        </is>
      </c>
      <c r="E3849" t="inlineStr">
        <is>
          <t>construction_tools_construction</t>
        </is>
      </c>
      <c r="F3849" t="n">
        <v>6</v>
      </c>
      <c r="G3849" t="n">
        <v>960</v>
      </c>
      <c r="H3849" t="n">
        <v>348.18</v>
      </c>
      <c r="I3849" t="inlineStr">
        <is>
          <t>credit_card</t>
        </is>
      </c>
      <c r="J3849" t="n">
        <v>7</v>
      </c>
      <c r="K3849" t="inlineStr">
        <is>
          <t>On Time</t>
        </is>
      </c>
      <c r="L3849" t="n">
        <v>2</v>
      </c>
      <c r="M3849">
        <f>VLOOKUP(D3849,State_Lookup!$A$2:$B$28,2,FALSE)</f>
        <v/>
      </c>
    </row>
    <row r="3850">
      <c r="A3850" t="inlineStr">
        <is>
          <t>37f4b362697f5c9826aee9c479b32bda</t>
        </is>
      </c>
      <c r="B3850" t="inlineStr">
        <is>
          <t>2018-05-10</t>
        </is>
      </c>
      <c r="C3850" t="inlineStr">
        <is>
          <t>2018-05</t>
        </is>
      </c>
      <c r="D3850" t="inlineStr">
        <is>
          <t>PR</t>
        </is>
      </c>
      <c r="E3850" t="inlineStr">
        <is>
          <t>furniture_decor</t>
        </is>
      </c>
      <c r="F3850" t="n">
        <v>1</v>
      </c>
      <c r="G3850" t="n">
        <v>55.5</v>
      </c>
      <c r="H3850" t="n">
        <v>18.27</v>
      </c>
      <c r="I3850" t="inlineStr">
        <is>
          <t>credit_card</t>
        </is>
      </c>
      <c r="J3850" t="n">
        <v>7</v>
      </c>
      <c r="K3850" t="inlineStr">
        <is>
          <t>On Time</t>
        </is>
      </c>
      <c r="L3850" t="n">
        <v>4</v>
      </c>
      <c r="M3850">
        <f>VLOOKUP(D3850,State_Lookup!$A$2:$B$28,2,FALSE)</f>
        <v/>
      </c>
    </row>
    <row r="3851">
      <c r="A3851" t="inlineStr">
        <is>
          <t>7527dc48e587e3cc2071e727f32a2610</t>
        </is>
      </c>
      <c r="B3851" t="inlineStr">
        <is>
          <t>2018-05-10</t>
        </is>
      </c>
      <c r="C3851" t="inlineStr">
        <is>
          <t>2018-05</t>
        </is>
      </c>
      <c r="D3851" t="inlineStr">
        <is>
          <t>RJ</t>
        </is>
      </c>
      <c r="E3851" t="inlineStr">
        <is>
          <t>watches_gifts</t>
        </is>
      </c>
      <c r="F3851" t="n">
        <v>1</v>
      </c>
      <c r="G3851" t="n">
        <v>129</v>
      </c>
      <c r="H3851" t="n">
        <v>18.78</v>
      </c>
      <c r="I3851" t="inlineStr">
        <is>
          <t>boleto</t>
        </is>
      </c>
      <c r="J3851" t="n">
        <v>7</v>
      </c>
      <c r="K3851" t="inlineStr">
        <is>
          <t>On Time</t>
        </is>
      </c>
      <c r="L3851" t="n">
        <v>5</v>
      </c>
      <c r="M3851">
        <f>VLOOKUP(D3851,State_Lookup!$A$2:$B$28,2,FALSE)</f>
        <v/>
      </c>
    </row>
    <row r="3852">
      <c r="A3852" t="inlineStr">
        <is>
          <t>bb87d6748da724f69c5e62274dc7aae6</t>
        </is>
      </c>
      <c r="B3852" t="inlineStr">
        <is>
          <t>2018-05-10</t>
        </is>
      </c>
      <c r="C3852" t="inlineStr">
        <is>
          <t>2018-05</t>
        </is>
      </c>
      <c r="D3852" t="inlineStr">
        <is>
          <t>RJ</t>
        </is>
      </c>
      <c r="E3852" t="inlineStr">
        <is>
          <t>health_beauty</t>
        </is>
      </c>
      <c r="F3852" t="n">
        <v>1</v>
      </c>
      <c r="G3852" t="n">
        <v>99.90000000000001</v>
      </c>
      <c r="H3852" t="n">
        <v>18.58</v>
      </c>
      <c r="I3852" t="inlineStr">
        <is>
          <t>credit_card</t>
        </is>
      </c>
      <c r="J3852" t="inlineStr"/>
      <c r="K3852" t="inlineStr">
        <is>
          <t>Not Delivered</t>
        </is>
      </c>
      <c r="L3852" t="inlineStr"/>
      <c r="M3852">
        <f>VLOOKUP(D3852,State_Lookup!$A$2:$B$28,2,FALSE)</f>
        <v/>
      </c>
    </row>
    <row r="3853">
      <c r="A3853" t="inlineStr">
        <is>
          <t>73ff74f8f201c61c0c625cfe7ec63cd2</t>
        </is>
      </c>
      <c r="B3853" t="inlineStr">
        <is>
          <t>2018-05-10</t>
        </is>
      </c>
      <c r="C3853" t="inlineStr">
        <is>
          <t>2018-05</t>
        </is>
      </c>
      <c r="D3853" t="inlineStr">
        <is>
          <t>SC</t>
        </is>
      </c>
      <c r="E3853" t="inlineStr">
        <is>
          <t>books_general_interest</t>
        </is>
      </c>
      <c r="F3853" t="n">
        <v>1</v>
      </c>
      <c r="G3853" t="n">
        <v>24.9</v>
      </c>
      <c r="H3853" t="n">
        <v>18.23</v>
      </c>
      <c r="I3853" t="inlineStr">
        <is>
          <t>credit_card</t>
        </is>
      </c>
      <c r="J3853" t="n">
        <v>12</v>
      </c>
      <c r="K3853" t="inlineStr">
        <is>
          <t>On Time</t>
        </is>
      </c>
      <c r="L3853" t="n">
        <v>4</v>
      </c>
      <c r="M3853">
        <f>VLOOKUP(D3853,State_Lookup!$A$2:$B$28,2,FALSE)</f>
        <v/>
      </c>
    </row>
    <row r="3854">
      <c r="A3854" t="inlineStr">
        <is>
          <t>e67519acd1370f173550a6cb2b994ca6</t>
        </is>
      </c>
      <c r="B3854" t="inlineStr">
        <is>
          <t>2018-05-10</t>
        </is>
      </c>
      <c r="C3854" t="inlineStr">
        <is>
          <t>2018-05</t>
        </is>
      </c>
      <c r="D3854" t="inlineStr">
        <is>
          <t>PR</t>
        </is>
      </c>
      <c r="E3854" t="inlineStr">
        <is>
          <t>garden_tools</t>
        </is>
      </c>
      <c r="F3854" t="n">
        <v>1</v>
      </c>
      <c r="G3854" t="n">
        <v>53.9</v>
      </c>
      <c r="H3854" t="n">
        <v>22.96</v>
      </c>
      <c r="I3854" t="inlineStr">
        <is>
          <t>boleto</t>
        </is>
      </c>
      <c r="J3854" t="n">
        <v>7</v>
      </c>
      <c r="K3854" t="inlineStr">
        <is>
          <t>On Time</t>
        </is>
      </c>
      <c r="L3854" t="n">
        <v>5</v>
      </c>
      <c r="M3854">
        <f>VLOOKUP(D3854,State_Lookup!$A$2:$B$28,2,FALSE)</f>
        <v/>
      </c>
    </row>
    <row r="3855">
      <c r="A3855" t="inlineStr">
        <is>
          <t>1e24c66f40e16d38609ed026af8b4c94</t>
        </is>
      </c>
      <c r="B3855" t="inlineStr">
        <is>
          <t>2018-05-11</t>
        </is>
      </c>
      <c r="C3855" t="inlineStr">
        <is>
          <t>2018-05</t>
        </is>
      </c>
      <c r="D3855" t="inlineStr">
        <is>
          <t>BA</t>
        </is>
      </c>
      <c r="E3855" t="inlineStr">
        <is>
          <t>health_beauty</t>
        </is>
      </c>
      <c r="F3855" t="n">
        <v>1</v>
      </c>
      <c r="G3855" t="n">
        <v>79.98999999999999</v>
      </c>
      <c r="H3855" t="n">
        <v>13.16</v>
      </c>
      <c r="I3855" t="inlineStr">
        <is>
          <t>credit_card</t>
        </is>
      </c>
      <c r="J3855" t="n">
        <v>28</v>
      </c>
      <c r="K3855" t="inlineStr">
        <is>
          <t>Late</t>
        </is>
      </c>
      <c r="L3855" t="n">
        <v>4</v>
      </c>
      <c r="M3855">
        <f>VLOOKUP(D3855,State_Lookup!$A$2:$B$28,2,FALSE)</f>
        <v/>
      </c>
    </row>
    <row r="3856">
      <c r="A3856" t="inlineStr">
        <is>
          <t>d5691ee416fbe1f2d1b061319de61570</t>
        </is>
      </c>
      <c r="B3856" t="inlineStr">
        <is>
          <t>2018-05-11</t>
        </is>
      </c>
      <c r="C3856" t="inlineStr">
        <is>
          <t>2018-05</t>
        </is>
      </c>
      <c r="D3856" t="inlineStr">
        <is>
          <t>RJ</t>
        </is>
      </c>
      <c r="E3856" t="inlineStr">
        <is>
          <t>health_beauty</t>
        </is>
      </c>
      <c r="F3856" t="n">
        <v>1</v>
      </c>
      <c r="G3856" t="n">
        <v>54</v>
      </c>
      <c r="H3856" t="n">
        <v>18.26</v>
      </c>
      <c r="I3856" t="inlineStr">
        <is>
          <t>debit_card</t>
        </is>
      </c>
      <c r="J3856" t="n">
        <v>4</v>
      </c>
      <c r="K3856" t="inlineStr">
        <is>
          <t>On Time</t>
        </is>
      </c>
      <c r="L3856" t="n">
        <v>5</v>
      </c>
      <c r="M3856">
        <f>VLOOKUP(D3856,State_Lookup!$A$2:$B$28,2,FALSE)</f>
        <v/>
      </c>
    </row>
    <row r="3857">
      <c r="A3857" t="inlineStr">
        <is>
          <t>db4982d0129b4b2ac1eb511ab4743799</t>
        </is>
      </c>
      <c r="B3857" t="inlineStr">
        <is>
          <t>2018-05-11</t>
        </is>
      </c>
      <c r="C3857" t="inlineStr">
        <is>
          <t>2018-05</t>
        </is>
      </c>
      <c r="D3857" t="inlineStr">
        <is>
          <t>SP</t>
        </is>
      </c>
      <c r="E3857" t="inlineStr">
        <is>
          <t>unknown</t>
        </is>
      </c>
      <c r="F3857" t="n">
        <v>1</v>
      </c>
      <c r="G3857" t="n">
        <v>8.99</v>
      </c>
      <c r="H3857" t="n">
        <v>7.39</v>
      </c>
      <c r="I3857" t="inlineStr">
        <is>
          <t>credit_card</t>
        </is>
      </c>
      <c r="J3857" t="n">
        <v>6</v>
      </c>
      <c r="K3857" t="inlineStr">
        <is>
          <t>On Time</t>
        </is>
      </c>
      <c r="L3857" t="n">
        <v>4</v>
      </c>
      <c r="M3857">
        <f>VLOOKUP(D3857,State_Lookup!$A$2:$B$28,2,FALSE)</f>
        <v/>
      </c>
    </row>
    <row r="3858">
      <c r="A3858" t="inlineStr">
        <is>
          <t>4bac61800c1e9be95b1fc49a6b859c64</t>
        </is>
      </c>
      <c r="B3858" t="inlineStr">
        <is>
          <t>2018-05-11</t>
        </is>
      </c>
      <c r="C3858" t="inlineStr">
        <is>
          <t>2018-05</t>
        </is>
      </c>
      <c r="D3858" t="inlineStr">
        <is>
          <t>MG</t>
        </is>
      </c>
      <c r="E3858" t="inlineStr">
        <is>
          <t>computers_accessories</t>
        </is>
      </c>
      <c r="F3858" t="n">
        <v>2</v>
      </c>
      <c r="G3858" t="n">
        <v>299.8</v>
      </c>
      <c r="H3858" t="n">
        <v>41.44</v>
      </c>
      <c r="I3858" t="inlineStr">
        <is>
          <t>credit_card</t>
        </is>
      </c>
      <c r="J3858" t="n">
        <v>19</v>
      </c>
      <c r="K3858" t="inlineStr">
        <is>
          <t>On Time</t>
        </is>
      </c>
      <c r="L3858" t="n">
        <v>5</v>
      </c>
      <c r="M3858">
        <f>VLOOKUP(D3858,State_Lookup!$A$2:$B$28,2,FALSE)</f>
        <v/>
      </c>
    </row>
    <row r="3859">
      <c r="A3859" t="inlineStr">
        <is>
          <t>dcfd880d34266648380b0b525d0c41e3</t>
        </is>
      </c>
      <c r="B3859" t="inlineStr">
        <is>
          <t>2018-05-11</t>
        </is>
      </c>
      <c r="C3859" t="inlineStr">
        <is>
          <t>2018-05</t>
        </is>
      </c>
      <c r="D3859" t="inlineStr">
        <is>
          <t>SP</t>
        </is>
      </c>
      <c r="E3859" t="inlineStr">
        <is>
          <t>perfumery</t>
        </is>
      </c>
      <c r="F3859" t="n">
        <v>1</v>
      </c>
      <c r="G3859" t="n">
        <v>245</v>
      </c>
      <c r="H3859" t="n">
        <v>9.48</v>
      </c>
      <c r="I3859" t="inlineStr">
        <is>
          <t>credit_card</t>
        </is>
      </c>
      <c r="J3859" t="n">
        <v>3</v>
      </c>
      <c r="K3859" t="inlineStr">
        <is>
          <t>On Time</t>
        </is>
      </c>
      <c r="L3859" t="n">
        <v>5</v>
      </c>
      <c r="M3859">
        <f>VLOOKUP(D3859,State_Lookup!$A$2:$B$28,2,FALSE)</f>
        <v/>
      </c>
    </row>
    <row r="3860">
      <c r="A3860" t="inlineStr">
        <is>
          <t>b4ed4f83279457b6eae0d4c1c9ee8aa2</t>
        </is>
      </c>
      <c r="B3860" t="inlineStr">
        <is>
          <t>2018-05-11</t>
        </is>
      </c>
      <c r="C3860" t="inlineStr">
        <is>
          <t>2018-05</t>
        </is>
      </c>
      <c r="D3860" t="inlineStr">
        <is>
          <t>SP</t>
        </is>
      </c>
      <c r="E3860" t="inlineStr">
        <is>
          <t>unknown</t>
        </is>
      </c>
      <c r="F3860" t="n">
        <v>1</v>
      </c>
      <c r="G3860" t="n">
        <v>33</v>
      </c>
      <c r="H3860" t="n">
        <v>8.289999999999999</v>
      </c>
      <c r="I3860" t="inlineStr">
        <is>
          <t>credit_card</t>
        </is>
      </c>
      <c r="J3860" t="n">
        <v>3</v>
      </c>
      <c r="K3860" t="inlineStr">
        <is>
          <t>On Time</t>
        </is>
      </c>
      <c r="L3860" t="n">
        <v>5</v>
      </c>
      <c r="M3860">
        <f>VLOOKUP(D3860,State_Lookup!$A$2:$B$28,2,FALSE)</f>
        <v/>
      </c>
    </row>
    <row r="3861">
      <c r="A3861" t="inlineStr">
        <is>
          <t>8b47e7e04a986e036f10ab10bae91a4b</t>
        </is>
      </c>
      <c r="B3861" t="inlineStr">
        <is>
          <t>2018-05-11</t>
        </is>
      </c>
      <c r="C3861" t="inlineStr">
        <is>
          <t>2018-05</t>
        </is>
      </c>
      <c r="D3861" t="inlineStr">
        <is>
          <t>ES</t>
        </is>
      </c>
      <c r="E3861" t="inlineStr">
        <is>
          <t>computers_accessories</t>
        </is>
      </c>
      <c r="F3861" t="n">
        <v>1</v>
      </c>
      <c r="G3861" t="n">
        <v>64.90000000000001</v>
      </c>
      <c r="H3861" t="n">
        <v>18.33</v>
      </c>
      <c r="I3861" t="inlineStr">
        <is>
          <t>boleto</t>
        </is>
      </c>
      <c r="J3861" t="n">
        <v>13</v>
      </c>
      <c r="K3861" t="inlineStr">
        <is>
          <t>On Time</t>
        </is>
      </c>
      <c r="L3861" t="n">
        <v>5</v>
      </c>
      <c r="M3861">
        <f>VLOOKUP(D3861,State_Lookup!$A$2:$B$28,2,FALSE)</f>
        <v/>
      </c>
    </row>
    <row r="3862">
      <c r="A3862" t="inlineStr">
        <is>
          <t>ef27899be3cc299d6e7b3a0d9c895809</t>
        </is>
      </c>
      <c r="B3862" t="inlineStr">
        <is>
          <t>2018-05-12</t>
        </is>
      </c>
      <c r="C3862" t="inlineStr">
        <is>
          <t>2018-05</t>
        </is>
      </c>
      <c r="D3862" t="inlineStr">
        <is>
          <t>MG</t>
        </is>
      </c>
      <c r="E3862" t="inlineStr">
        <is>
          <t>pet_shop</t>
        </is>
      </c>
      <c r="F3862" t="n">
        <v>1</v>
      </c>
      <c r="G3862" t="n">
        <v>45</v>
      </c>
      <c r="H3862" t="n">
        <v>23.28</v>
      </c>
      <c r="I3862" t="inlineStr">
        <is>
          <t>credit_card</t>
        </is>
      </c>
      <c r="J3862" t="n">
        <v>10</v>
      </c>
      <c r="K3862" t="inlineStr">
        <is>
          <t>On Time</t>
        </is>
      </c>
      <c r="L3862" t="n">
        <v>5</v>
      </c>
      <c r="M3862">
        <f>VLOOKUP(D3862,State_Lookup!$A$2:$B$28,2,FALSE)</f>
        <v/>
      </c>
    </row>
    <row r="3863">
      <c r="A3863" t="inlineStr">
        <is>
          <t>cddb49503674fc983e56f506266cb68a</t>
        </is>
      </c>
      <c r="B3863" t="inlineStr">
        <is>
          <t>2018-05-12</t>
        </is>
      </c>
      <c r="C3863" t="inlineStr">
        <is>
          <t>2018-05</t>
        </is>
      </c>
      <c r="D3863" t="inlineStr">
        <is>
          <t>SP</t>
        </is>
      </c>
      <c r="E3863" t="inlineStr">
        <is>
          <t>garden_tools</t>
        </is>
      </c>
      <c r="F3863" t="n">
        <v>1</v>
      </c>
      <c r="G3863" t="n">
        <v>55</v>
      </c>
      <c r="H3863" t="n">
        <v>8.880000000000001</v>
      </c>
      <c r="I3863" t="inlineStr">
        <is>
          <t>credit_card</t>
        </is>
      </c>
      <c r="J3863" t="n">
        <v>4</v>
      </c>
      <c r="K3863" t="inlineStr">
        <is>
          <t>On Time</t>
        </is>
      </c>
      <c r="L3863" t="n">
        <v>4</v>
      </c>
      <c r="M3863">
        <f>VLOOKUP(D3863,State_Lookup!$A$2:$B$28,2,FALSE)</f>
        <v/>
      </c>
    </row>
    <row r="3864">
      <c r="A3864" t="inlineStr">
        <is>
          <t>395522d74b4f19e9d229bacaab803c99</t>
        </is>
      </c>
      <c r="B3864" t="inlineStr">
        <is>
          <t>2018-05-12</t>
        </is>
      </c>
      <c r="C3864" t="inlineStr">
        <is>
          <t>2018-05</t>
        </is>
      </c>
      <c r="D3864" t="inlineStr">
        <is>
          <t>CE</t>
        </is>
      </c>
      <c r="E3864" t="inlineStr">
        <is>
          <t>watches_gifts</t>
        </is>
      </c>
      <c r="F3864" t="n">
        <v>1</v>
      </c>
      <c r="G3864" t="n">
        <v>207</v>
      </c>
      <c r="H3864" t="n">
        <v>38.14</v>
      </c>
      <c r="I3864" t="inlineStr">
        <is>
          <t>credit_card</t>
        </is>
      </c>
      <c r="J3864" t="n">
        <v>37</v>
      </c>
      <c r="K3864" t="inlineStr">
        <is>
          <t>Late</t>
        </is>
      </c>
      <c r="L3864" t="n">
        <v>3</v>
      </c>
      <c r="M3864">
        <f>VLOOKUP(D3864,State_Lookup!$A$2:$B$28,2,FALSE)</f>
        <v/>
      </c>
    </row>
    <row r="3865">
      <c r="A3865" t="inlineStr">
        <is>
          <t>c7f9a63be296b2be1bb5ad47c7d61dd2</t>
        </is>
      </c>
      <c r="B3865" t="inlineStr">
        <is>
          <t>2018-05-12</t>
        </is>
      </c>
      <c r="C3865" t="inlineStr">
        <is>
          <t>2018-05</t>
        </is>
      </c>
      <c r="D3865" t="inlineStr">
        <is>
          <t>SP</t>
        </is>
      </c>
      <c r="E3865" t="inlineStr">
        <is>
          <t>health_beauty</t>
        </is>
      </c>
      <c r="F3865" t="n">
        <v>1</v>
      </c>
      <c r="G3865" t="n">
        <v>99.98999999999999</v>
      </c>
      <c r="H3865" t="n">
        <v>16.67</v>
      </c>
      <c r="I3865" t="inlineStr">
        <is>
          <t>credit_card</t>
        </is>
      </c>
      <c r="J3865" t="n">
        <v>5</v>
      </c>
      <c r="K3865" t="inlineStr">
        <is>
          <t>On Time</t>
        </is>
      </c>
      <c r="L3865" t="n">
        <v>3</v>
      </c>
      <c r="M3865">
        <f>VLOOKUP(D3865,State_Lookup!$A$2:$B$28,2,FALSE)</f>
        <v/>
      </c>
    </row>
    <row r="3866">
      <c r="A3866" t="inlineStr">
        <is>
          <t>695e141b92a0f2bc8a7bff7d621692ed</t>
        </is>
      </c>
      <c r="B3866" t="inlineStr">
        <is>
          <t>2018-05-12</t>
        </is>
      </c>
      <c r="C3866" t="inlineStr">
        <is>
          <t>2018-05</t>
        </is>
      </c>
      <c r="D3866" t="inlineStr">
        <is>
          <t>DF</t>
        </is>
      </c>
      <c r="E3866" t="inlineStr">
        <is>
          <t>computers_accessories</t>
        </is>
      </c>
      <c r="F3866" t="n">
        <v>1</v>
      </c>
      <c r="G3866" t="n">
        <v>18.99</v>
      </c>
      <c r="H3866" t="n">
        <v>15.23</v>
      </c>
      <c r="I3866" t="inlineStr">
        <is>
          <t>boleto</t>
        </is>
      </c>
      <c r="J3866" t="n">
        <v>9</v>
      </c>
      <c r="K3866" t="inlineStr">
        <is>
          <t>On Time</t>
        </is>
      </c>
      <c r="L3866" t="n">
        <v>5</v>
      </c>
      <c r="M3866">
        <f>VLOOKUP(D3866,State_Lookup!$A$2:$B$28,2,FALSE)</f>
        <v/>
      </c>
    </row>
    <row r="3867">
      <c r="A3867" t="inlineStr">
        <is>
          <t>0d8e03520c1b877edaf5ef24f7abb5cb</t>
        </is>
      </c>
      <c r="B3867" t="inlineStr">
        <is>
          <t>2018-05-12</t>
        </is>
      </c>
      <c r="C3867" t="inlineStr">
        <is>
          <t>2018-05</t>
        </is>
      </c>
      <c r="D3867" t="inlineStr">
        <is>
          <t>PB</t>
        </is>
      </c>
      <c r="E3867" t="inlineStr">
        <is>
          <t>small_appliances</t>
        </is>
      </c>
      <c r="F3867" t="n">
        <v>1</v>
      </c>
      <c r="G3867" t="n">
        <v>899.9</v>
      </c>
      <c r="H3867" t="n">
        <v>28.8</v>
      </c>
      <c r="I3867" t="inlineStr">
        <is>
          <t>boleto</t>
        </is>
      </c>
      <c r="J3867" t="n">
        <v>29</v>
      </c>
      <c r="K3867" t="inlineStr">
        <is>
          <t>On Time</t>
        </is>
      </c>
      <c r="L3867" t="n">
        <v>5</v>
      </c>
      <c r="M3867">
        <f>VLOOKUP(D3867,State_Lookup!$A$2:$B$28,2,FALSE)</f>
        <v/>
      </c>
    </row>
    <row r="3868">
      <c r="A3868" t="inlineStr">
        <is>
          <t>dd9768256f9f491643fb7b53fc193b7d</t>
        </is>
      </c>
      <c r="B3868" t="inlineStr">
        <is>
          <t>2018-05-12</t>
        </is>
      </c>
      <c r="C3868" t="inlineStr">
        <is>
          <t>2018-05</t>
        </is>
      </c>
      <c r="D3868" t="inlineStr">
        <is>
          <t>SP</t>
        </is>
      </c>
      <c r="E3868" t="inlineStr">
        <is>
          <t>stationery</t>
        </is>
      </c>
      <c r="F3868" t="n">
        <v>1</v>
      </c>
      <c r="G3868" t="n">
        <v>55</v>
      </c>
      <c r="H3868" t="n">
        <v>8.289999999999999</v>
      </c>
      <c r="I3868" t="inlineStr">
        <is>
          <t>credit_card</t>
        </is>
      </c>
      <c r="J3868" t="n">
        <v>2</v>
      </c>
      <c r="K3868" t="inlineStr">
        <is>
          <t>On Time</t>
        </is>
      </c>
      <c r="L3868" t="n">
        <v>5</v>
      </c>
      <c r="M3868">
        <f>VLOOKUP(D3868,State_Lookup!$A$2:$B$28,2,FALSE)</f>
        <v/>
      </c>
    </row>
    <row r="3869">
      <c r="A3869" t="inlineStr">
        <is>
          <t>6c28b1d1bade1e274dc893aaf8b0535d</t>
        </is>
      </c>
      <c r="B3869" t="inlineStr">
        <is>
          <t>2018-05-12</t>
        </is>
      </c>
      <c r="C3869" t="inlineStr">
        <is>
          <t>2018-05</t>
        </is>
      </c>
      <c r="D3869" t="inlineStr">
        <is>
          <t>SP</t>
        </is>
      </c>
      <c r="E3869" t="inlineStr">
        <is>
          <t>cool_stuff</t>
        </is>
      </c>
      <c r="F3869" t="n">
        <v>1</v>
      </c>
      <c r="G3869" t="n">
        <v>599.9</v>
      </c>
      <c r="H3869" t="n">
        <v>26.78</v>
      </c>
      <c r="I3869" t="inlineStr">
        <is>
          <t>credit_card</t>
        </is>
      </c>
      <c r="J3869" t="n">
        <v>4</v>
      </c>
      <c r="K3869" t="inlineStr">
        <is>
          <t>On Time</t>
        </is>
      </c>
      <c r="L3869" t="n">
        <v>1</v>
      </c>
      <c r="M3869">
        <f>VLOOKUP(D3869,State_Lookup!$A$2:$B$28,2,FALSE)</f>
        <v/>
      </c>
    </row>
    <row r="3870">
      <c r="A3870" t="inlineStr">
        <is>
          <t>aa73e81062a62cb7834b770ff58ff6b8</t>
        </is>
      </c>
      <c r="B3870" t="inlineStr">
        <is>
          <t>2018-05-12</t>
        </is>
      </c>
      <c r="C3870" t="inlineStr">
        <is>
          <t>2018-05</t>
        </is>
      </c>
      <c r="D3870" t="inlineStr">
        <is>
          <t>MT</t>
        </is>
      </c>
      <c r="E3870" t="inlineStr">
        <is>
          <t>furniture_decor</t>
        </is>
      </c>
      <c r="F3870" t="n">
        <v>1</v>
      </c>
      <c r="G3870" t="n">
        <v>299</v>
      </c>
      <c r="H3870" t="n">
        <v>68.53</v>
      </c>
      <c r="I3870" t="inlineStr">
        <is>
          <t>credit_card</t>
        </is>
      </c>
      <c r="J3870" t="n">
        <v>23</v>
      </c>
      <c r="K3870" t="inlineStr">
        <is>
          <t>On Time</t>
        </is>
      </c>
      <c r="L3870" t="n">
        <v>5</v>
      </c>
      <c r="M3870">
        <f>VLOOKUP(D3870,State_Lookup!$A$2:$B$28,2,FALSE)</f>
        <v/>
      </c>
    </row>
    <row r="3871">
      <c r="A3871" t="inlineStr">
        <is>
          <t>5775b40b5767cf4043ffa1322c7d646c</t>
        </is>
      </c>
      <c r="B3871" t="inlineStr">
        <is>
          <t>2018-05-13</t>
        </is>
      </c>
      <c r="C3871" t="inlineStr">
        <is>
          <t>2018-05</t>
        </is>
      </c>
      <c r="D3871" t="inlineStr">
        <is>
          <t>RS</t>
        </is>
      </c>
      <c r="E3871" t="inlineStr">
        <is>
          <t>sports_leisure</t>
        </is>
      </c>
      <c r="F3871" t="n">
        <v>1</v>
      </c>
      <c r="G3871" t="n">
        <v>299</v>
      </c>
      <c r="H3871" t="n">
        <v>14.18</v>
      </c>
      <c r="I3871" t="inlineStr">
        <is>
          <t>credit_card</t>
        </is>
      </c>
      <c r="J3871" t="n">
        <v>5</v>
      </c>
      <c r="K3871" t="inlineStr">
        <is>
          <t>On Time</t>
        </is>
      </c>
      <c r="L3871" t="n">
        <v>3</v>
      </c>
      <c r="M3871">
        <f>VLOOKUP(D3871,State_Lookup!$A$2:$B$28,2,FALSE)</f>
        <v/>
      </c>
    </row>
    <row r="3872">
      <c r="A3872" t="inlineStr">
        <is>
          <t>638a5347b71204f129b75b558d79bf07</t>
        </is>
      </c>
      <c r="B3872" t="inlineStr">
        <is>
          <t>2018-05-13</t>
        </is>
      </c>
      <c r="C3872" t="inlineStr">
        <is>
          <t>2018-05</t>
        </is>
      </c>
      <c r="D3872" t="inlineStr">
        <is>
          <t>MG</t>
        </is>
      </c>
      <c r="E3872" t="inlineStr">
        <is>
          <t>health_beauty</t>
        </is>
      </c>
      <c r="F3872" t="n">
        <v>1</v>
      </c>
      <c r="G3872" t="n">
        <v>151</v>
      </c>
      <c r="H3872" t="n">
        <v>17.24</v>
      </c>
      <c r="I3872" t="inlineStr">
        <is>
          <t>credit_card</t>
        </is>
      </c>
      <c r="J3872" t="n">
        <v>19</v>
      </c>
      <c r="K3872" t="inlineStr">
        <is>
          <t>On Time</t>
        </is>
      </c>
      <c r="L3872" t="n">
        <v>4</v>
      </c>
      <c r="M3872">
        <f>VLOOKUP(D3872,State_Lookup!$A$2:$B$28,2,FALSE)</f>
        <v/>
      </c>
    </row>
    <row r="3873">
      <c r="A3873" t="inlineStr">
        <is>
          <t>2362f0e9afcae197310501d93b070bb6</t>
        </is>
      </c>
      <c r="B3873" t="inlineStr">
        <is>
          <t>2018-05-13</t>
        </is>
      </c>
      <c r="C3873" t="inlineStr">
        <is>
          <t>2018-05</t>
        </is>
      </c>
      <c r="D3873" t="inlineStr">
        <is>
          <t>SP</t>
        </is>
      </c>
      <c r="E3873" t="inlineStr">
        <is>
          <t>furniture_decor</t>
        </is>
      </c>
      <c r="F3873" t="n">
        <v>1</v>
      </c>
      <c r="G3873" t="n">
        <v>189.9</v>
      </c>
      <c r="H3873" t="n">
        <v>13.77</v>
      </c>
      <c r="I3873" t="inlineStr">
        <is>
          <t>credit_card</t>
        </is>
      </c>
      <c r="J3873" t="n">
        <v>22</v>
      </c>
      <c r="K3873" t="inlineStr">
        <is>
          <t>Late</t>
        </is>
      </c>
      <c r="L3873" t="n">
        <v>5</v>
      </c>
      <c r="M3873">
        <f>VLOOKUP(D3873,State_Lookup!$A$2:$B$28,2,FALSE)</f>
        <v/>
      </c>
    </row>
    <row r="3874">
      <c r="A3874" t="inlineStr">
        <is>
          <t>8ca4b77b042042e7388a0df85b37ebeb</t>
        </is>
      </c>
      <c r="B3874" t="inlineStr">
        <is>
          <t>2018-05-13</t>
        </is>
      </c>
      <c r="C3874" t="inlineStr">
        <is>
          <t>2018-05</t>
        </is>
      </c>
      <c r="D3874" t="inlineStr">
        <is>
          <t>SP</t>
        </is>
      </c>
      <c r="E3874" t="inlineStr">
        <is>
          <t>bed_bath_table</t>
        </is>
      </c>
      <c r="F3874" t="n">
        <v>1</v>
      </c>
      <c r="G3874" t="n">
        <v>149.9</v>
      </c>
      <c r="H3874" t="n">
        <v>12.14</v>
      </c>
      <c r="I3874" t="inlineStr">
        <is>
          <t>credit_card</t>
        </is>
      </c>
      <c r="J3874" t="n">
        <v>1</v>
      </c>
      <c r="K3874" t="inlineStr">
        <is>
          <t>On Time</t>
        </is>
      </c>
      <c r="L3874" t="n">
        <v>5</v>
      </c>
      <c r="M3874">
        <f>VLOOKUP(D3874,State_Lookup!$A$2:$B$28,2,FALSE)</f>
        <v/>
      </c>
    </row>
    <row r="3875">
      <c r="A3875" t="inlineStr">
        <is>
          <t>01ed8d522a969ceeb6ba285a161bf4c9</t>
        </is>
      </c>
      <c r="B3875" t="inlineStr">
        <is>
          <t>2018-05-13</t>
        </is>
      </c>
      <c r="C3875" t="inlineStr">
        <is>
          <t>2018-05</t>
        </is>
      </c>
      <c r="D3875" t="inlineStr">
        <is>
          <t>SP</t>
        </is>
      </c>
      <c r="E3875" t="inlineStr">
        <is>
          <t>market_place</t>
        </is>
      </c>
      <c r="F3875" t="n">
        <v>1</v>
      </c>
      <c r="G3875" t="n">
        <v>47.9</v>
      </c>
      <c r="H3875" t="n">
        <v>19.32</v>
      </c>
      <c r="I3875" t="inlineStr">
        <is>
          <t>credit_card</t>
        </is>
      </c>
      <c r="J3875" t="n">
        <v>4</v>
      </c>
      <c r="K3875" t="inlineStr">
        <is>
          <t>On Time</t>
        </is>
      </c>
      <c r="L3875" t="n">
        <v>4</v>
      </c>
      <c r="M3875">
        <f>VLOOKUP(D3875,State_Lookup!$A$2:$B$28,2,FALSE)</f>
        <v/>
      </c>
    </row>
    <row r="3876">
      <c r="A3876" t="inlineStr">
        <is>
          <t>cc94a3db006a9dbbf0a57bda0091d616</t>
        </is>
      </c>
      <c r="B3876" t="inlineStr">
        <is>
          <t>2018-05-13</t>
        </is>
      </c>
      <c r="C3876" t="inlineStr">
        <is>
          <t>2018-05</t>
        </is>
      </c>
      <c r="D3876" t="inlineStr">
        <is>
          <t>SP</t>
        </is>
      </c>
      <c r="E3876" t="inlineStr">
        <is>
          <t>sports_leisure</t>
        </is>
      </c>
      <c r="F3876" t="n">
        <v>2</v>
      </c>
      <c r="G3876" t="n">
        <v>219.8</v>
      </c>
      <c r="H3876" t="n">
        <v>17.06</v>
      </c>
      <c r="I3876" t="inlineStr">
        <is>
          <t>credit_card</t>
        </is>
      </c>
      <c r="J3876" t="n">
        <v>3</v>
      </c>
      <c r="K3876" t="inlineStr">
        <is>
          <t>On Time</t>
        </is>
      </c>
      <c r="L3876" t="n">
        <v>5</v>
      </c>
      <c r="M3876">
        <f>VLOOKUP(D3876,State_Lookup!$A$2:$B$28,2,FALSE)</f>
        <v/>
      </c>
    </row>
    <row r="3877">
      <c r="A3877" t="inlineStr">
        <is>
          <t>39b9e0d03c6b33e01332ca4c06c6aa2e</t>
        </is>
      </c>
      <c r="B3877" t="inlineStr">
        <is>
          <t>2018-05-13</t>
        </is>
      </c>
      <c r="C3877" t="inlineStr">
        <is>
          <t>2018-05</t>
        </is>
      </c>
      <c r="D3877" t="inlineStr">
        <is>
          <t>RS</t>
        </is>
      </c>
      <c r="E3877" t="inlineStr">
        <is>
          <t>sports_leisure</t>
        </is>
      </c>
      <c r="F3877" t="n">
        <v>1</v>
      </c>
      <c r="G3877" t="n">
        <v>62.9</v>
      </c>
      <c r="H3877" t="n">
        <v>19.41</v>
      </c>
      <c r="I3877" t="inlineStr">
        <is>
          <t>credit_card</t>
        </is>
      </c>
      <c r="J3877" t="n">
        <v>8</v>
      </c>
      <c r="K3877" t="inlineStr">
        <is>
          <t>On Time</t>
        </is>
      </c>
      <c r="L3877" t="n">
        <v>4</v>
      </c>
      <c r="M3877">
        <f>VLOOKUP(D3877,State_Lookup!$A$2:$B$28,2,FALSE)</f>
        <v/>
      </c>
    </row>
    <row r="3878">
      <c r="A3878" t="inlineStr">
        <is>
          <t>88af1e29bb0ae20c379da31875a94806</t>
        </is>
      </c>
      <c r="B3878" t="inlineStr">
        <is>
          <t>2018-05-13</t>
        </is>
      </c>
      <c r="C3878" t="inlineStr">
        <is>
          <t>2018-05</t>
        </is>
      </c>
      <c r="D3878" t="inlineStr">
        <is>
          <t>RJ</t>
        </is>
      </c>
      <c r="E3878" t="inlineStr">
        <is>
          <t>cool_stuff</t>
        </is>
      </c>
      <c r="F3878" t="n">
        <v>1</v>
      </c>
      <c r="G3878" t="n">
        <v>199</v>
      </c>
      <c r="H3878" t="n">
        <v>32.79</v>
      </c>
      <c r="I3878" t="inlineStr">
        <is>
          <t>credit_card</t>
        </is>
      </c>
      <c r="J3878" t="n">
        <v>8</v>
      </c>
      <c r="K3878" t="inlineStr">
        <is>
          <t>On Time</t>
        </is>
      </c>
      <c r="L3878" t="n">
        <v>5</v>
      </c>
      <c r="M3878">
        <f>VLOOKUP(D3878,State_Lookup!$A$2:$B$28,2,FALSE)</f>
        <v/>
      </c>
    </row>
    <row r="3879">
      <c r="A3879" t="inlineStr">
        <is>
          <t>1ab81205bd97428adba5715c92dae13a</t>
        </is>
      </c>
      <c r="B3879" t="inlineStr">
        <is>
          <t>2018-05-13</t>
        </is>
      </c>
      <c r="C3879" t="inlineStr">
        <is>
          <t>2018-05</t>
        </is>
      </c>
      <c r="D3879" t="inlineStr">
        <is>
          <t>SP</t>
        </is>
      </c>
      <c r="E3879" t="inlineStr">
        <is>
          <t>small_appliances_home_oven_and_coffee</t>
        </is>
      </c>
      <c r="F3879" t="n">
        <v>1</v>
      </c>
      <c r="G3879" t="n">
        <v>858.9</v>
      </c>
      <c r="H3879" t="n">
        <v>17.92</v>
      </c>
      <c r="I3879" t="inlineStr">
        <is>
          <t>credit_card</t>
        </is>
      </c>
      <c r="J3879" t="n">
        <v>2</v>
      </c>
      <c r="K3879" t="inlineStr">
        <is>
          <t>On Time</t>
        </is>
      </c>
      <c r="L3879" t="n">
        <v>4</v>
      </c>
      <c r="M3879">
        <f>VLOOKUP(D3879,State_Lookup!$A$2:$B$28,2,FALSE)</f>
        <v/>
      </c>
    </row>
    <row r="3880">
      <c r="A3880" t="inlineStr">
        <is>
          <t>6d08b9609c4e0cb107497f8307539077</t>
        </is>
      </c>
      <c r="B3880" t="inlineStr">
        <is>
          <t>2018-05-14</t>
        </is>
      </c>
      <c r="C3880" t="inlineStr">
        <is>
          <t>2018-05</t>
        </is>
      </c>
      <c r="D3880" t="inlineStr">
        <is>
          <t>MG</t>
        </is>
      </c>
      <c r="E3880" t="inlineStr">
        <is>
          <t>audio</t>
        </is>
      </c>
      <c r="F3880" t="n">
        <v>1</v>
      </c>
      <c r="G3880" t="n">
        <v>14.9</v>
      </c>
      <c r="H3880" t="n">
        <v>15.23</v>
      </c>
      <c r="I3880" t="inlineStr">
        <is>
          <t>credit_card</t>
        </is>
      </c>
      <c r="J3880" t="n">
        <v>6</v>
      </c>
      <c r="K3880" t="inlineStr">
        <is>
          <t>On Time</t>
        </is>
      </c>
      <c r="L3880" t="n">
        <v>4</v>
      </c>
      <c r="M3880">
        <f>VLOOKUP(D3880,State_Lookup!$A$2:$B$28,2,FALSE)</f>
        <v/>
      </c>
    </row>
    <row r="3881">
      <c r="A3881" t="inlineStr">
        <is>
          <t>0877034e4780ed6345f93f2c0e0d48ec</t>
        </is>
      </c>
      <c r="B3881" t="inlineStr">
        <is>
          <t>2018-05-14</t>
        </is>
      </c>
      <c r="C3881" t="inlineStr">
        <is>
          <t>2018-05</t>
        </is>
      </c>
      <c r="D3881" t="inlineStr">
        <is>
          <t>RS</t>
        </is>
      </c>
      <c r="E3881" t="inlineStr">
        <is>
          <t>watches_gifts</t>
        </is>
      </c>
      <c r="F3881" t="n">
        <v>1</v>
      </c>
      <c r="G3881" t="n">
        <v>96</v>
      </c>
      <c r="H3881" t="n">
        <v>13.38</v>
      </c>
      <c r="I3881" t="inlineStr">
        <is>
          <t>credit_card</t>
        </is>
      </c>
      <c r="J3881" t="n">
        <v>8</v>
      </c>
      <c r="K3881" t="inlineStr">
        <is>
          <t>On Time</t>
        </is>
      </c>
      <c r="L3881" t="n">
        <v>4</v>
      </c>
      <c r="M3881">
        <f>VLOOKUP(D3881,State_Lookup!$A$2:$B$28,2,FALSE)</f>
        <v/>
      </c>
    </row>
    <row r="3882">
      <c r="A3882" t="inlineStr">
        <is>
          <t>50bbd6f58e1641ea899a67a31871cc73</t>
        </is>
      </c>
      <c r="B3882" t="inlineStr">
        <is>
          <t>2018-05-14</t>
        </is>
      </c>
      <c r="C3882" t="inlineStr">
        <is>
          <t>2018-05</t>
        </is>
      </c>
      <c r="D3882" t="inlineStr">
        <is>
          <t>SP</t>
        </is>
      </c>
      <c r="E3882" t="inlineStr">
        <is>
          <t>home_appliances</t>
        </is>
      </c>
      <c r="F3882" t="n">
        <v>1</v>
      </c>
      <c r="G3882" t="n">
        <v>129.99</v>
      </c>
      <c r="H3882" t="n">
        <v>22.51</v>
      </c>
      <c r="I3882" t="inlineStr">
        <is>
          <t>boleto</t>
        </is>
      </c>
      <c r="J3882" t="n">
        <v>35</v>
      </c>
      <c r="K3882" t="inlineStr">
        <is>
          <t>Late</t>
        </is>
      </c>
      <c r="L3882" t="n">
        <v>1</v>
      </c>
      <c r="M3882">
        <f>VLOOKUP(D3882,State_Lookup!$A$2:$B$28,2,FALSE)</f>
        <v/>
      </c>
    </row>
    <row r="3883">
      <c r="A3883" t="inlineStr">
        <is>
          <t>801e8e7738a06b96bda344c9ff1d738c</t>
        </is>
      </c>
      <c r="B3883" t="inlineStr">
        <is>
          <t>2018-05-14</t>
        </is>
      </c>
      <c r="C3883" t="inlineStr">
        <is>
          <t>2018-05</t>
        </is>
      </c>
      <c r="D3883" t="inlineStr">
        <is>
          <t>RJ</t>
        </is>
      </c>
      <c r="E3883" t="inlineStr">
        <is>
          <t>housewares</t>
        </is>
      </c>
      <c r="F3883" t="n">
        <v>1</v>
      </c>
      <c r="G3883" t="n">
        <v>36</v>
      </c>
      <c r="H3883" t="n">
        <v>18.28</v>
      </c>
      <c r="I3883" t="inlineStr">
        <is>
          <t>boleto</t>
        </is>
      </c>
      <c r="J3883" t="n">
        <v>7</v>
      </c>
      <c r="K3883" t="inlineStr">
        <is>
          <t>On Time</t>
        </is>
      </c>
      <c r="L3883" t="n">
        <v>5</v>
      </c>
      <c r="M3883">
        <f>VLOOKUP(D3883,State_Lookup!$A$2:$B$28,2,FALSE)</f>
        <v/>
      </c>
    </row>
    <row r="3884">
      <c r="A3884" t="inlineStr">
        <is>
          <t>434c9890eff8856d64b1d01c1024686d</t>
        </is>
      </c>
      <c r="B3884" t="inlineStr">
        <is>
          <t>2018-05-14</t>
        </is>
      </c>
      <c r="C3884" t="inlineStr">
        <is>
          <t>2018-05</t>
        </is>
      </c>
      <c r="D3884" t="inlineStr">
        <is>
          <t>MG</t>
        </is>
      </c>
      <c r="E3884" t="inlineStr">
        <is>
          <t>garden_tools</t>
        </is>
      </c>
      <c r="F3884" t="n">
        <v>1</v>
      </c>
      <c r="G3884" t="n">
        <v>110</v>
      </c>
      <c r="H3884" t="n">
        <v>19.48</v>
      </c>
      <c r="I3884" t="inlineStr">
        <is>
          <t>credit_card</t>
        </is>
      </c>
      <c r="J3884" t="n">
        <v>2</v>
      </c>
      <c r="K3884" t="inlineStr">
        <is>
          <t>On Time</t>
        </is>
      </c>
      <c r="L3884" t="n">
        <v>5</v>
      </c>
      <c r="M3884">
        <f>VLOOKUP(D3884,State_Lookup!$A$2:$B$28,2,FALSE)</f>
        <v/>
      </c>
    </row>
    <row r="3885">
      <c r="A3885" t="inlineStr">
        <is>
          <t>527e7490ba8ede88db23aff0f080f5a7</t>
        </is>
      </c>
      <c r="B3885" t="inlineStr">
        <is>
          <t>2018-05-14</t>
        </is>
      </c>
      <c r="C3885" t="inlineStr">
        <is>
          <t>2018-05</t>
        </is>
      </c>
      <c r="D3885" t="inlineStr">
        <is>
          <t>SC</t>
        </is>
      </c>
      <c r="E3885" t="inlineStr">
        <is>
          <t>furniture_living_room</t>
        </is>
      </c>
      <c r="F3885" t="n">
        <v>1</v>
      </c>
      <c r="G3885" t="n">
        <v>89</v>
      </c>
      <c r="H3885" t="n">
        <v>34.69</v>
      </c>
      <c r="I3885" t="inlineStr">
        <is>
          <t>credit_card</t>
        </is>
      </c>
      <c r="J3885" t="n">
        <v>7</v>
      </c>
      <c r="K3885" t="inlineStr">
        <is>
          <t>On Time</t>
        </is>
      </c>
      <c r="L3885" t="n">
        <v>5</v>
      </c>
      <c r="M3885">
        <f>VLOOKUP(D3885,State_Lookup!$A$2:$B$28,2,FALSE)</f>
        <v/>
      </c>
    </row>
    <row r="3886">
      <c r="A3886" t="inlineStr">
        <is>
          <t>c9c47f859e747812a921562c2f874229</t>
        </is>
      </c>
      <c r="B3886" t="inlineStr">
        <is>
          <t>2018-05-14</t>
        </is>
      </c>
      <c r="C3886" t="inlineStr">
        <is>
          <t>2018-05</t>
        </is>
      </c>
      <c r="D3886" t="inlineStr">
        <is>
          <t>SP</t>
        </is>
      </c>
      <c r="E3886" t="inlineStr">
        <is>
          <t>bed_bath_table</t>
        </is>
      </c>
      <c r="F3886" t="n">
        <v>2</v>
      </c>
      <c r="G3886" t="n">
        <v>152.9</v>
      </c>
      <c r="H3886" t="n">
        <v>27.78</v>
      </c>
      <c r="I3886" t="inlineStr">
        <is>
          <t>credit_card</t>
        </is>
      </c>
      <c r="J3886" t="n">
        <v>7</v>
      </c>
      <c r="K3886" t="inlineStr">
        <is>
          <t>On Time</t>
        </is>
      </c>
      <c r="L3886" t="n">
        <v>4</v>
      </c>
      <c r="M3886">
        <f>VLOOKUP(D3886,State_Lookup!$A$2:$B$28,2,FALSE)</f>
        <v/>
      </c>
    </row>
    <row r="3887">
      <c r="A3887" t="inlineStr">
        <is>
          <t>bd15e6a6eec338675a42659c3509da35</t>
        </is>
      </c>
      <c r="B3887" t="inlineStr">
        <is>
          <t>2018-05-14</t>
        </is>
      </c>
      <c r="C3887" t="inlineStr">
        <is>
          <t>2018-05</t>
        </is>
      </c>
      <c r="D3887" t="inlineStr">
        <is>
          <t>MG</t>
        </is>
      </c>
      <c r="E3887" t="inlineStr">
        <is>
          <t>computers_accessories</t>
        </is>
      </c>
      <c r="F3887" t="n">
        <v>2</v>
      </c>
      <c r="G3887" t="n">
        <v>225.98</v>
      </c>
      <c r="H3887" t="n">
        <v>46.66</v>
      </c>
      <c r="I3887" t="inlineStr">
        <is>
          <t>credit_card</t>
        </is>
      </c>
      <c r="J3887" t="n">
        <v>6</v>
      </c>
      <c r="K3887" t="inlineStr">
        <is>
          <t>On Time</t>
        </is>
      </c>
      <c r="L3887" t="n">
        <v>3</v>
      </c>
      <c r="M3887">
        <f>VLOOKUP(D3887,State_Lookup!$A$2:$B$28,2,FALSE)</f>
        <v/>
      </c>
    </row>
    <row r="3888">
      <c r="A3888" t="inlineStr">
        <is>
          <t>a5b16df50e965748a0f8406dd415f23c</t>
        </is>
      </c>
      <c r="B3888" t="inlineStr">
        <is>
          <t>2018-05-14</t>
        </is>
      </c>
      <c r="C3888" t="inlineStr">
        <is>
          <t>2018-05</t>
        </is>
      </c>
      <c r="D3888" t="inlineStr">
        <is>
          <t>SP</t>
        </is>
      </c>
      <c r="E3888" t="inlineStr">
        <is>
          <t>health_beauty</t>
        </is>
      </c>
      <c r="F3888" t="n">
        <v>1</v>
      </c>
      <c r="G3888" t="n">
        <v>53.79</v>
      </c>
      <c r="H3888" t="n">
        <v>7.39</v>
      </c>
      <c r="I3888" t="inlineStr">
        <is>
          <t>credit_card</t>
        </is>
      </c>
      <c r="J3888" t="n">
        <v>2</v>
      </c>
      <c r="K3888" t="inlineStr">
        <is>
          <t>On Time</t>
        </is>
      </c>
      <c r="L3888" t="n">
        <v>5</v>
      </c>
      <c r="M3888">
        <f>VLOOKUP(D3888,State_Lookup!$A$2:$B$28,2,FALSE)</f>
        <v/>
      </c>
    </row>
    <row r="3889">
      <c r="A3889" t="inlineStr">
        <is>
          <t>db29fa675e3fb38dc9f16106b18a43f8</t>
        </is>
      </c>
      <c r="B3889" t="inlineStr">
        <is>
          <t>2018-05-14</t>
        </is>
      </c>
      <c r="C3889" t="inlineStr">
        <is>
          <t>2018-05</t>
        </is>
      </c>
      <c r="D3889" t="inlineStr">
        <is>
          <t>BA</t>
        </is>
      </c>
      <c r="E3889" t="inlineStr">
        <is>
          <t>watches_gifts</t>
        </is>
      </c>
      <c r="F3889" t="n">
        <v>1</v>
      </c>
      <c r="G3889" t="n">
        <v>189</v>
      </c>
      <c r="H3889" t="n">
        <v>23.03</v>
      </c>
      <c r="I3889" t="inlineStr">
        <is>
          <t>credit_card</t>
        </is>
      </c>
      <c r="J3889" t="n">
        <v>27</v>
      </c>
      <c r="K3889" t="inlineStr">
        <is>
          <t>Late</t>
        </is>
      </c>
      <c r="L3889" t="n">
        <v>1</v>
      </c>
      <c r="M3889">
        <f>VLOOKUP(D3889,State_Lookup!$A$2:$B$28,2,FALSE)</f>
        <v/>
      </c>
    </row>
    <row r="3890">
      <c r="A3890" t="inlineStr">
        <is>
          <t>94d1e075b6cad085871799dedd2b7e3d</t>
        </is>
      </c>
      <c r="B3890" t="inlineStr">
        <is>
          <t>2018-05-14</t>
        </is>
      </c>
      <c r="C3890" t="inlineStr">
        <is>
          <t>2018-05</t>
        </is>
      </c>
      <c r="D3890" t="inlineStr">
        <is>
          <t>PR</t>
        </is>
      </c>
      <c r="E3890" t="inlineStr">
        <is>
          <t>toys</t>
        </is>
      </c>
      <c r="F3890" t="n">
        <v>1</v>
      </c>
      <c r="G3890" t="n">
        <v>99</v>
      </c>
      <c r="H3890" t="n">
        <v>15.31</v>
      </c>
      <c r="I3890" t="inlineStr">
        <is>
          <t>credit_card</t>
        </is>
      </c>
      <c r="J3890" t="n">
        <v>2</v>
      </c>
      <c r="K3890" t="inlineStr">
        <is>
          <t>On Time</t>
        </is>
      </c>
      <c r="L3890" t="n">
        <v>5</v>
      </c>
      <c r="M3890">
        <f>VLOOKUP(D3890,State_Lookup!$A$2:$B$28,2,FALSE)</f>
        <v/>
      </c>
    </row>
    <row r="3891">
      <c r="A3891" t="inlineStr">
        <is>
          <t>cfaa877f09b4f4bc73fc768bf5817df7</t>
        </is>
      </c>
      <c r="B3891" t="inlineStr">
        <is>
          <t>2018-05-14</t>
        </is>
      </c>
      <c r="C3891" t="inlineStr">
        <is>
          <t>2018-05</t>
        </is>
      </c>
      <c r="D3891" t="inlineStr">
        <is>
          <t>SP</t>
        </is>
      </c>
      <c r="E3891" t="inlineStr">
        <is>
          <t>construction_tools_lights</t>
        </is>
      </c>
      <c r="F3891" t="n">
        <v>1</v>
      </c>
      <c r="G3891" t="n">
        <v>100</v>
      </c>
      <c r="H3891" t="n">
        <v>13.14</v>
      </c>
      <c r="I3891" t="inlineStr">
        <is>
          <t>credit_card</t>
        </is>
      </c>
      <c r="J3891" t="n">
        <v>4</v>
      </c>
      <c r="K3891" t="inlineStr">
        <is>
          <t>On Time</t>
        </is>
      </c>
      <c r="L3891" t="n">
        <v>5</v>
      </c>
      <c r="M3891">
        <f>VLOOKUP(D3891,State_Lookup!$A$2:$B$28,2,FALSE)</f>
        <v/>
      </c>
    </row>
    <row r="3892">
      <c r="A3892" t="inlineStr">
        <is>
          <t>7ab1a9babde2a1355e3075d07ea895e3</t>
        </is>
      </c>
      <c r="B3892" t="inlineStr">
        <is>
          <t>2018-05-14</t>
        </is>
      </c>
      <c r="C3892" t="inlineStr">
        <is>
          <t>2018-05</t>
        </is>
      </c>
      <c r="D3892" t="inlineStr">
        <is>
          <t>SP</t>
        </is>
      </c>
      <c r="E3892" t="inlineStr">
        <is>
          <t>electronics</t>
        </is>
      </c>
      <c r="F3892" t="n">
        <v>1</v>
      </c>
      <c r="G3892" t="n">
        <v>26.9</v>
      </c>
      <c r="H3892" t="n">
        <v>8.289999999999999</v>
      </c>
      <c r="I3892" t="inlineStr">
        <is>
          <t>boleto</t>
        </is>
      </c>
      <c r="J3892" t="n">
        <v>3</v>
      </c>
      <c r="K3892" t="inlineStr">
        <is>
          <t>On Time</t>
        </is>
      </c>
      <c r="L3892" t="n">
        <v>5</v>
      </c>
      <c r="M3892">
        <f>VLOOKUP(D3892,State_Lookup!$A$2:$B$28,2,FALSE)</f>
        <v/>
      </c>
    </row>
    <row r="3893">
      <c r="A3893" t="inlineStr">
        <is>
          <t>d8eada63874f4ad83911e6c388521ba9</t>
        </is>
      </c>
      <c r="B3893" t="inlineStr">
        <is>
          <t>2018-05-14</t>
        </is>
      </c>
      <c r="C3893" t="inlineStr">
        <is>
          <t>2018-05</t>
        </is>
      </c>
      <c r="D3893" t="inlineStr">
        <is>
          <t>RJ</t>
        </is>
      </c>
      <c r="E3893" t="inlineStr">
        <is>
          <t>housewares</t>
        </is>
      </c>
      <c r="F3893" t="n">
        <v>2</v>
      </c>
      <c r="G3893" t="n">
        <v>190</v>
      </c>
      <c r="H3893" t="n">
        <v>46.5</v>
      </c>
      <c r="I3893" t="inlineStr">
        <is>
          <t>credit_card</t>
        </is>
      </c>
      <c r="J3893" t="n">
        <v>7</v>
      </c>
      <c r="K3893" t="inlineStr">
        <is>
          <t>On Time</t>
        </is>
      </c>
      <c r="L3893" t="n">
        <v>4</v>
      </c>
      <c r="M3893">
        <f>VLOOKUP(D3893,State_Lookup!$A$2:$B$28,2,FALSE)</f>
        <v/>
      </c>
    </row>
    <row r="3894">
      <c r="A3894" t="inlineStr">
        <is>
          <t>8ed4df9e21def5033d20475c0e568c92</t>
        </is>
      </c>
      <c r="B3894" t="inlineStr">
        <is>
          <t>2018-05-14</t>
        </is>
      </c>
      <c r="C3894" t="inlineStr">
        <is>
          <t>2018-05</t>
        </is>
      </c>
      <c r="D3894" t="inlineStr">
        <is>
          <t>RJ</t>
        </is>
      </c>
      <c r="E3894" t="inlineStr">
        <is>
          <t>sports_leisure</t>
        </is>
      </c>
      <c r="F3894" t="n">
        <v>2</v>
      </c>
      <c r="G3894" t="n">
        <v>598</v>
      </c>
      <c r="H3894" t="n">
        <v>33.8</v>
      </c>
      <c r="I3894" t="inlineStr">
        <is>
          <t>credit_card</t>
        </is>
      </c>
      <c r="J3894" t="n">
        <v>7</v>
      </c>
      <c r="K3894" t="inlineStr">
        <is>
          <t>On Time</t>
        </is>
      </c>
      <c r="L3894" t="n">
        <v>4</v>
      </c>
      <c r="M3894">
        <f>VLOOKUP(D3894,State_Lookup!$A$2:$B$28,2,FALSE)</f>
        <v/>
      </c>
    </row>
    <row r="3895">
      <c r="A3895" t="inlineStr">
        <is>
          <t>002c9def9c9b951b1bec6d50753c9891</t>
        </is>
      </c>
      <c r="B3895" t="inlineStr">
        <is>
          <t>2018-05-14</t>
        </is>
      </c>
      <c r="C3895" t="inlineStr">
        <is>
          <t>2018-05</t>
        </is>
      </c>
      <c r="D3895" t="inlineStr">
        <is>
          <t>SP</t>
        </is>
      </c>
      <c r="E3895" t="inlineStr">
        <is>
          <t>housewares</t>
        </is>
      </c>
      <c r="F3895" t="n">
        <v>2</v>
      </c>
      <c r="G3895" t="n">
        <v>156</v>
      </c>
      <c r="H3895" t="n">
        <v>17.8</v>
      </c>
      <c r="I3895" t="inlineStr">
        <is>
          <t>credit_card</t>
        </is>
      </c>
      <c r="J3895" t="n">
        <v>3</v>
      </c>
      <c r="K3895" t="inlineStr">
        <is>
          <t>On Time</t>
        </is>
      </c>
      <c r="L3895" t="n">
        <v>4</v>
      </c>
      <c r="M3895">
        <f>VLOOKUP(D3895,State_Lookup!$A$2:$B$28,2,FALSE)</f>
        <v/>
      </c>
    </row>
    <row r="3896">
      <c r="A3896" t="inlineStr">
        <is>
          <t>a7e777244d28c9330d778b6626beb029</t>
        </is>
      </c>
      <c r="B3896" t="inlineStr">
        <is>
          <t>2018-05-14</t>
        </is>
      </c>
      <c r="C3896" t="inlineStr">
        <is>
          <t>2018-05</t>
        </is>
      </c>
      <c r="D3896" t="inlineStr">
        <is>
          <t>SP</t>
        </is>
      </c>
      <c r="E3896" t="inlineStr">
        <is>
          <t>housewares</t>
        </is>
      </c>
      <c r="F3896" t="n">
        <v>1</v>
      </c>
      <c r="G3896" t="n">
        <v>179</v>
      </c>
      <c r="H3896" t="n">
        <v>13.16</v>
      </c>
      <c r="I3896" t="inlineStr">
        <is>
          <t>credit_card</t>
        </is>
      </c>
      <c r="J3896" t="n">
        <v>3</v>
      </c>
      <c r="K3896" t="inlineStr">
        <is>
          <t>On Time</t>
        </is>
      </c>
      <c r="L3896" t="n">
        <v>4</v>
      </c>
      <c r="M3896">
        <f>VLOOKUP(D3896,State_Lookup!$A$2:$B$28,2,FALSE)</f>
        <v/>
      </c>
    </row>
    <row r="3897">
      <c r="A3897" t="inlineStr">
        <is>
          <t>b0a53313f05c1fb7b57eba8c55f35035</t>
        </is>
      </c>
      <c r="B3897" t="inlineStr">
        <is>
          <t>2018-05-14</t>
        </is>
      </c>
      <c r="C3897" t="inlineStr">
        <is>
          <t>2018-05</t>
        </is>
      </c>
      <c r="D3897" t="inlineStr">
        <is>
          <t>RS</t>
        </is>
      </c>
      <c r="E3897" t="inlineStr">
        <is>
          <t>computers_accessories</t>
        </is>
      </c>
      <c r="F3897" t="n">
        <v>1</v>
      </c>
      <c r="G3897" t="n">
        <v>29.9</v>
      </c>
      <c r="H3897" t="n">
        <v>19.32</v>
      </c>
      <c r="I3897" t="inlineStr">
        <is>
          <t>boleto</t>
        </is>
      </c>
      <c r="J3897" t="n">
        <v>9</v>
      </c>
      <c r="K3897" t="inlineStr">
        <is>
          <t>On Time</t>
        </is>
      </c>
      <c r="L3897" t="n">
        <v>3</v>
      </c>
      <c r="M3897">
        <f>VLOOKUP(D3897,State_Lookup!$A$2:$B$28,2,FALSE)</f>
        <v/>
      </c>
    </row>
    <row r="3898">
      <c r="A3898" t="inlineStr">
        <is>
          <t>dc72bbc96294739757a895a8e6ec0d5f</t>
        </is>
      </c>
      <c r="B3898" t="inlineStr">
        <is>
          <t>2018-05-14</t>
        </is>
      </c>
      <c r="C3898" t="inlineStr">
        <is>
          <t>2018-05</t>
        </is>
      </c>
      <c r="D3898" t="inlineStr">
        <is>
          <t>PR</t>
        </is>
      </c>
      <c r="E3898" t="inlineStr">
        <is>
          <t>cine_photo</t>
        </is>
      </c>
      <c r="F3898" t="n">
        <v>1</v>
      </c>
      <c r="G3898" t="n">
        <v>193.65</v>
      </c>
      <c r="H3898" t="n">
        <v>19.24</v>
      </c>
      <c r="I3898" t="inlineStr">
        <is>
          <t>boleto</t>
        </is>
      </c>
      <c r="J3898" t="n">
        <v>21</v>
      </c>
      <c r="K3898" t="inlineStr">
        <is>
          <t>On Time</t>
        </is>
      </c>
      <c r="L3898" t="n">
        <v>4</v>
      </c>
      <c r="M3898">
        <f>VLOOKUP(D3898,State_Lookup!$A$2:$B$28,2,FALSE)</f>
        <v/>
      </c>
    </row>
    <row r="3899">
      <c r="A3899" t="inlineStr">
        <is>
          <t>ab355d60eb2f7b4ffcd01aab4da8ebef</t>
        </is>
      </c>
      <c r="B3899" t="inlineStr">
        <is>
          <t>2018-05-14</t>
        </is>
      </c>
      <c r="C3899" t="inlineStr">
        <is>
          <t>2018-05</t>
        </is>
      </c>
      <c r="D3899" t="inlineStr">
        <is>
          <t>SP</t>
        </is>
      </c>
      <c r="E3899" t="inlineStr">
        <is>
          <t>health_beauty</t>
        </is>
      </c>
      <c r="F3899" t="n">
        <v>1</v>
      </c>
      <c r="G3899" t="n">
        <v>146.3</v>
      </c>
      <c r="H3899" t="n">
        <v>19.99</v>
      </c>
      <c r="I3899" t="inlineStr">
        <is>
          <t>credit_card</t>
        </is>
      </c>
      <c r="J3899" t="n">
        <v>6</v>
      </c>
      <c r="K3899" t="inlineStr">
        <is>
          <t>On Time</t>
        </is>
      </c>
      <c r="L3899" t="n">
        <v>5</v>
      </c>
      <c r="M3899">
        <f>VLOOKUP(D3899,State_Lookup!$A$2:$B$28,2,FALSE)</f>
        <v/>
      </c>
    </row>
    <row r="3900">
      <c r="A3900" t="inlineStr">
        <is>
          <t>a97ed6ffd3a1daacc526d95fe844c8a5</t>
        </is>
      </c>
      <c r="B3900" t="inlineStr">
        <is>
          <t>2018-05-14</t>
        </is>
      </c>
      <c r="C3900" t="inlineStr">
        <is>
          <t>2018-05</t>
        </is>
      </c>
      <c r="D3900" t="inlineStr">
        <is>
          <t>SP</t>
        </is>
      </c>
      <c r="E3900" t="inlineStr">
        <is>
          <t>electronics</t>
        </is>
      </c>
      <c r="F3900" t="n">
        <v>1</v>
      </c>
      <c r="G3900" t="n">
        <v>12.25</v>
      </c>
      <c r="H3900" t="n">
        <v>7.39</v>
      </c>
      <c r="I3900" t="inlineStr">
        <is>
          <t>credit_card</t>
        </is>
      </c>
      <c r="J3900" t="n">
        <v>2</v>
      </c>
      <c r="K3900" t="inlineStr">
        <is>
          <t>On Time</t>
        </is>
      </c>
      <c r="L3900" t="n">
        <v>5</v>
      </c>
      <c r="M3900">
        <f>VLOOKUP(D3900,State_Lookup!$A$2:$B$28,2,FALSE)</f>
        <v/>
      </c>
    </row>
    <row r="3901">
      <c r="A3901" t="inlineStr">
        <is>
          <t>b313fc60227234f6c73ab4f2585b5365</t>
        </is>
      </c>
      <c r="B3901" t="inlineStr">
        <is>
          <t>2018-05-14</t>
        </is>
      </c>
      <c r="C3901" t="inlineStr">
        <is>
          <t>2018-05</t>
        </is>
      </c>
      <c r="D3901" t="inlineStr">
        <is>
          <t>RJ</t>
        </is>
      </c>
      <c r="E3901" t="inlineStr">
        <is>
          <t>health_beauty</t>
        </is>
      </c>
      <c r="F3901" t="n">
        <v>1</v>
      </c>
      <c r="G3901" t="n">
        <v>75.25</v>
      </c>
      <c r="H3901" t="n">
        <v>18.41</v>
      </c>
      <c r="I3901" t="inlineStr">
        <is>
          <t>credit_card</t>
        </is>
      </c>
      <c r="J3901" t="n">
        <v>22</v>
      </c>
      <c r="K3901" t="inlineStr">
        <is>
          <t>On Time</t>
        </is>
      </c>
      <c r="L3901" t="n">
        <v>5</v>
      </c>
      <c r="M3901">
        <f>VLOOKUP(D3901,State_Lookup!$A$2:$B$28,2,FALSE)</f>
        <v/>
      </c>
    </row>
    <row r="3902">
      <c r="A3902" t="inlineStr">
        <is>
          <t>f1a2c0aa708e55ca4ab35b96f89c9aad</t>
        </is>
      </c>
      <c r="B3902" t="inlineStr">
        <is>
          <t>2018-05-15</t>
        </is>
      </c>
      <c r="C3902" t="inlineStr">
        <is>
          <t>2018-05</t>
        </is>
      </c>
      <c r="D3902" t="inlineStr">
        <is>
          <t>RJ</t>
        </is>
      </c>
      <c r="E3902" t="inlineStr">
        <is>
          <t>home_appliances_2</t>
        </is>
      </c>
      <c r="F3902" t="n">
        <v>1</v>
      </c>
      <c r="G3902" t="n">
        <v>119.99</v>
      </c>
      <c r="H3902" t="n">
        <v>35.97</v>
      </c>
      <c r="I3902" t="inlineStr">
        <is>
          <t>boleto</t>
        </is>
      </c>
      <c r="J3902" t="n">
        <v>6</v>
      </c>
      <c r="K3902" t="inlineStr">
        <is>
          <t>On Time</t>
        </is>
      </c>
      <c r="L3902" t="n">
        <v>5</v>
      </c>
      <c r="M3902">
        <f>VLOOKUP(D3902,State_Lookup!$A$2:$B$28,2,FALSE)</f>
        <v/>
      </c>
    </row>
    <row r="3903">
      <c r="A3903" t="inlineStr">
        <is>
          <t>1565f22aa9452ff278638e87cc895678</t>
        </is>
      </c>
      <c r="B3903" t="inlineStr">
        <is>
          <t>2018-05-15</t>
        </is>
      </c>
      <c r="C3903" t="inlineStr">
        <is>
          <t>2018-05</t>
        </is>
      </c>
      <c r="D3903" t="inlineStr">
        <is>
          <t>SP</t>
        </is>
      </c>
      <c r="E3903" t="inlineStr">
        <is>
          <t>perfumery</t>
        </is>
      </c>
      <c r="F3903" t="n">
        <v>1</v>
      </c>
      <c r="G3903" t="n">
        <v>15.5</v>
      </c>
      <c r="H3903" t="n">
        <v>12.79</v>
      </c>
      <c r="I3903" t="inlineStr">
        <is>
          <t>boleto</t>
        </is>
      </c>
      <c r="J3903" t="n">
        <v>5</v>
      </c>
      <c r="K3903" t="inlineStr">
        <is>
          <t>On Time</t>
        </is>
      </c>
      <c r="L3903" t="n">
        <v>5</v>
      </c>
      <c r="M3903">
        <f>VLOOKUP(D3903,State_Lookup!$A$2:$B$28,2,FALSE)</f>
        <v/>
      </c>
    </row>
    <row r="3904">
      <c r="A3904" t="inlineStr">
        <is>
          <t>16e1e21ae459315114f092dc02743dea</t>
        </is>
      </c>
      <c r="B3904" t="inlineStr">
        <is>
          <t>2018-05-15</t>
        </is>
      </c>
      <c r="C3904" t="inlineStr">
        <is>
          <t>2018-05</t>
        </is>
      </c>
      <c r="D3904" t="inlineStr">
        <is>
          <t>SP</t>
        </is>
      </c>
      <c r="E3904" t="inlineStr">
        <is>
          <t>health_beauty</t>
        </is>
      </c>
      <c r="F3904" t="n">
        <v>1</v>
      </c>
      <c r="G3904" t="n">
        <v>110</v>
      </c>
      <c r="H3904" t="n">
        <v>8.529999999999999</v>
      </c>
      <c r="I3904" t="inlineStr">
        <is>
          <t>credit_card</t>
        </is>
      </c>
      <c r="J3904" t="n">
        <v>1</v>
      </c>
      <c r="K3904" t="inlineStr">
        <is>
          <t>On Time</t>
        </is>
      </c>
      <c r="L3904" t="n">
        <v>5</v>
      </c>
      <c r="M3904">
        <f>VLOOKUP(D3904,State_Lookup!$A$2:$B$28,2,FALSE)</f>
        <v/>
      </c>
    </row>
    <row r="3905">
      <c r="A3905" t="inlineStr">
        <is>
          <t>c3e06da7b224bfb3d077ca32fa23bff1</t>
        </is>
      </c>
      <c r="B3905" t="inlineStr">
        <is>
          <t>2018-05-15</t>
        </is>
      </c>
      <c r="C3905" t="inlineStr">
        <is>
          <t>2018-05</t>
        </is>
      </c>
      <c r="D3905" t="inlineStr">
        <is>
          <t>SP</t>
        </is>
      </c>
      <c r="E3905" t="inlineStr">
        <is>
          <t>auto</t>
        </is>
      </c>
      <c r="F3905" t="n">
        <v>1</v>
      </c>
      <c r="G3905" t="n">
        <v>249.9</v>
      </c>
      <c r="H3905" t="n">
        <v>8.609999999999999</v>
      </c>
      <c r="I3905" t="inlineStr">
        <is>
          <t>credit_card</t>
        </is>
      </c>
      <c r="J3905" t="n">
        <v>18</v>
      </c>
      <c r="K3905" t="inlineStr">
        <is>
          <t>Late</t>
        </is>
      </c>
      <c r="L3905" t="n">
        <v>1</v>
      </c>
      <c r="M3905">
        <f>VLOOKUP(D3905,State_Lookup!$A$2:$B$28,2,FALSE)</f>
        <v/>
      </c>
    </row>
    <row r="3906">
      <c r="A3906" t="inlineStr">
        <is>
          <t>69933502bb7f9b4aaac818858f964553</t>
        </is>
      </c>
      <c r="B3906" t="inlineStr">
        <is>
          <t>2018-05-15</t>
        </is>
      </c>
      <c r="C3906" t="inlineStr">
        <is>
          <t>2018-05</t>
        </is>
      </c>
      <c r="D3906" t="inlineStr">
        <is>
          <t>MT</t>
        </is>
      </c>
      <c r="E3906" t="inlineStr">
        <is>
          <t>sports_leisure</t>
        </is>
      </c>
      <c r="F3906" t="n">
        <v>1</v>
      </c>
      <c r="G3906" t="n">
        <v>169.99</v>
      </c>
      <c r="H3906" t="n">
        <v>20.92</v>
      </c>
      <c r="I3906" t="inlineStr">
        <is>
          <t>credit_card</t>
        </is>
      </c>
      <c r="J3906" t="n">
        <v>14</v>
      </c>
      <c r="K3906" t="inlineStr">
        <is>
          <t>On Time</t>
        </is>
      </c>
      <c r="L3906" t="n">
        <v>5</v>
      </c>
      <c r="M3906">
        <f>VLOOKUP(D3906,State_Lookup!$A$2:$B$28,2,FALSE)</f>
        <v/>
      </c>
    </row>
    <row r="3907">
      <c r="A3907" t="inlineStr">
        <is>
          <t>768f78186d59eef3d5f40db13f5bcb8d</t>
        </is>
      </c>
      <c r="B3907" t="inlineStr">
        <is>
          <t>2018-05-15</t>
        </is>
      </c>
      <c r="C3907" t="inlineStr">
        <is>
          <t>2018-05</t>
        </is>
      </c>
      <c r="D3907" t="inlineStr">
        <is>
          <t>SP</t>
        </is>
      </c>
      <c r="E3907" t="inlineStr">
        <is>
          <t>housewares</t>
        </is>
      </c>
      <c r="F3907" t="n">
        <v>1</v>
      </c>
      <c r="G3907" t="n">
        <v>14.9</v>
      </c>
      <c r="H3907" t="n">
        <v>7.39</v>
      </c>
      <c r="I3907" t="inlineStr">
        <is>
          <t>credit_card</t>
        </is>
      </c>
      <c r="J3907" t="n">
        <v>1</v>
      </c>
      <c r="K3907" t="inlineStr">
        <is>
          <t>On Time</t>
        </is>
      </c>
      <c r="L3907" t="n">
        <v>5</v>
      </c>
      <c r="M3907">
        <f>VLOOKUP(D3907,State_Lookup!$A$2:$B$28,2,FALSE)</f>
        <v/>
      </c>
    </row>
    <row r="3908">
      <c r="A3908" t="inlineStr">
        <is>
          <t>f152b3976a55ebf22b3057cb0b79bcec</t>
        </is>
      </c>
      <c r="B3908" t="inlineStr">
        <is>
          <t>2018-05-15</t>
        </is>
      </c>
      <c r="C3908" t="inlineStr">
        <is>
          <t>2018-05</t>
        </is>
      </c>
      <c r="D3908" t="inlineStr">
        <is>
          <t>SC</t>
        </is>
      </c>
      <c r="E3908" t="inlineStr">
        <is>
          <t>sports_leisure</t>
        </is>
      </c>
      <c r="F3908" t="n">
        <v>1</v>
      </c>
      <c r="G3908" t="n">
        <v>46.99</v>
      </c>
      <c r="H3908" t="n">
        <v>18.23</v>
      </c>
      <c r="I3908" t="inlineStr">
        <is>
          <t>credit_card</t>
        </is>
      </c>
      <c r="J3908" t="n">
        <v>22</v>
      </c>
      <c r="K3908" t="inlineStr">
        <is>
          <t>Late</t>
        </is>
      </c>
      <c r="L3908" t="n">
        <v>5</v>
      </c>
      <c r="M3908">
        <f>VLOOKUP(D3908,State_Lookup!$A$2:$B$28,2,FALSE)</f>
        <v/>
      </c>
    </row>
    <row r="3909">
      <c r="A3909" t="inlineStr">
        <is>
          <t>812086848825c140a1472472a845a774</t>
        </is>
      </c>
      <c r="B3909" t="inlineStr">
        <is>
          <t>2018-05-15</t>
        </is>
      </c>
      <c r="C3909" t="inlineStr">
        <is>
          <t>2018-05</t>
        </is>
      </c>
      <c r="D3909" t="inlineStr">
        <is>
          <t>SP</t>
        </is>
      </c>
      <c r="E3909" t="inlineStr">
        <is>
          <t>watches_gifts</t>
        </is>
      </c>
      <c r="F3909" t="n">
        <v>1</v>
      </c>
      <c r="G3909" t="n">
        <v>489</v>
      </c>
      <c r="H3909" t="n">
        <v>10.29</v>
      </c>
      <c r="I3909" t="inlineStr">
        <is>
          <t>credit_card</t>
        </is>
      </c>
      <c r="J3909" t="n">
        <v>48</v>
      </c>
      <c r="K3909" t="inlineStr">
        <is>
          <t>Late</t>
        </is>
      </c>
      <c r="L3909" t="n">
        <v>1</v>
      </c>
      <c r="M3909">
        <f>VLOOKUP(D3909,State_Lookup!$A$2:$B$28,2,FALSE)</f>
        <v/>
      </c>
    </row>
    <row r="3910">
      <c r="A3910" t="inlineStr">
        <is>
          <t>a0b862a69020ac0160aabd2acb06f8e7</t>
        </is>
      </c>
      <c r="B3910" t="inlineStr">
        <is>
          <t>2018-05-15</t>
        </is>
      </c>
      <c r="C3910" t="inlineStr">
        <is>
          <t>2018-05</t>
        </is>
      </c>
      <c r="D3910" t="inlineStr">
        <is>
          <t>RS</t>
        </is>
      </c>
      <c r="E3910" t="inlineStr">
        <is>
          <t>computers_accessories</t>
        </is>
      </c>
      <c r="F3910" t="n">
        <v>2</v>
      </c>
      <c r="G3910" t="n">
        <v>197.25</v>
      </c>
      <c r="H3910" t="n">
        <v>37.14</v>
      </c>
      <c r="I3910" t="inlineStr">
        <is>
          <t>credit_card</t>
        </is>
      </c>
      <c r="J3910" t="n">
        <v>20</v>
      </c>
      <c r="K3910" t="inlineStr">
        <is>
          <t>On Time</t>
        </is>
      </c>
      <c r="L3910" t="n">
        <v>5</v>
      </c>
      <c r="M3910">
        <f>VLOOKUP(D3910,State_Lookup!$A$2:$B$28,2,FALSE)</f>
        <v/>
      </c>
    </row>
    <row r="3911">
      <c r="A3911" t="inlineStr">
        <is>
          <t>7ef0e1c98232d43b6e92ab32795aeb06</t>
        </is>
      </c>
      <c r="B3911" t="inlineStr">
        <is>
          <t>2018-05-15</t>
        </is>
      </c>
      <c r="C3911" t="inlineStr">
        <is>
          <t>2018-05</t>
        </is>
      </c>
      <c r="D3911" t="inlineStr">
        <is>
          <t>SP</t>
        </is>
      </c>
      <c r="E3911" t="inlineStr">
        <is>
          <t>home_confort</t>
        </is>
      </c>
      <c r="F3911" t="n">
        <v>2</v>
      </c>
      <c r="G3911" t="n">
        <v>173.8</v>
      </c>
      <c r="H3911" t="n">
        <v>17.34</v>
      </c>
      <c r="I3911" t="inlineStr">
        <is>
          <t>credit_card</t>
        </is>
      </c>
      <c r="J3911" t="n">
        <v>6</v>
      </c>
      <c r="K3911" t="inlineStr">
        <is>
          <t>On Time</t>
        </is>
      </c>
      <c r="L3911" t="n">
        <v>3</v>
      </c>
      <c r="M3911">
        <f>VLOOKUP(D3911,State_Lookup!$A$2:$B$28,2,FALSE)</f>
        <v/>
      </c>
    </row>
    <row r="3912">
      <c r="A3912" t="inlineStr">
        <is>
          <t>51a204a8b06b2f485e8e9de1e6741618</t>
        </is>
      </c>
      <c r="B3912" t="inlineStr">
        <is>
          <t>2018-05-15</t>
        </is>
      </c>
      <c r="C3912" t="inlineStr">
        <is>
          <t>2018-05</t>
        </is>
      </c>
      <c r="D3912" t="inlineStr">
        <is>
          <t>MA</t>
        </is>
      </c>
      <c r="E3912" t="inlineStr">
        <is>
          <t>housewares</t>
        </is>
      </c>
      <c r="F3912" t="n">
        <v>1</v>
      </c>
      <c r="G3912" t="n">
        <v>48.9</v>
      </c>
      <c r="H3912" t="n">
        <v>50.85</v>
      </c>
      <c r="I3912" t="inlineStr">
        <is>
          <t>credit_card</t>
        </is>
      </c>
      <c r="J3912" t="n">
        <v>19</v>
      </c>
      <c r="K3912" t="inlineStr">
        <is>
          <t>Late</t>
        </is>
      </c>
      <c r="L3912" t="n">
        <v>5</v>
      </c>
      <c r="M3912">
        <f>VLOOKUP(D3912,State_Lookup!$A$2:$B$28,2,FALSE)</f>
        <v/>
      </c>
    </row>
    <row r="3913">
      <c r="A3913" t="inlineStr">
        <is>
          <t>4b46e49817058cac906f2c219cc7351e</t>
        </is>
      </c>
      <c r="B3913" t="inlineStr">
        <is>
          <t>2018-05-15</t>
        </is>
      </c>
      <c r="C3913" t="inlineStr">
        <is>
          <t>2018-05</t>
        </is>
      </c>
      <c r="D3913" t="inlineStr">
        <is>
          <t>PR</t>
        </is>
      </c>
      <c r="E3913" t="inlineStr">
        <is>
          <t>consoles_games</t>
        </is>
      </c>
      <c r="F3913" t="n">
        <v>1</v>
      </c>
      <c r="G3913" t="n">
        <v>19.99</v>
      </c>
      <c r="H3913" t="n">
        <v>15.23</v>
      </c>
      <c r="I3913" t="inlineStr">
        <is>
          <t>credit_card</t>
        </is>
      </c>
      <c r="J3913" t="n">
        <v>5</v>
      </c>
      <c r="K3913" t="inlineStr">
        <is>
          <t>On Time</t>
        </is>
      </c>
      <c r="L3913" t="n">
        <v>5</v>
      </c>
      <c r="M3913">
        <f>VLOOKUP(D3913,State_Lookup!$A$2:$B$28,2,FALSE)</f>
        <v/>
      </c>
    </row>
    <row r="3914">
      <c r="A3914" t="inlineStr">
        <is>
          <t>1a57108394169c0b47d8f876acc9ba2d</t>
        </is>
      </c>
      <c r="B3914" t="inlineStr">
        <is>
          <t>2018-05-15</t>
        </is>
      </c>
      <c r="C3914" t="inlineStr">
        <is>
          <t>2018-05</t>
        </is>
      </c>
      <c r="D3914" t="inlineStr">
        <is>
          <t>BA</t>
        </is>
      </c>
      <c r="E3914" t="inlineStr">
        <is>
          <t>housewares</t>
        </is>
      </c>
      <c r="F3914" t="n">
        <v>2</v>
      </c>
      <c r="G3914" t="n">
        <v>83.38</v>
      </c>
      <c r="H3914" t="n">
        <v>46.56</v>
      </c>
      <c r="I3914" t="inlineStr">
        <is>
          <t>credit_card</t>
        </is>
      </c>
      <c r="J3914" t="n">
        <v>8</v>
      </c>
      <c r="K3914" t="inlineStr">
        <is>
          <t>On Time</t>
        </is>
      </c>
      <c r="L3914" t="n">
        <v>5</v>
      </c>
      <c r="M3914">
        <f>VLOOKUP(D3914,State_Lookup!$A$2:$B$28,2,FALSE)</f>
        <v/>
      </c>
    </row>
    <row r="3915">
      <c r="A3915" t="inlineStr">
        <is>
          <t>e3ee317683c1cb4df51994ca63755d6d</t>
        </is>
      </c>
      <c r="B3915" t="inlineStr">
        <is>
          <t>2018-05-15</t>
        </is>
      </c>
      <c r="C3915" t="inlineStr">
        <is>
          <t>2018-05</t>
        </is>
      </c>
      <c r="D3915" t="inlineStr">
        <is>
          <t>RS</t>
        </is>
      </c>
      <c r="E3915" t="inlineStr">
        <is>
          <t>sports_leisure</t>
        </is>
      </c>
      <c r="F3915" t="n">
        <v>1</v>
      </c>
      <c r="G3915" t="n">
        <v>47.99</v>
      </c>
      <c r="H3915" t="n">
        <v>15.36</v>
      </c>
      <c r="I3915" t="inlineStr">
        <is>
          <t>credit_card</t>
        </is>
      </c>
      <c r="J3915" t="n">
        <v>21</v>
      </c>
      <c r="K3915" t="inlineStr">
        <is>
          <t>On Time</t>
        </is>
      </c>
      <c r="L3915" t="n">
        <v>5</v>
      </c>
      <c r="M3915">
        <f>VLOOKUP(D3915,State_Lookup!$A$2:$B$28,2,FALSE)</f>
        <v/>
      </c>
    </row>
    <row r="3916">
      <c r="A3916" t="inlineStr">
        <is>
          <t>6a5560b5b974183928205724063cdfa6</t>
        </is>
      </c>
      <c r="B3916" t="inlineStr">
        <is>
          <t>2018-05-16</t>
        </is>
      </c>
      <c r="C3916" t="inlineStr">
        <is>
          <t>2018-05</t>
        </is>
      </c>
      <c r="D3916" t="inlineStr">
        <is>
          <t>SP</t>
        </is>
      </c>
      <c r="E3916" t="inlineStr">
        <is>
          <t>sports_leisure</t>
        </is>
      </c>
      <c r="F3916" t="n">
        <v>1</v>
      </c>
      <c r="G3916" t="n">
        <v>129.9</v>
      </c>
      <c r="H3916" t="n">
        <v>9.26</v>
      </c>
      <c r="I3916" t="inlineStr">
        <is>
          <t>credit_card</t>
        </is>
      </c>
      <c r="J3916" t="n">
        <v>1</v>
      </c>
      <c r="K3916" t="inlineStr">
        <is>
          <t>On Time</t>
        </is>
      </c>
      <c r="L3916" t="n">
        <v>4</v>
      </c>
      <c r="M3916">
        <f>VLOOKUP(D3916,State_Lookup!$A$2:$B$28,2,FALSE)</f>
        <v/>
      </c>
    </row>
    <row r="3917">
      <c r="A3917" t="inlineStr">
        <is>
          <t>03e6de4517499ee6aaae7d9004799504</t>
        </is>
      </c>
      <c r="B3917" t="inlineStr">
        <is>
          <t>2018-05-16</t>
        </is>
      </c>
      <c r="C3917" t="inlineStr">
        <is>
          <t>2018-05</t>
        </is>
      </c>
      <c r="D3917" t="inlineStr">
        <is>
          <t>RJ</t>
        </is>
      </c>
      <c r="E3917" t="inlineStr">
        <is>
          <t>sports_leisure</t>
        </is>
      </c>
      <c r="F3917" t="n">
        <v>1</v>
      </c>
      <c r="G3917" t="n">
        <v>149.9</v>
      </c>
      <c r="H3917" t="n">
        <v>23.98</v>
      </c>
      <c r="I3917" t="inlineStr">
        <is>
          <t>credit_card</t>
        </is>
      </c>
      <c r="J3917" t="n">
        <v>12</v>
      </c>
      <c r="K3917" t="inlineStr">
        <is>
          <t>On Time</t>
        </is>
      </c>
      <c r="L3917" t="n">
        <v>5</v>
      </c>
      <c r="M3917">
        <f>VLOOKUP(D3917,State_Lookup!$A$2:$B$28,2,FALSE)</f>
        <v/>
      </c>
    </row>
    <row r="3918">
      <c r="A3918" t="inlineStr">
        <is>
          <t>4c95e64d87f0a8e6c7e8ffc83767df0f</t>
        </is>
      </c>
      <c r="B3918" t="inlineStr">
        <is>
          <t>2018-05-16</t>
        </is>
      </c>
      <c r="C3918" t="inlineStr">
        <is>
          <t>2018-05</t>
        </is>
      </c>
      <c r="D3918" t="inlineStr">
        <is>
          <t>TO</t>
        </is>
      </c>
      <c r="E3918" t="inlineStr">
        <is>
          <t>furniture_decor</t>
        </is>
      </c>
      <c r="F3918" t="n">
        <v>1</v>
      </c>
      <c r="G3918" t="n">
        <v>69.90000000000001</v>
      </c>
      <c r="H3918" t="n">
        <v>0</v>
      </c>
      <c r="I3918" t="inlineStr">
        <is>
          <t>boleto</t>
        </is>
      </c>
      <c r="J3918" t="n">
        <v>17</v>
      </c>
      <c r="K3918" t="inlineStr">
        <is>
          <t>On Time</t>
        </is>
      </c>
      <c r="L3918" t="n">
        <v>5</v>
      </c>
      <c r="M3918">
        <f>VLOOKUP(D3918,State_Lookup!$A$2:$B$28,2,FALSE)</f>
        <v/>
      </c>
    </row>
    <row r="3919">
      <c r="A3919" t="inlineStr">
        <is>
          <t>470ae997eff151effb3503add146880b</t>
        </is>
      </c>
      <c r="B3919" t="inlineStr">
        <is>
          <t>2018-05-16</t>
        </is>
      </c>
      <c r="C3919" t="inlineStr">
        <is>
          <t>2018-05</t>
        </is>
      </c>
      <c r="D3919" t="inlineStr">
        <is>
          <t>GO</t>
        </is>
      </c>
      <c r="E3919" t="inlineStr">
        <is>
          <t>baby</t>
        </is>
      </c>
      <c r="F3919" t="n">
        <v>1</v>
      </c>
      <c r="G3919" t="n">
        <v>889</v>
      </c>
      <c r="H3919" t="n">
        <v>28.8</v>
      </c>
      <c r="I3919" t="inlineStr">
        <is>
          <t>credit_card</t>
        </is>
      </c>
      <c r="J3919" t="n">
        <v>21</v>
      </c>
      <c r="K3919" t="inlineStr">
        <is>
          <t>On Time</t>
        </is>
      </c>
      <c r="L3919" t="n">
        <v>5</v>
      </c>
      <c r="M3919">
        <f>VLOOKUP(D3919,State_Lookup!$A$2:$B$28,2,FALSE)</f>
        <v/>
      </c>
    </row>
    <row r="3920">
      <c r="A3920" t="inlineStr">
        <is>
          <t>4178c05b8ab84fbe2adaf20cffadaa9d</t>
        </is>
      </c>
      <c r="B3920" t="inlineStr">
        <is>
          <t>2018-05-16</t>
        </is>
      </c>
      <c r="C3920" t="inlineStr">
        <is>
          <t>2018-05</t>
        </is>
      </c>
      <c r="D3920" t="inlineStr">
        <is>
          <t>SP</t>
        </is>
      </c>
      <c r="E3920" t="inlineStr">
        <is>
          <t>telephony</t>
        </is>
      </c>
      <c r="F3920" t="n">
        <v>2</v>
      </c>
      <c r="G3920" t="n">
        <v>51.54</v>
      </c>
      <c r="H3920" t="n">
        <v>14.78</v>
      </c>
      <c r="I3920" t="inlineStr">
        <is>
          <t>credit_card</t>
        </is>
      </c>
      <c r="J3920" t="n">
        <v>5</v>
      </c>
      <c r="K3920" t="inlineStr">
        <is>
          <t>On Time</t>
        </is>
      </c>
      <c r="L3920" t="n">
        <v>4</v>
      </c>
      <c r="M3920">
        <f>VLOOKUP(D3920,State_Lookup!$A$2:$B$28,2,FALSE)</f>
        <v/>
      </c>
    </row>
    <row r="3921">
      <c r="A3921" t="inlineStr">
        <is>
          <t>d34b43bca6cc1cb6d49c06d6090770eb</t>
        </is>
      </c>
      <c r="B3921" t="inlineStr">
        <is>
          <t>2018-05-16</t>
        </is>
      </c>
      <c r="C3921" t="inlineStr">
        <is>
          <t>2018-05</t>
        </is>
      </c>
      <c r="D3921" t="inlineStr">
        <is>
          <t>ES</t>
        </is>
      </c>
      <c r="E3921" t="inlineStr">
        <is>
          <t>sports_leisure</t>
        </is>
      </c>
      <c r="F3921" t="n">
        <v>1</v>
      </c>
      <c r="G3921" t="n">
        <v>370</v>
      </c>
      <c r="H3921" t="n">
        <v>15.74</v>
      </c>
      <c r="I3921" t="inlineStr">
        <is>
          <t>credit_card</t>
        </is>
      </c>
      <c r="J3921" t="n">
        <v>23</v>
      </c>
      <c r="K3921" t="inlineStr">
        <is>
          <t>Late</t>
        </is>
      </c>
      <c r="L3921" t="n">
        <v>1</v>
      </c>
      <c r="M3921">
        <f>VLOOKUP(D3921,State_Lookup!$A$2:$B$28,2,FALSE)</f>
        <v/>
      </c>
    </row>
    <row r="3922">
      <c r="A3922" t="inlineStr">
        <is>
          <t>800447e795f2bcf1009e0b2a88d05bbe</t>
        </is>
      </c>
      <c r="B3922" t="inlineStr">
        <is>
          <t>2018-05-16</t>
        </is>
      </c>
      <c r="C3922" t="inlineStr">
        <is>
          <t>2018-05</t>
        </is>
      </c>
      <c r="D3922" t="inlineStr">
        <is>
          <t>SP</t>
        </is>
      </c>
      <c r="E3922" t="inlineStr">
        <is>
          <t>baby</t>
        </is>
      </c>
      <c r="F3922" t="n">
        <v>4</v>
      </c>
      <c r="G3922" t="n">
        <v>23.6</v>
      </c>
      <c r="H3922" t="n">
        <v>29.56</v>
      </c>
      <c r="I3922" t="inlineStr">
        <is>
          <t>credit_card</t>
        </is>
      </c>
      <c r="J3922" t="n">
        <v>4</v>
      </c>
      <c r="K3922" t="inlineStr">
        <is>
          <t>On Time</t>
        </is>
      </c>
      <c r="L3922" t="n">
        <v>5</v>
      </c>
      <c r="M3922">
        <f>VLOOKUP(D3922,State_Lookup!$A$2:$B$28,2,FALSE)</f>
        <v/>
      </c>
    </row>
    <row r="3923">
      <c r="A3923" t="inlineStr">
        <is>
          <t>a3ab1f6066a1d294342241bbe29e363a</t>
        </is>
      </c>
      <c r="B3923" t="inlineStr">
        <is>
          <t>2018-05-16</t>
        </is>
      </c>
      <c r="C3923" t="inlineStr">
        <is>
          <t>2018-05</t>
        </is>
      </c>
      <c r="D3923" t="inlineStr">
        <is>
          <t>SP</t>
        </is>
      </c>
      <c r="E3923" t="inlineStr">
        <is>
          <t>furniture_decor</t>
        </is>
      </c>
      <c r="F3923" t="n">
        <v>1</v>
      </c>
      <c r="G3923" t="n">
        <v>120</v>
      </c>
      <c r="H3923" t="n">
        <v>30.7</v>
      </c>
      <c r="I3923" t="inlineStr">
        <is>
          <t>credit_card</t>
        </is>
      </c>
      <c r="J3923" t="n">
        <v>7</v>
      </c>
      <c r="K3923" t="inlineStr">
        <is>
          <t>On Time</t>
        </is>
      </c>
      <c r="L3923" t="n">
        <v>5</v>
      </c>
      <c r="M3923">
        <f>VLOOKUP(D3923,State_Lookup!$A$2:$B$28,2,FALSE)</f>
        <v/>
      </c>
    </row>
    <row r="3924">
      <c r="A3924" t="inlineStr">
        <is>
          <t>a45006ef91228905575d115da011049b</t>
        </is>
      </c>
      <c r="B3924" t="inlineStr">
        <is>
          <t>2018-05-16</t>
        </is>
      </c>
      <c r="C3924" t="inlineStr">
        <is>
          <t>2018-05</t>
        </is>
      </c>
      <c r="D3924" t="inlineStr">
        <is>
          <t>SP</t>
        </is>
      </c>
      <c r="E3924" t="inlineStr">
        <is>
          <t>sports_leisure</t>
        </is>
      </c>
      <c r="F3924" t="n">
        <v>1</v>
      </c>
      <c r="G3924" t="n">
        <v>299</v>
      </c>
      <c r="H3924" t="n">
        <v>10.8</v>
      </c>
      <c r="I3924" t="inlineStr">
        <is>
          <t>credit_card</t>
        </is>
      </c>
      <c r="J3924" t="n">
        <v>6</v>
      </c>
      <c r="K3924" t="inlineStr">
        <is>
          <t>On Time</t>
        </is>
      </c>
      <c r="L3924" t="n">
        <v>5</v>
      </c>
      <c r="M3924">
        <f>VLOOKUP(D3924,State_Lookup!$A$2:$B$28,2,FALSE)</f>
        <v/>
      </c>
    </row>
    <row r="3925">
      <c r="A3925" t="inlineStr">
        <is>
          <t>f175c06d9a1a1c98a7ba8dd83950718f</t>
        </is>
      </c>
      <c r="B3925" t="inlineStr">
        <is>
          <t>2018-05-16</t>
        </is>
      </c>
      <c r="C3925" t="inlineStr">
        <is>
          <t>2018-05</t>
        </is>
      </c>
      <c r="D3925" t="inlineStr">
        <is>
          <t>RJ</t>
        </is>
      </c>
      <c r="E3925" t="inlineStr">
        <is>
          <t>furniture_decor</t>
        </is>
      </c>
      <c r="F3925" t="n">
        <v>1</v>
      </c>
      <c r="G3925" t="n">
        <v>89.90000000000001</v>
      </c>
      <c r="H3925" t="n">
        <v>41.39</v>
      </c>
      <c r="I3925" t="inlineStr">
        <is>
          <t>credit_card</t>
        </is>
      </c>
      <c r="J3925" t="n">
        <v>12</v>
      </c>
      <c r="K3925" t="inlineStr">
        <is>
          <t>On Time</t>
        </is>
      </c>
      <c r="L3925" t="n">
        <v>5</v>
      </c>
      <c r="M3925">
        <f>VLOOKUP(D3925,State_Lookup!$A$2:$B$28,2,FALSE)</f>
        <v/>
      </c>
    </row>
    <row r="3926">
      <c r="A3926" t="inlineStr">
        <is>
          <t>bab4194a4df4aac8d2cf6386c4979973</t>
        </is>
      </c>
      <c r="B3926" t="inlineStr">
        <is>
          <t>2018-05-16</t>
        </is>
      </c>
      <c r="C3926" t="inlineStr">
        <is>
          <t>2018-05</t>
        </is>
      </c>
      <c r="D3926" t="inlineStr">
        <is>
          <t>SP</t>
        </is>
      </c>
      <c r="E3926" t="inlineStr">
        <is>
          <t>cool_stuff</t>
        </is>
      </c>
      <c r="F3926" t="n">
        <v>1</v>
      </c>
      <c r="G3926" t="n">
        <v>65</v>
      </c>
      <c r="H3926" t="n">
        <v>7.39</v>
      </c>
      <c r="I3926" t="inlineStr">
        <is>
          <t>credit_card</t>
        </is>
      </c>
      <c r="J3926" t="n">
        <v>2</v>
      </c>
      <c r="K3926" t="inlineStr">
        <is>
          <t>On Time</t>
        </is>
      </c>
      <c r="L3926" t="n">
        <v>5</v>
      </c>
      <c r="M3926">
        <f>VLOOKUP(D3926,State_Lookup!$A$2:$B$28,2,FALSE)</f>
        <v/>
      </c>
    </row>
    <row r="3927">
      <c r="A3927" t="inlineStr">
        <is>
          <t>680b35174e2902cd642343db6b436def</t>
        </is>
      </c>
      <c r="B3927" t="inlineStr">
        <is>
          <t>2018-05-16</t>
        </is>
      </c>
      <c r="C3927" t="inlineStr">
        <is>
          <t>2018-05</t>
        </is>
      </c>
      <c r="D3927" t="inlineStr">
        <is>
          <t>RS</t>
        </is>
      </c>
      <c r="E3927" t="inlineStr">
        <is>
          <t>sports_leisure</t>
        </is>
      </c>
      <c r="F3927" t="n">
        <v>1</v>
      </c>
      <c r="G3927" t="n">
        <v>329</v>
      </c>
      <c r="H3927" t="n">
        <v>14.74</v>
      </c>
      <c r="I3927" t="inlineStr">
        <is>
          <t>credit_card</t>
        </is>
      </c>
      <c r="J3927" t="n">
        <v>4</v>
      </c>
      <c r="K3927" t="inlineStr">
        <is>
          <t>On Time</t>
        </is>
      </c>
      <c r="L3927" t="n">
        <v>5</v>
      </c>
      <c r="M3927">
        <f>VLOOKUP(D3927,State_Lookup!$A$2:$B$28,2,FALSE)</f>
        <v/>
      </c>
    </row>
    <row r="3928">
      <c r="A3928" t="inlineStr">
        <is>
          <t>ab5cbb5966da51d374d6ca55c71c8319</t>
        </is>
      </c>
      <c r="B3928" t="inlineStr">
        <is>
          <t>2018-05-16</t>
        </is>
      </c>
      <c r="C3928" t="inlineStr">
        <is>
          <t>2018-05</t>
        </is>
      </c>
      <c r="D3928" t="inlineStr">
        <is>
          <t>SP</t>
        </is>
      </c>
      <c r="E3928" t="inlineStr">
        <is>
          <t>housewares</t>
        </is>
      </c>
      <c r="F3928" t="n">
        <v>1</v>
      </c>
      <c r="G3928" t="n">
        <v>59</v>
      </c>
      <c r="H3928" t="n">
        <v>14.5</v>
      </c>
      <c r="I3928" t="inlineStr">
        <is>
          <t>credit_card</t>
        </is>
      </c>
      <c r="J3928" t="n">
        <v>6</v>
      </c>
      <c r="K3928" t="inlineStr">
        <is>
          <t>On Time</t>
        </is>
      </c>
      <c r="L3928" t="n">
        <v>4</v>
      </c>
      <c r="M3928">
        <f>VLOOKUP(D3928,State_Lookup!$A$2:$B$28,2,FALSE)</f>
        <v/>
      </c>
    </row>
    <row r="3929">
      <c r="A3929" t="inlineStr">
        <is>
          <t>97afe73fe13a14d269383825a8a32646</t>
        </is>
      </c>
      <c r="B3929" t="inlineStr">
        <is>
          <t>2018-05-16</t>
        </is>
      </c>
      <c r="C3929" t="inlineStr">
        <is>
          <t>2018-05</t>
        </is>
      </c>
      <c r="D3929" t="inlineStr">
        <is>
          <t>SP</t>
        </is>
      </c>
      <c r="E3929" t="inlineStr">
        <is>
          <t>telephony</t>
        </is>
      </c>
      <c r="F3929" t="n">
        <v>1</v>
      </c>
      <c r="G3929" t="n">
        <v>19.99</v>
      </c>
      <c r="H3929" t="n">
        <v>7.39</v>
      </c>
      <c r="I3929" t="inlineStr">
        <is>
          <t>credit_card</t>
        </is>
      </c>
      <c r="J3929" t="n">
        <v>1</v>
      </c>
      <c r="K3929" t="inlineStr">
        <is>
          <t>On Time</t>
        </is>
      </c>
      <c r="L3929" t="n">
        <v>4</v>
      </c>
      <c r="M3929">
        <f>VLOOKUP(D3929,State_Lookup!$A$2:$B$28,2,FALSE)</f>
        <v/>
      </c>
    </row>
    <row r="3930">
      <c r="A3930" t="inlineStr">
        <is>
          <t>dc9b5b176c87f1c3bc2d69b282873d5b</t>
        </is>
      </c>
      <c r="B3930" t="inlineStr">
        <is>
          <t>2018-05-16</t>
        </is>
      </c>
      <c r="C3930" t="inlineStr">
        <is>
          <t>2018-05</t>
        </is>
      </c>
      <c r="D3930" t="inlineStr">
        <is>
          <t>SP</t>
        </is>
      </c>
      <c r="E3930" t="inlineStr">
        <is>
          <t>housewares</t>
        </is>
      </c>
      <c r="F3930" t="n">
        <v>1</v>
      </c>
      <c r="G3930" t="n">
        <v>265</v>
      </c>
      <c r="H3930" t="n">
        <v>43.96</v>
      </c>
      <c r="I3930" t="inlineStr">
        <is>
          <t>credit_card</t>
        </is>
      </c>
      <c r="J3930" t="n">
        <v>19</v>
      </c>
      <c r="K3930" t="inlineStr">
        <is>
          <t>Late</t>
        </is>
      </c>
      <c r="L3930" t="n">
        <v>5</v>
      </c>
      <c r="M3930">
        <f>VLOOKUP(D3930,State_Lookup!$A$2:$B$28,2,FALSE)</f>
        <v/>
      </c>
    </row>
    <row r="3931">
      <c r="A3931" t="inlineStr">
        <is>
          <t>8416d26ac5ef346cd2926c3b35e1da86</t>
        </is>
      </c>
      <c r="B3931" t="inlineStr">
        <is>
          <t>2018-05-16</t>
        </is>
      </c>
      <c r="C3931" t="inlineStr">
        <is>
          <t>2018-05</t>
        </is>
      </c>
      <c r="D3931" t="inlineStr">
        <is>
          <t>SP</t>
        </is>
      </c>
      <c r="E3931" t="inlineStr">
        <is>
          <t>health_beauty</t>
        </is>
      </c>
      <c r="F3931" t="n">
        <v>1</v>
      </c>
      <c r="G3931" t="n">
        <v>29.9</v>
      </c>
      <c r="H3931" t="n">
        <v>7.71</v>
      </c>
      <c r="I3931" t="inlineStr">
        <is>
          <t>boleto</t>
        </is>
      </c>
      <c r="J3931" t="n">
        <v>5</v>
      </c>
      <c r="K3931" t="inlineStr">
        <is>
          <t>On Time</t>
        </is>
      </c>
      <c r="L3931" t="n">
        <v>5</v>
      </c>
      <c r="M3931">
        <f>VLOOKUP(D3931,State_Lookup!$A$2:$B$28,2,FALSE)</f>
        <v/>
      </c>
    </row>
    <row r="3932">
      <c r="A3932" t="inlineStr">
        <is>
          <t>89e7c89d4642d0f6de33b1314a209e96</t>
        </is>
      </c>
      <c r="B3932" t="inlineStr">
        <is>
          <t>2018-05-16</t>
        </is>
      </c>
      <c r="C3932" t="inlineStr">
        <is>
          <t>2018-05</t>
        </is>
      </c>
      <c r="D3932" t="inlineStr">
        <is>
          <t>RJ</t>
        </is>
      </c>
      <c r="E3932" t="inlineStr">
        <is>
          <t>perfumery</t>
        </is>
      </c>
      <c r="F3932" t="n">
        <v>2</v>
      </c>
      <c r="G3932" t="n">
        <v>296</v>
      </c>
      <c r="H3932" t="n">
        <v>28.98</v>
      </c>
      <c r="I3932" t="inlineStr">
        <is>
          <t>credit_card</t>
        </is>
      </c>
      <c r="J3932" t="n">
        <v>27</v>
      </c>
      <c r="K3932" t="inlineStr">
        <is>
          <t>Late</t>
        </is>
      </c>
      <c r="L3932" t="n">
        <v>1</v>
      </c>
      <c r="M3932">
        <f>VLOOKUP(D3932,State_Lookup!$A$2:$B$28,2,FALSE)</f>
        <v/>
      </c>
    </row>
    <row r="3933">
      <c r="A3933" t="inlineStr">
        <is>
          <t>c5bff3d6b9585e55844afce2a2061259</t>
        </is>
      </c>
      <c r="B3933" t="inlineStr">
        <is>
          <t>2018-05-16</t>
        </is>
      </c>
      <c r="C3933" t="inlineStr">
        <is>
          <t>2018-05</t>
        </is>
      </c>
      <c r="D3933" t="inlineStr">
        <is>
          <t>RS</t>
        </is>
      </c>
      <c r="E3933" t="inlineStr">
        <is>
          <t>cool_stuff</t>
        </is>
      </c>
      <c r="F3933" t="n">
        <v>1</v>
      </c>
      <c r="G3933" t="n">
        <v>87.97</v>
      </c>
      <c r="H3933" t="n">
        <v>23.2</v>
      </c>
      <c r="I3933" t="inlineStr">
        <is>
          <t>credit_card</t>
        </is>
      </c>
      <c r="J3933" t="n">
        <v>9</v>
      </c>
      <c r="K3933" t="inlineStr">
        <is>
          <t>On Time</t>
        </is>
      </c>
      <c r="L3933" t="n">
        <v>5</v>
      </c>
      <c r="M3933">
        <f>VLOOKUP(D3933,State_Lookup!$A$2:$B$28,2,FALSE)</f>
        <v/>
      </c>
    </row>
    <row r="3934">
      <c r="A3934" t="inlineStr">
        <is>
          <t>0cfabecb909812856ae6d21400104334</t>
        </is>
      </c>
      <c r="B3934" t="inlineStr">
        <is>
          <t>2018-05-16</t>
        </is>
      </c>
      <c r="C3934" t="inlineStr">
        <is>
          <t>2018-05</t>
        </is>
      </c>
      <c r="D3934" t="inlineStr">
        <is>
          <t>SP</t>
        </is>
      </c>
      <c r="E3934" t="inlineStr">
        <is>
          <t>bed_bath_table</t>
        </is>
      </c>
      <c r="F3934" t="n">
        <v>1</v>
      </c>
      <c r="G3934" t="n">
        <v>70.25</v>
      </c>
      <c r="H3934" t="n">
        <v>23.07</v>
      </c>
      <c r="I3934" t="inlineStr">
        <is>
          <t>credit_card</t>
        </is>
      </c>
      <c r="J3934" t="n">
        <v>22</v>
      </c>
      <c r="K3934" t="inlineStr">
        <is>
          <t>On Time</t>
        </is>
      </c>
      <c r="L3934" t="n">
        <v>4</v>
      </c>
      <c r="M3934">
        <f>VLOOKUP(D3934,State_Lookup!$A$2:$B$28,2,FALSE)</f>
        <v/>
      </c>
    </row>
    <row r="3935">
      <c r="A3935" t="inlineStr">
        <is>
          <t>8d48de810012d2cb59c59d5c4e0442a3</t>
        </is>
      </c>
      <c r="B3935" t="inlineStr">
        <is>
          <t>2018-05-17</t>
        </is>
      </c>
      <c r="C3935" t="inlineStr">
        <is>
          <t>2018-05</t>
        </is>
      </c>
      <c r="D3935" t="inlineStr">
        <is>
          <t>RN</t>
        </is>
      </c>
      <c r="E3935" t="inlineStr">
        <is>
          <t>health_beauty</t>
        </is>
      </c>
      <c r="F3935" t="n">
        <v>2</v>
      </c>
      <c r="G3935" t="n">
        <v>43.98</v>
      </c>
      <c r="H3935" t="n">
        <v>45.7</v>
      </c>
      <c r="I3935" t="inlineStr">
        <is>
          <t>credit_card</t>
        </is>
      </c>
      <c r="J3935" t="n">
        <v>21</v>
      </c>
      <c r="K3935" t="inlineStr">
        <is>
          <t>On Time</t>
        </is>
      </c>
      <c r="L3935" t="n">
        <v>5</v>
      </c>
      <c r="M3935">
        <f>VLOOKUP(D3935,State_Lookup!$A$2:$B$28,2,FALSE)</f>
        <v/>
      </c>
    </row>
    <row r="3936">
      <c r="A3936" t="inlineStr">
        <is>
          <t>6d45b70444c5898d019ee65973019ef7</t>
        </is>
      </c>
      <c r="B3936" t="inlineStr">
        <is>
          <t>2018-05-17</t>
        </is>
      </c>
      <c r="C3936" t="inlineStr">
        <is>
          <t>2018-05</t>
        </is>
      </c>
      <c r="D3936" t="inlineStr">
        <is>
          <t>SP</t>
        </is>
      </c>
      <c r="E3936" t="inlineStr">
        <is>
          <t>bed_bath_table</t>
        </is>
      </c>
      <c r="F3936" t="n">
        <v>2</v>
      </c>
      <c r="G3936" t="n">
        <v>98</v>
      </c>
      <c r="H3936" t="n">
        <v>28.88</v>
      </c>
      <c r="I3936" t="inlineStr">
        <is>
          <t>credit_card</t>
        </is>
      </c>
      <c r="J3936" t="n">
        <v>5</v>
      </c>
      <c r="K3936" t="inlineStr">
        <is>
          <t>On Time</t>
        </is>
      </c>
      <c r="L3936" t="n">
        <v>5</v>
      </c>
      <c r="M3936">
        <f>VLOOKUP(D3936,State_Lookup!$A$2:$B$28,2,FALSE)</f>
        <v/>
      </c>
    </row>
    <row r="3937">
      <c r="A3937" t="inlineStr">
        <is>
          <t>ce7c7e5c6b73492e11c8155ed626416d</t>
        </is>
      </c>
      <c r="B3937" t="inlineStr">
        <is>
          <t>2018-05-17</t>
        </is>
      </c>
      <c r="C3937" t="inlineStr">
        <is>
          <t>2018-05</t>
        </is>
      </c>
      <c r="D3937" t="inlineStr">
        <is>
          <t>RS</t>
        </is>
      </c>
      <c r="E3937" t="inlineStr">
        <is>
          <t>bed_bath_table</t>
        </is>
      </c>
      <c r="F3937" t="n">
        <v>2</v>
      </c>
      <c r="G3937" t="n">
        <v>139.8</v>
      </c>
      <c r="H3937" t="n">
        <v>36.14</v>
      </c>
      <c r="I3937" t="inlineStr">
        <is>
          <t>credit_card</t>
        </is>
      </c>
      <c r="J3937" t="n">
        <v>19</v>
      </c>
      <c r="K3937" t="inlineStr">
        <is>
          <t>On Time</t>
        </is>
      </c>
      <c r="L3937" t="n">
        <v>4</v>
      </c>
      <c r="M3937">
        <f>VLOOKUP(D3937,State_Lookup!$A$2:$B$28,2,FALSE)</f>
        <v/>
      </c>
    </row>
    <row r="3938">
      <c r="A3938" t="inlineStr">
        <is>
          <t>27de70aab873d2512659020719964c2a</t>
        </is>
      </c>
      <c r="B3938" t="inlineStr">
        <is>
          <t>2018-05-17</t>
        </is>
      </c>
      <c r="C3938" t="inlineStr">
        <is>
          <t>2018-05</t>
        </is>
      </c>
      <c r="D3938" t="inlineStr">
        <is>
          <t>PA</t>
        </is>
      </c>
      <c r="E3938" t="inlineStr">
        <is>
          <t>electronics</t>
        </is>
      </c>
      <c r="F3938" t="n">
        <v>1</v>
      </c>
      <c r="G3938" t="n">
        <v>44</v>
      </c>
      <c r="H3938" t="n">
        <v>19.04</v>
      </c>
      <c r="I3938" t="inlineStr">
        <is>
          <t>credit_card</t>
        </is>
      </c>
      <c r="J3938" t="n">
        <v>22</v>
      </c>
      <c r="K3938" t="inlineStr">
        <is>
          <t>On Time</t>
        </is>
      </c>
      <c r="L3938" t="n">
        <v>4</v>
      </c>
      <c r="M3938">
        <f>VLOOKUP(D3938,State_Lookup!$A$2:$B$28,2,FALSE)</f>
        <v/>
      </c>
    </row>
    <row r="3939">
      <c r="A3939" t="inlineStr">
        <is>
          <t>c9dacb231adb8fe3a8d4d452aa10bfe1</t>
        </is>
      </c>
      <c r="B3939" t="inlineStr">
        <is>
          <t>2018-05-17</t>
        </is>
      </c>
      <c r="C3939" t="inlineStr">
        <is>
          <t>2018-05</t>
        </is>
      </c>
      <c r="D3939" t="inlineStr">
        <is>
          <t>MG</t>
        </is>
      </c>
      <c r="E3939" t="inlineStr">
        <is>
          <t>computers_accessories</t>
        </is>
      </c>
      <c r="F3939" t="n">
        <v>1</v>
      </c>
      <c r="G3939" t="n">
        <v>30</v>
      </c>
      <c r="H3939" t="n">
        <v>19.32</v>
      </c>
      <c r="I3939" t="inlineStr">
        <is>
          <t>boleto</t>
        </is>
      </c>
      <c r="J3939" t="n">
        <v>27</v>
      </c>
      <c r="K3939" t="inlineStr">
        <is>
          <t>Late</t>
        </is>
      </c>
      <c r="L3939" t="n">
        <v>1</v>
      </c>
      <c r="M3939">
        <f>VLOOKUP(D3939,State_Lookup!$A$2:$B$28,2,FALSE)</f>
        <v/>
      </c>
    </row>
    <row r="3940">
      <c r="A3940" t="inlineStr">
        <is>
          <t>99a12301d30f34d260111f258570bbfc</t>
        </is>
      </c>
      <c r="B3940" t="inlineStr">
        <is>
          <t>2018-05-17</t>
        </is>
      </c>
      <c r="C3940" t="inlineStr">
        <is>
          <t>2018-05</t>
        </is>
      </c>
      <c r="D3940" t="inlineStr">
        <is>
          <t>SP</t>
        </is>
      </c>
      <c r="E3940" t="inlineStr">
        <is>
          <t>bed_bath_table</t>
        </is>
      </c>
      <c r="F3940" t="n">
        <v>1</v>
      </c>
      <c r="G3940" t="n">
        <v>69.90000000000001</v>
      </c>
      <c r="H3940" t="n">
        <v>13.85</v>
      </c>
      <c r="I3940" t="inlineStr">
        <is>
          <t>boleto</t>
        </is>
      </c>
      <c r="J3940" t="n">
        <v>7</v>
      </c>
      <c r="K3940" t="inlineStr">
        <is>
          <t>On Time</t>
        </is>
      </c>
      <c r="L3940" t="n">
        <v>5</v>
      </c>
      <c r="M3940">
        <f>VLOOKUP(D3940,State_Lookup!$A$2:$B$28,2,FALSE)</f>
        <v/>
      </c>
    </row>
    <row r="3941">
      <c r="A3941" t="inlineStr">
        <is>
          <t>5ab86968467c65a96b9a6437e9e83164</t>
        </is>
      </c>
      <c r="B3941" t="inlineStr">
        <is>
          <t>2018-05-17</t>
        </is>
      </c>
      <c r="C3941" t="inlineStr">
        <is>
          <t>2018-05</t>
        </is>
      </c>
      <c r="D3941" t="inlineStr">
        <is>
          <t>BA</t>
        </is>
      </c>
      <c r="E3941" t="inlineStr">
        <is>
          <t>small_appliances_home_oven_and_coffee</t>
        </is>
      </c>
      <c r="F3941" t="n">
        <v>1</v>
      </c>
      <c r="G3941" t="n">
        <v>750</v>
      </c>
      <c r="H3941" t="n">
        <v>49.87</v>
      </c>
      <c r="I3941" t="inlineStr">
        <is>
          <t>boleto</t>
        </is>
      </c>
      <c r="J3941" t="n">
        <v>21</v>
      </c>
      <c r="K3941" t="inlineStr">
        <is>
          <t>Late</t>
        </is>
      </c>
      <c r="L3941" t="n">
        <v>5</v>
      </c>
      <c r="M3941">
        <f>VLOOKUP(D3941,State_Lookup!$A$2:$B$28,2,FALSE)</f>
        <v/>
      </c>
    </row>
    <row r="3942">
      <c r="A3942" t="inlineStr">
        <is>
          <t>7cc93b2925f1d8b88fbcd410b02bc5b5</t>
        </is>
      </c>
      <c r="B3942" t="inlineStr">
        <is>
          <t>2018-05-17</t>
        </is>
      </c>
      <c r="C3942" t="inlineStr">
        <is>
          <t>2018-05</t>
        </is>
      </c>
      <c r="D3942" t="inlineStr">
        <is>
          <t>SP</t>
        </is>
      </c>
      <c r="E3942" t="inlineStr">
        <is>
          <t>bed_bath_table</t>
        </is>
      </c>
      <c r="F3942" t="n">
        <v>2</v>
      </c>
      <c r="G3942" t="n">
        <v>598</v>
      </c>
      <c r="H3942" t="n">
        <v>42.28</v>
      </c>
      <c r="I3942" t="inlineStr">
        <is>
          <t>credit_card</t>
        </is>
      </c>
      <c r="J3942" t="n">
        <v>4</v>
      </c>
      <c r="K3942" t="inlineStr">
        <is>
          <t>On Time</t>
        </is>
      </c>
      <c r="L3942" t="n">
        <v>5</v>
      </c>
      <c r="M3942">
        <f>VLOOKUP(D3942,State_Lookup!$A$2:$B$28,2,FALSE)</f>
        <v/>
      </c>
    </row>
    <row r="3943">
      <c r="A3943" t="inlineStr">
        <is>
          <t>9d9d06f2b18d6a0dbf941721131b65eb</t>
        </is>
      </c>
      <c r="B3943" t="inlineStr">
        <is>
          <t>2018-05-17</t>
        </is>
      </c>
      <c r="C3943" t="inlineStr">
        <is>
          <t>2018-05</t>
        </is>
      </c>
      <c r="D3943" t="inlineStr">
        <is>
          <t>SP</t>
        </is>
      </c>
      <c r="E3943" t="inlineStr">
        <is>
          <t>auto</t>
        </is>
      </c>
      <c r="F3943" t="n">
        <v>1</v>
      </c>
      <c r="G3943" t="n">
        <v>29.99</v>
      </c>
      <c r="H3943" t="n">
        <v>7.87</v>
      </c>
      <c r="I3943" t="inlineStr">
        <is>
          <t>boleto</t>
        </is>
      </c>
      <c r="J3943" t="n">
        <v>4</v>
      </c>
      <c r="K3943" t="inlineStr">
        <is>
          <t>On Time</t>
        </is>
      </c>
      <c r="L3943" t="n">
        <v>5</v>
      </c>
      <c r="M3943">
        <f>VLOOKUP(D3943,State_Lookup!$A$2:$B$28,2,FALSE)</f>
        <v/>
      </c>
    </row>
    <row r="3944">
      <c r="A3944" t="inlineStr">
        <is>
          <t>d49c4942f461cbef8cfc4269ad86195b</t>
        </is>
      </c>
      <c r="B3944" t="inlineStr">
        <is>
          <t>2018-05-18</t>
        </is>
      </c>
      <c r="C3944" t="inlineStr">
        <is>
          <t>2018-05</t>
        </is>
      </c>
      <c r="D3944" t="inlineStr">
        <is>
          <t>SP</t>
        </is>
      </c>
      <c r="E3944" t="inlineStr">
        <is>
          <t>perfumery</t>
        </is>
      </c>
      <c r="F3944" t="n">
        <v>1</v>
      </c>
      <c r="G3944" t="n">
        <v>114.9</v>
      </c>
      <c r="H3944" t="n">
        <v>15.68</v>
      </c>
      <c r="I3944" t="inlineStr">
        <is>
          <t>credit_card</t>
        </is>
      </c>
      <c r="J3944" t="n">
        <v>5</v>
      </c>
      <c r="K3944" t="inlineStr">
        <is>
          <t>On Time</t>
        </is>
      </c>
      <c r="L3944" t="n">
        <v>4</v>
      </c>
      <c r="M3944">
        <f>VLOOKUP(D3944,State_Lookup!$A$2:$B$28,2,FALSE)</f>
        <v/>
      </c>
    </row>
    <row r="3945">
      <c r="A3945" t="inlineStr">
        <is>
          <t>25850021261764efbccacf5e29ed13f7</t>
        </is>
      </c>
      <c r="B3945" t="inlineStr">
        <is>
          <t>2018-05-18</t>
        </is>
      </c>
      <c r="C3945" t="inlineStr">
        <is>
          <t>2018-05</t>
        </is>
      </c>
      <c r="D3945" t="inlineStr">
        <is>
          <t>SP</t>
        </is>
      </c>
      <c r="E3945" t="inlineStr">
        <is>
          <t>luggage_accessories</t>
        </is>
      </c>
      <c r="F3945" t="n">
        <v>1</v>
      </c>
      <c r="G3945" t="n">
        <v>279.99</v>
      </c>
      <c r="H3945" t="n">
        <v>10.55</v>
      </c>
      <c r="I3945" t="inlineStr">
        <is>
          <t>credit_card</t>
        </is>
      </c>
      <c r="J3945" t="n">
        <v>7</v>
      </c>
      <c r="K3945" t="inlineStr">
        <is>
          <t>On Time</t>
        </is>
      </c>
      <c r="L3945" t="n">
        <v>5</v>
      </c>
      <c r="M3945">
        <f>VLOOKUP(D3945,State_Lookup!$A$2:$B$28,2,FALSE)</f>
        <v/>
      </c>
    </row>
    <row r="3946">
      <c r="A3946" t="inlineStr">
        <is>
          <t>47206fff1e56391bf30b5acbe7f5f7a2</t>
        </is>
      </c>
      <c r="B3946" t="inlineStr">
        <is>
          <t>2018-05-18</t>
        </is>
      </c>
      <c r="C3946" t="inlineStr">
        <is>
          <t>2018-05</t>
        </is>
      </c>
      <c r="D3946" t="inlineStr">
        <is>
          <t>SP</t>
        </is>
      </c>
      <c r="E3946" t="inlineStr">
        <is>
          <t>electronics</t>
        </is>
      </c>
      <c r="F3946" t="n">
        <v>1</v>
      </c>
      <c r="G3946" t="n">
        <v>13.65</v>
      </c>
      <c r="H3946" t="n">
        <v>7.39</v>
      </c>
      <c r="I3946" t="inlineStr">
        <is>
          <t>credit_card</t>
        </is>
      </c>
      <c r="J3946" t="n">
        <v>3</v>
      </c>
      <c r="K3946" t="inlineStr">
        <is>
          <t>On Time</t>
        </is>
      </c>
      <c r="L3946" t="n">
        <v>5</v>
      </c>
      <c r="M3946">
        <f>VLOOKUP(D3946,State_Lookup!$A$2:$B$28,2,FALSE)</f>
        <v/>
      </c>
    </row>
    <row r="3947">
      <c r="A3947" t="inlineStr">
        <is>
          <t>28d14a9fb1c0c5e0667fd9ed3834eb5e</t>
        </is>
      </c>
      <c r="B3947" t="inlineStr">
        <is>
          <t>2018-05-18</t>
        </is>
      </c>
      <c r="C3947" t="inlineStr">
        <is>
          <t>2018-05</t>
        </is>
      </c>
      <c r="D3947" t="inlineStr">
        <is>
          <t>SP</t>
        </is>
      </c>
      <c r="E3947" t="inlineStr">
        <is>
          <t>perfumery</t>
        </is>
      </c>
      <c r="F3947" t="n">
        <v>1</v>
      </c>
      <c r="G3947" t="n">
        <v>70.90000000000001</v>
      </c>
      <c r="H3947" t="n">
        <v>17.21</v>
      </c>
      <c r="I3947" t="inlineStr">
        <is>
          <t>voucher</t>
        </is>
      </c>
      <c r="J3947" t="n">
        <v>7</v>
      </c>
      <c r="K3947" t="inlineStr">
        <is>
          <t>On Time</t>
        </is>
      </c>
      <c r="L3947" t="n">
        <v>5</v>
      </c>
      <c r="M3947">
        <f>VLOOKUP(D3947,State_Lookup!$A$2:$B$28,2,FALSE)</f>
        <v/>
      </c>
    </row>
    <row r="3948">
      <c r="A3948" t="inlineStr">
        <is>
          <t>9378f7fb4dad9527f338b16cd75fc196</t>
        </is>
      </c>
      <c r="B3948" t="inlineStr">
        <is>
          <t>2018-05-18</t>
        </is>
      </c>
      <c r="C3948" t="inlineStr">
        <is>
          <t>2018-05</t>
        </is>
      </c>
      <c r="D3948" t="inlineStr">
        <is>
          <t>SP</t>
        </is>
      </c>
      <c r="E3948" t="inlineStr">
        <is>
          <t>computers_accessories</t>
        </is>
      </c>
      <c r="F3948" t="n">
        <v>1</v>
      </c>
      <c r="G3948" t="n">
        <v>98.44</v>
      </c>
      <c r="H3948" t="n">
        <v>18.57</v>
      </c>
      <c r="I3948" t="inlineStr">
        <is>
          <t>credit_card</t>
        </is>
      </c>
      <c r="J3948" t="n">
        <v>19</v>
      </c>
      <c r="K3948" t="inlineStr">
        <is>
          <t>On Time</t>
        </is>
      </c>
      <c r="L3948" t="n">
        <v>3</v>
      </c>
      <c r="M3948">
        <f>VLOOKUP(D3948,State_Lookup!$A$2:$B$28,2,FALSE)</f>
        <v/>
      </c>
    </row>
    <row r="3949">
      <c r="A3949" t="inlineStr">
        <is>
          <t>ab85e3c92c828eb802fd91345e45d92e</t>
        </is>
      </c>
      <c r="B3949" t="inlineStr">
        <is>
          <t>2018-05-18</t>
        </is>
      </c>
      <c r="C3949" t="inlineStr">
        <is>
          <t>2018-05</t>
        </is>
      </c>
      <c r="D3949" t="inlineStr">
        <is>
          <t>PR</t>
        </is>
      </c>
      <c r="E3949" t="inlineStr">
        <is>
          <t>housewares</t>
        </is>
      </c>
      <c r="F3949" t="n">
        <v>1</v>
      </c>
      <c r="G3949" t="n">
        <v>330.99</v>
      </c>
      <c r="H3949" t="n">
        <v>26.98</v>
      </c>
      <c r="I3949" t="inlineStr">
        <is>
          <t>credit_card</t>
        </is>
      </c>
      <c r="J3949" t="n">
        <v>14</v>
      </c>
      <c r="K3949" t="inlineStr">
        <is>
          <t>On Time</t>
        </is>
      </c>
      <c r="L3949" t="n">
        <v>3</v>
      </c>
      <c r="M3949">
        <f>VLOOKUP(D3949,State_Lookup!$A$2:$B$28,2,FALSE)</f>
        <v/>
      </c>
    </row>
    <row r="3950">
      <c r="A3950" t="inlineStr">
        <is>
          <t>37e7875cdce5a9e5b3a692971f370151</t>
        </is>
      </c>
      <c r="B3950" t="inlineStr">
        <is>
          <t>2018-05-18</t>
        </is>
      </c>
      <c r="C3950" t="inlineStr">
        <is>
          <t>2018-05</t>
        </is>
      </c>
      <c r="D3950" t="inlineStr">
        <is>
          <t>BA</t>
        </is>
      </c>
      <c r="E3950" t="inlineStr">
        <is>
          <t>sports_leisure</t>
        </is>
      </c>
      <c r="F3950" t="n">
        <v>1</v>
      </c>
      <c r="G3950" t="n">
        <v>34.9</v>
      </c>
      <c r="H3950" t="n">
        <v>22.06</v>
      </c>
      <c r="I3950" t="inlineStr">
        <is>
          <t>credit_card</t>
        </is>
      </c>
      <c r="J3950" t="n">
        <v>19</v>
      </c>
      <c r="K3950" t="inlineStr">
        <is>
          <t>On Time</t>
        </is>
      </c>
      <c r="L3950" t="n">
        <v>4</v>
      </c>
      <c r="M3950">
        <f>VLOOKUP(D3950,State_Lookup!$A$2:$B$28,2,FALSE)</f>
        <v/>
      </c>
    </row>
    <row r="3951">
      <c r="A3951" t="inlineStr">
        <is>
          <t>eb208b2789d0b383599396c007996073</t>
        </is>
      </c>
      <c r="B3951" t="inlineStr">
        <is>
          <t>2018-05-18</t>
        </is>
      </c>
      <c r="C3951" t="inlineStr">
        <is>
          <t>2018-05</t>
        </is>
      </c>
      <c r="D3951" t="inlineStr">
        <is>
          <t>SP</t>
        </is>
      </c>
      <c r="E3951" t="inlineStr">
        <is>
          <t>telephony</t>
        </is>
      </c>
      <c r="F3951" t="n">
        <v>1</v>
      </c>
      <c r="G3951" t="n">
        <v>13.77</v>
      </c>
      <c r="H3951" t="n">
        <v>7.39</v>
      </c>
      <c r="I3951" t="inlineStr">
        <is>
          <t>credit_card</t>
        </is>
      </c>
      <c r="J3951" t="n">
        <v>4</v>
      </c>
      <c r="K3951" t="inlineStr">
        <is>
          <t>On Time</t>
        </is>
      </c>
      <c r="L3951" t="n">
        <v>3</v>
      </c>
      <c r="M3951">
        <f>VLOOKUP(D3951,State_Lookup!$A$2:$B$28,2,FALSE)</f>
        <v/>
      </c>
    </row>
    <row r="3952">
      <c r="A3952" t="inlineStr">
        <is>
          <t>67b0b5998d225c031727557708e9bfb3</t>
        </is>
      </c>
      <c r="B3952" t="inlineStr">
        <is>
          <t>2018-05-18</t>
        </is>
      </c>
      <c r="C3952" t="inlineStr">
        <is>
          <t>2018-05</t>
        </is>
      </c>
      <c r="D3952" t="inlineStr">
        <is>
          <t>RS</t>
        </is>
      </c>
      <c r="E3952" t="inlineStr">
        <is>
          <t>housewares</t>
        </is>
      </c>
      <c r="F3952" t="n">
        <v>4</v>
      </c>
      <c r="G3952" t="n">
        <v>600</v>
      </c>
      <c r="H3952" t="n">
        <v>57.56</v>
      </c>
      <c r="I3952" t="inlineStr">
        <is>
          <t>credit_card</t>
        </is>
      </c>
      <c r="J3952" t="n">
        <v>20</v>
      </c>
      <c r="K3952" t="inlineStr">
        <is>
          <t>On Time</t>
        </is>
      </c>
      <c r="L3952" t="n">
        <v>4</v>
      </c>
      <c r="M3952">
        <f>VLOOKUP(D3952,State_Lookup!$A$2:$B$28,2,FALSE)</f>
        <v/>
      </c>
    </row>
    <row r="3953">
      <c r="A3953" t="inlineStr">
        <is>
          <t>2c87632da2d3149c3812ca5da44418e6</t>
        </is>
      </c>
      <c r="B3953" t="inlineStr">
        <is>
          <t>2018-05-18</t>
        </is>
      </c>
      <c r="C3953" t="inlineStr">
        <is>
          <t>2018-05</t>
        </is>
      </c>
      <c r="D3953" t="inlineStr">
        <is>
          <t>BA</t>
        </is>
      </c>
      <c r="E3953" t="inlineStr">
        <is>
          <t>perfumery</t>
        </is>
      </c>
      <c r="F3953" t="n">
        <v>1</v>
      </c>
      <c r="G3953" t="n">
        <v>99</v>
      </c>
      <c r="H3953" t="n">
        <v>37.38</v>
      </c>
      <c r="I3953" t="inlineStr">
        <is>
          <t>credit_card</t>
        </is>
      </c>
      <c r="J3953" t="n">
        <v>21</v>
      </c>
      <c r="K3953" t="inlineStr">
        <is>
          <t>On Time</t>
        </is>
      </c>
      <c r="L3953" t="n">
        <v>5</v>
      </c>
      <c r="M3953">
        <f>VLOOKUP(D3953,State_Lookup!$A$2:$B$28,2,FALSE)</f>
        <v/>
      </c>
    </row>
    <row r="3954">
      <c r="A3954" t="inlineStr">
        <is>
          <t>756fbe4ee70c4866a3cfb2facf6d7ec8</t>
        </is>
      </c>
      <c r="B3954" t="inlineStr">
        <is>
          <t>2018-05-19</t>
        </is>
      </c>
      <c r="C3954" t="inlineStr">
        <is>
          <t>2018-05</t>
        </is>
      </c>
      <c r="D3954" t="inlineStr">
        <is>
          <t>SP</t>
        </is>
      </c>
      <c r="E3954" t="inlineStr">
        <is>
          <t>cool_stuff</t>
        </is>
      </c>
      <c r="F3954" t="n">
        <v>1</v>
      </c>
      <c r="G3954" t="n">
        <v>89.98999999999999</v>
      </c>
      <c r="H3954" t="n">
        <v>15.53</v>
      </c>
      <c r="I3954" t="inlineStr">
        <is>
          <t>credit_card</t>
        </is>
      </c>
      <c r="J3954" t="n">
        <v>2</v>
      </c>
      <c r="K3954" t="inlineStr">
        <is>
          <t>On Time</t>
        </is>
      </c>
      <c r="L3954" t="n">
        <v>5</v>
      </c>
      <c r="M3954">
        <f>VLOOKUP(D3954,State_Lookup!$A$2:$B$28,2,FALSE)</f>
        <v/>
      </c>
    </row>
    <row r="3955">
      <c r="A3955" t="inlineStr">
        <is>
          <t>395e3c91f1eec0bda9e0cf4f57d3bf3b</t>
        </is>
      </c>
      <c r="B3955" t="inlineStr">
        <is>
          <t>2018-05-19</t>
        </is>
      </c>
      <c r="C3955" t="inlineStr">
        <is>
          <t>2018-05</t>
        </is>
      </c>
      <c r="D3955" t="inlineStr">
        <is>
          <t>SC</t>
        </is>
      </c>
      <c r="E3955" t="inlineStr">
        <is>
          <t>auto</t>
        </is>
      </c>
      <c r="F3955" t="n">
        <v>1</v>
      </c>
      <c r="G3955" t="n">
        <v>319</v>
      </c>
      <c r="H3955" t="n">
        <v>20.11</v>
      </c>
      <c r="I3955" t="inlineStr">
        <is>
          <t>credit_card</t>
        </is>
      </c>
      <c r="J3955" t="n">
        <v>14</v>
      </c>
      <c r="K3955" t="inlineStr">
        <is>
          <t>On Time</t>
        </is>
      </c>
      <c r="L3955" t="n">
        <v>4</v>
      </c>
      <c r="M3955">
        <f>VLOOKUP(D3955,State_Lookup!$A$2:$B$28,2,FALSE)</f>
        <v/>
      </c>
    </row>
    <row r="3956">
      <c r="A3956" t="inlineStr">
        <is>
          <t>e540d00fceab564fcd95cc8a75b10beb</t>
        </is>
      </c>
      <c r="B3956" t="inlineStr">
        <is>
          <t>2018-05-19</t>
        </is>
      </c>
      <c r="C3956" t="inlineStr">
        <is>
          <t>2018-05</t>
        </is>
      </c>
      <c r="D3956" t="inlineStr">
        <is>
          <t>BA</t>
        </is>
      </c>
      <c r="E3956" t="inlineStr">
        <is>
          <t>housewares</t>
        </is>
      </c>
      <c r="F3956" t="n">
        <v>1</v>
      </c>
      <c r="G3956" t="n">
        <v>97</v>
      </c>
      <c r="H3956" t="n">
        <v>27.41</v>
      </c>
      <c r="I3956" t="inlineStr">
        <is>
          <t>credit_card</t>
        </is>
      </c>
      <c r="J3956" t="n">
        <v>18</v>
      </c>
      <c r="K3956" t="inlineStr">
        <is>
          <t>On Time</t>
        </is>
      </c>
      <c r="L3956" t="n">
        <v>4</v>
      </c>
      <c r="M3956">
        <f>VLOOKUP(D3956,State_Lookup!$A$2:$B$28,2,FALSE)</f>
        <v/>
      </c>
    </row>
    <row r="3957">
      <c r="A3957" t="inlineStr">
        <is>
          <t>1a302b3c311d6fd772e886b742c24304</t>
        </is>
      </c>
      <c r="B3957" t="inlineStr">
        <is>
          <t>2018-05-19</t>
        </is>
      </c>
      <c r="C3957" t="inlineStr">
        <is>
          <t>2018-05</t>
        </is>
      </c>
      <c r="D3957" t="inlineStr">
        <is>
          <t>SP</t>
        </is>
      </c>
      <c r="E3957" t="inlineStr">
        <is>
          <t>housewares</t>
        </is>
      </c>
      <c r="F3957" t="n">
        <v>1</v>
      </c>
      <c r="G3957" t="n">
        <v>69.98999999999999</v>
      </c>
      <c r="H3957" t="n">
        <v>8.880000000000001</v>
      </c>
      <c r="I3957" t="inlineStr">
        <is>
          <t>credit_card</t>
        </is>
      </c>
      <c r="J3957" t="n">
        <v>4</v>
      </c>
      <c r="K3957" t="inlineStr">
        <is>
          <t>On Time</t>
        </is>
      </c>
      <c r="L3957" t="n">
        <v>3</v>
      </c>
      <c r="M3957">
        <f>VLOOKUP(D3957,State_Lookup!$A$2:$B$28,2,FALSE)</f>
        <v/>
      </c>
    </row>
    <row r="3958">
      <c r="A3958" t="inlineStr">
        <is>
          <t>652050879a7da861024a1114f926958d</t>
        </is>
      </c>
      <c r="B3958" t="inlineStr">
        <is>
          <t>2018-05-19</t>
        </is>
      </c>
      <c r="C3958" t="inlineStr">
        <is>
          <t>2018-05</t>
        </is>
      </c>
      <c r="D3958" t="inlineStr">
        <is>
          <t>SP</t>
        </is>
      </c>
      <c r="E3958" t="inlineStr">
        <is>
          <t>housewares</t>
        </is>
      </c>
      <c r="F3958" t="n">
        <v>1</v>
      </c>
      <c r="G3958" t="n">
        <v>138</v>
      </c>
      <c r="H3958" t="n">
        <v>42.59</v>
      </c>
      <c r="I3958" t="inlineStr">
        <is>
          <t>credit_card</t>
        </is>
      </c>
      <c r="J3958" t="n">
        <v>19</v>
      </c>
      <c r="K3958" t="inlineStr">
        <is>
          <t>On Time</t>
        </is>
      </c>
      <c r="L3958" t="n">
        <v>5</v>
      </c>
      <c r="M3958">
        <f>VLOOKUP(D3958,State_Lookup!$A$2:$B$28,2,FALSE)</f>
        <v/>
      </c>
    </row>
    <row r="3959">
      <c r="A3959" t="inlineStr">
        <is>
          <t>b2569f05d40ea199f859f0d9cdc7b9d6</t>
        </is>
      </c>
      <c r="B3959" t="inlineStr">
        <is>
          <t>2018-05-20</t>
        </is>
      </c>
      <c r="C3959" t="inlineStr">
        <is>
          <t>2018-05</t>
        </is>
      </c>
      <c r="D3959" t="inlineStr">
        <is>
          <t>SP</t>
        </is>
      </c>
      <c r="E3959" t="inlineStr">
        <is>
          <t>health_beauty</t>
        </is>
      </c>
      <c r="F3959" t="n">
        <v>1</v>
      </c>
      <c r="G3959" t="n">
        <v>53.69</v>
      </c>
      <c r="H3959" t="n">
        <v>8.640000000000001</v>
      </c>
      <c r="I3959" t="inlineStr">
        <is>
          <t>credit_card</t>
        </is>
      </c>
      <c r="J3959" t="n">
        <v>3</v>
      </c>
      <c r="K3959" t="inlineStr">
        <is>
          <t>On Time</t>
        </is>
      </c>
      <c r="L3959" t="n">
        <v>4</v>
      </c>
      <c r="M3959">
        <f>VLOOKUP(D3959,State_Lookup!$A$2:$B$28,2,FALSE)</f>
        <v/>
      </c>
    </row>
    <row r="3960">
      <c r="A3960" t="inlineStr">
        <is>
          <t>fb7688c98b85305cf636fb26b2804186</t>
        </is>
      </c>
      <c r="B3960" t="inlineStr">
        <is>
          <t>2018-05-20</t>
        </is>
      </c>
      <c r="C3960" t="inlineStr">
        <is>
          <t>2018-05</t>
        </is>
      </c>
      <c r="D3960" t="inlineStr">
        <is>
          <t>MG</t>
        </is>
      </c>
      <c r="E3960" t="inlineStr">
        <is>
          <t>electronics</t>
        </is>
      </c>
      <c r="F3960" t="n">
        <v>1</v>
      </c>
      <c r="G3960" t="n">
        <v>30</v>
      </c>
      <c r="H3960" t="n">
        <v>18.23</v>
      </c>
      <c r="I3960" t="inlineStr">
        <is>
          <t>voucher</t>
        </is>
      </c>
      <c r="J3960" t="n">
        <v>23</v>
      </c>
      <c r="K3960" t="inlineStr">
        <is>
          <t>Late</t>
        </is>
      </c>
      <c r="L3960" t="n">
        <v>2</v>
      </c>
      <c r="M3960">
        <f>VLOOKUP(D3960,State_Lookup!$A$2:$B$28,2,FALSE)</f>
        <v/>
      </c>
    </row>
    <row r="3961">
      <c r="A3961" t="inlineStr">
        <is>
          <t>18fe9e7ed59582d16d26a9bd99872e7c</t>
        </is>
      </c>
      <c r="B3961" t="inlineStr">
        <is>
          <t>2018-05-20</t>
        </is>
      </c>
      <c r="C3961" t="inlineStr">
        <is>
          <t>2018-05</t>
        </is>
      </c>
      <c r="D3961" t="inlineStr">
        <is>
          <t>MG</t>
        </is>
      </c>
      <c r="E3961" t="inlineStr">
        <is>
          <t>cool_stuff</t>
        </is>
      </c>
      <c r="F3961" t="n">
        <v>1</v>
      </c>
      <c r="G3961" t="n">
        <v>19.9</v>
      </c>
      <c r="H3961" t="n">
        <v>18.23</v>
      </c>
      <c r="I3961" t="inlineStr">
        <is>
          <t>credit_card</t>
        </is>
      </c>
      <c r="J3961" t="n">
        <v>8</v>
      </c>
      <c r="K3961" t="inlineStr">
        <is>
          <t>On Time</t>
        </is>
      </c>
      <c r="L3961" t="n">
        <v>5</v>
      </c>
      <c r="M3961">
        <f>VLOOKUP(D3961,State_Lookup!$A$2:$B$28,2,FALSE)</f>
        <v/>
      </c>
    </row>
    <row r="3962">
      <c r="A3962" t="inlineStr">
        <is>
          <t>78135b03c6d7a39f10996624b9baf92a</t>
        </is>
      </c>
      <c r="B3962" t="inlineStr">
        <is>
          <t>2018-05-20</t>
        </is>
      </c>
      <c r="C3962" t="inlineStr">
        <is>
          <t>2018-05</t>
        </is>
      </c>
      <c r="D3962" t="inlineStr">
        <is>
          <t>SP</t>
        </is>
      </c>
      <c r="E3962" t="inlineStr">
        <is>
          <t>housewares</t>
        </is>
      </c>
      <c r="F3962" t="n">
        <v>1</v>
      </c>
      <c r="G3962" t="n">
        <v>149.97</v>
      </c>
      <c r="H3962" t="n">
        <v>15.93</v>
      </c>
      <c r="I3962" t="inlineStr">
        <is>
          <t>credit_card</t>
        </is>
      </c>
      <c r="J3962" t="n">
        <v>2</v>
      </c>
      <c r="K3962" t="inlineStr">
        <is>
          <t>On Time</t>
        </is>
      </c>
      <c r="L3962" t="n">
        <v>5</v>
      </c>
      <c r="M3962">
        <f>VLOOKUP(D3962,State_Lookup!$A$2:$B$28,2,FALSE)</f>
        <v/>
      </c>
    </row>
    <row r="3963">
      <c r="A3963" t="inlineStr">
        <is>
          <t>4b13014a5302b496d85822e47906556c</t>
        </is>
      </c>
      <c r="B3963" t="inlineStr">
        <is>
          <t>2018-05-20</t>
        </is>
      </c>
      <c r="C3963" t="inlineStr">
        <is>
          <t>2018-05</t>
        </is>
      </c>
      <c r="D3963" t="inlineStr">
        <is>
          <t>RS</t>
        </is>
      </c>
      <c r="E3963" t="inlineStr">
        <is>
          <t>books_technical</t>
        </is>
      </c>
      <c r="F3963" t="n">
        <v>1</v>
      </c>
      <c r="G3963" t="n">
        <v>57.89</v>
      </c>
      <c r="H3963" t="n">
        <v>12.77</v>
      </c>
      <c r="I3963" t="inlineStr">
        <is>
          <t>credit_card</t>
        </is>
      </c>
      <c r="J3963" t="n">
        <v>18</v>
      </c>
      <c r="K3963" t="inlineStr">
        <is>
          <t>On Time</t>
        </is>
      </c>
      <c r="L3963" t="n">
        <v>5</v>
      </c>
      <c r="M3963">
        <f>VLOOKUP(D3963,State_Lookup!$A$2:$B$28,2,FALSE)</f>
        <v/>
      </c>
    </row>
    <row r="3964">
      <c r="A3964" t="inlineStr">
        <is>
          <t>0e7569797e4b4f2871c2439fa24b3888</t>
        </is>
      </c>
      <c r="B3964" t="inlineStr">
        <is>
          <t>2018-05-20</t>
        </is>
      </c>
      <c r="C3964" t="inlineStr">
        <is>
          <t>2018-05</t>
        </is>
      </c>
      <c r="D3964" t="inlineStr">
        <is>
          <t>SP</t>
        </is>
      </c>
      <c r="E3964" t="inlineStr">
        <is>
          <t>stationery</t>
        </is>
      </c>
      <c r="F3964" t="n">
        <v>1</v>
      </c>
      <c r="G3964" t="n">
        <v>36.23</v>
      </c>
      <c r="H3964" t="n">
        <v>18.23</v>
      </c>
      <c r="I3964" t="inlineStr">
        <is>
          <t>credit_card</t>
        </is>
      </c>
      <c r="J3964" t="n">
        <v>15</v>
      </c>
      <c r="K3964" t="inlineStr">
        <is>
          <t>On Time</t>
        </is>
      </c>
      <c r="L3964" t="n">
        <v>5</v>
      </c>
      <c r="M3964">
        <f>VLOOKUP(D3964,State_Lookup!$A$2:$B$28,2,FALSE)</f>
        <v/>
      </c>
    </row>
    <row r="3965">
      <c r="A3965" t="inlineStr">
        <is>
          <t>6d15a355fd35494ccd207bec6a3a04d4</t>
        </is>
      </c>
      <c r="B3965" t="inlineStr">
        <is>
          <t>2018-05-20</t>
        </is>
      </c>
      <c r="C3965" t="inlineStr">
        <is>
          <t>2018-05</t>
        </is>
      </c>
      <c r="D3965" t="inlineStr">
        <is>
          <t>MG</t>
        </is>
      </c>
      <c r="E3965" t="inlineStr">
        <is>
          <t>housewares</t>
        </is>
      </c>
      <c r="F3965" t="n">
        <v>1</v>
      </c>
      <c r="G3965" t="n">
        <v>69.90000000000001</v>
      </c>
      <c r="H3965" t="n">
        <v>7.87</v>
      </c>
      <c r="I3965" t="inlineStr">
        <is>
          <t>credit_card</t>
        </is>
      </c>
      <c r="J3965" t="n">
        <v>12</v>
      </c>
      <c r="K3965" t="inlineStr">
        <is>
          <t>On Time</t>
        </is>
      </c>
      <c r="L3965" t="n">
        <v>5</v>
      </c>
      <c r="M3965">
        <f>VLOOKUP(D3965,State_Lookup!$A$2:$B$28,2,FALSE)</f>
        <v/>
      </c>
    </row>
    <row r="3966">
      <c r="A3966" t="inlineStr">
        <is>
          <t>2dac1809f9dbdd8fa97870ee26c2736f</t>
        </is>
      </c>
      <c r="B3966" t="inlineStr">
        <is>
          <t>2018-05-20</t>
        </is>
      </c>
      <c r="C3966" t="inlineStr">
        <is>
          <t>2018-05</t>
        </is>
      </c>
      <c r="D3966" t="inlineStr">
        <is>
          <t>SC</t>
        </is>
      </c>
      <c r="E3966" t="inlineStr">
        <is>
          <t>pet_shop</t>
        </is>
      </c>
      <c r="F3966" t="n">
        <v>1</v>
      </c>
      <c r="G3966" t="n">
        <v>59.9</v>
      </c>
      <c r="H3966" t="n">
        <v>19.39</v>
      </c>
      <c r="I3966" t="inlineStr">
        <is>
          <t>credit_card</t>
        </is>
      </c>
      <c r="J3966" t="n">
        <v>18</v>
      </c>
      <c r="K3966" t="inlineStr">
        <is>
          <t>On Time</t>
        </is>
      </c>
      <c r="L3966" t="n">
        <v>4</v>
      </c>
      <c r="M3966">
        <f>VLOOKUP(D3966,State_Lookup!$A$2:$B$28,2,FALSE)</f>
        <v/>
      </c>
    </row>
    <row r="3967">
      <c r="A3967" t="inlineStr">
        <is>
          <t>1181b3a643dfdf013bd399adcc3bed11</t>
        </is>
      </c>
      <c r="B3967" t="inlineStr">
        <is>
          <t>2018-05-20</t>
        </is>
      </c>
      <c r="C3967" t="inlineStr">
        <is>
          <t>2018-05</t>
        </is>
      </c>
      <c r="D3967" t="inlineStr">
        <is>
          <t>RJ</t>
        </is>
      </c>
      <c r="E3967" t="inlineStr">
        <is>
          <t>housewares</t>
        </is>
      </c>
      <c r="F3967" t="n">
        <v>1</v>
      </c>
      <c r="G3967" t="n">
        <v>189</v>
      </c>
      <c r="H3967" t="n">
        <v>27.4</v>
      </c>
      <c r="I3967" t="inlineStr">
        <is>
          <t>boleto</t>
        </is>
      </c>
      <c r="J3967" t="n">
        <v>19</v>
      </c>
      <c r="K3967" t="inlineStr">
        <is>
          <t>On Time</t>
        </is>
      </c>
      <c r="L3967" t="n">
        <v>5</v>
      </c>
      <c r="M3967">
        <f>VLOOKUP(D3967,State_Lookup!$A$2:$B$28,2,FALSE)</f>
        <v/>
      </c>
    </row>
    <row r="3968">
      <c r="A3968" t="inlineStr">
        <is>
          <t>5510c1adb5cc6262d2fd7ce904b6e8f4</t>
        </is>
      </c>
      <c r="B3968" t="inlineStr">
        <is>
          <t>2018-05-20</t>
        </is>
      </c>
      <c r="C3968" t="inlineStr">
        <is>
          <t>2018-05</t>
        </is>
      </c>
      <c r="D3968" t="inlineStr">
        <is>
          <t>PR</t>
        </is>
      </c>
      <c r="E3968" t="inlineStr">
        <is>
          <t>health_beauty</t>
        </is>
      </c>
      <c r="F3968" t="n">
        <v>1</v>
      </c>
      <c r="G3968" t="n">
        <v>46.4</v>
      </c>
      <c r="H3968" t="n">
        <v>15.23</v>
      </c>
      <c r="I3968" t="inlineStr">
        <is>
          <t>credit_card</t>
        </is>
      </c>
      <c r="J3968" t="n">
        <v>25</v>
      </c>
      <c r="K3968" t="inlineStr">
        <is>
          <t>Late</t>
        </is>
      </c>
      <c r="L3968" t="n">
        <v>1</v>
      </c>
      <c r="M3968">
        <f>VLOOKUP(D3968,State_Lookup!$A$2:$B$28,2,FALSE)</f>
        <v/>
      </c>
    </row>
    <row r="3969">
      <c r="A3969" t="inlineStr">
        <is>
          <t>d2c4b43f2986e614c4f281927c47d228</t>
        </is>
      </c>
      <c r="B3969" t="inlineStr">
        <is>
          <t>2018-05-20</t>
        </is>
      </c>
      <c r="C3969" t="inlineStr">
        <is>
          <t>2018-05</t>
        </is>
      </c>
      <c r="D3969" t="inlineStr">
        <is>
          <t>SP</t>
        </is>
      </c>
      <c r="E3969" t="inlineStr">
        <is>
          <t>electronics</t>
        </is>
      </c>
      <c r="F3969" t="n">
        <v>2</v>
      </c>
      <c r="G3969" t="n">
        <v>53.8</v>
      </c>
      <c r="H3969" t="n">
        <v>17.76</v>
      </c>
      <c r="I3969" t="inlineStr">
        <is>
          <t>credit_card</t>
        </is>
      </c>
      <c r="J3969" t="n">
        <v>2</v>
      </c>
      <c r="K3969" t="inlineStr">
        <is>
          <t>On Time</t>
        </is>
      </c>
      <c r="L3969" t="n">
        <v>3</v>
      </c>
      <c r="M3969">
        <f>VLOOKUP(D3969,State_Lookup!$A$2:$B$28,2,FALSE)</f>
        <v/>
      </c>
    </row>
    <row r="3970">
      <c r="A3970" t="inlineStr">
        <is>
          <t>c9bfc156368eb14aae98ebff0ee377da</t>
        </is>
      </c>
      <c r="B3970" t="inlineStr">
        <is>
          <t>2018-05-20</t>
        </is>
      </c>
      <c r="C3970" t="inlineStr">
        <is>
          <t>2018-05</t>
        </is>
      </c>
      <c r="D3970" t="inlineStr">
        <is>
          <t>RJ</t>
        </is>
      </c>
      <c r="E3970" t="inlineStr">
        <is>
          <t>bed_bath_table</t>
        </is>
      </c>
      <c r="F3970" t="n">
        <v>1</v>
      </c>
      <c r="G3970" t="n">
        <v>49.95</v>
      </c>
      <c r="H3970" t="n">
        <v>19.32</v>
      </c>
      <c r="I3970" t="inlineStr">
        <is>
          <t>boleto</t>
        </is>
      </c>
      <c r="J3970" t="n">
        <v>16</v>
      </c>
      <c r="K3970" t="inlineStr">
        <is>
          <t>On Time</t>
        </is>
      </c>
      <c r="L3970" t="n">
        <v>4</v>
      </c>
      <c r="M3970">
        <f>VLOOKUP(D3970,State_Lookup!$A$2:$B$28,2,FALSE)</f>
        <v/>
      </c>
    </row>
    <row r="3971">
      <c r="A3971" t="inlineStr">
        <is>
          <t>caf09f63f8f702663028ad9c731a162f</t>
        </is>
      </c>
      <c r="B3971" t="inlineStr">
        <is>
          <t>2018-05-21</t>
        </is>
      </c>
      <c r="C3971" t="inlineStr">
        <is>
          <t>2018-05</t>
        </is>
      </c>
      <c r="D3971" t="inlineStr">
        <is>
          <t>RJ</t>
        </is>
      </c>
      <c r="E3971" t="inlineStr">
        <is>
          <t>home_construction</t>
        </is>
      </c>
      <c r="F3971" t="n">
        <v>1</v>
      </c>
      <c r="G3971" t="n">
        <v>54.4</v>
      </c>
      <c r="H3971" t="n">
        <v>27.14</v>
      </c>
      <c r="I3971" t="inlineStr">
        <is>
          <t>credit_card</t>
        </is>
      </c>
      <c r="J3971" t="n">
        <v>18</v>
      </c>
      <c r="K3971" t="inlineStr">
        <is>
          <t>On Time</t>
        </is>
      </c>
      <c r="L3971" t="n">
        <v>3</v>
      </c>
      <c r="M3971">
        <f>VLOOKUP(D3971,State_Lookup!$A$2:$B$28,2,FALSE)</f>
        <v/>
      </c>
    </row>
    <row r="3972">
      <c r="A3972" t="inlineStr">
        <is>
          <t>cb04c4f13d483754c5b6e420df7cc1dd</t>
        </is>
      </c>
      <c r="B3972" t="inlineStr">
        <is>
          <t>2018-05-21</t>
        </is>
      </c>
      <c r="C3972" t="inlineStr">
        <is>
          <t>2018-05</t>
        </is>
      </c>
      <c r="D3972" t="inlineStr">
        <is>
          <t>SP</t>
        </is>
      </c>
      <c r="E3972" t="inlineStr">
        <is>
          <t>furniture_decor</t>
        </is>
      </c>
      <c r="F3972" t="n">
        <v>1</v>
      </c>
      <c r="G3972" t="n">
        <v>79.90000000000001</v>
      </c>
      <c r="H3972" t="n">
        <v>18.14</v>
      </c>
      <c r="I3972" t="inlineStr">
        <is>
          <t>credit_card</t>
        </is>
      </c>
      <c r="J3972" t="n">
        <v>15</v>
      </c>
      <c r="K3972" t="inlineStr">
        <is>
          <t>On Time</t>
        </is>
      </c>
      <c r="L3972" t="n">
        <v>5</v>
      </c>
      <c r="M3972">
        <f>VLOOKUP(D3972,State_Lookup!$A$2:$B$28,2,FALSE)</f>
        <v/>
      </c>
    </row>
    <row r="3973">
      <c r="A3973" t="inlineStr">
        <is>
          <t>253009218018b92ca2f36309c8dc97cf</t>
        </is>
      </c>
      <c r="B3973" t="inlineStr">
        <is>
          <t>2018-05-21</t>
        </is>
      </c>
      <c r="C3973" t="inlineStr">
        <is>
          <t>2018-05</t>
        </is>
      </c>
      <c r="D3973" t="inlineStr">
        <is>
          <t>SP</t>
        </is>
      </c>
      <c r="E3973" t="inlineStr">
        <is>
          <t>construction_tools_construction</t>
        </is>
      </c>
      <c r="F3973" t="n">
        <v>1</v>
      </c>
      <c r="G3973" t="n">
        <v>80</v>
      </c>
      <c r="H3973" t="n">
        <v>7.43</v>
      </c>
      <c r="I3973" t="inlineStr">
        <is>
          <t>credit_card</t>
        </is>
      </c>
      <c r="J3973" t="n">
        <v>2</v>
      </c>
      <c r="K3973" t="inlineStr">
        <is>
          <t>On Time</t>
        </is>
      </c>
      <c r="L3973" t="n">
        <v>5</v>
      </c>
      <c r="M3973">
        <f>VLOOKUP(D3973,State_Lookup!$A$2:$B$28,2,FALSE)</f>
        <v/>
      </c>
    </row>
    <row r="3974">
      <c r="A3974" t="inlineStr">
        <is>
          <t>fc2dd41f06d775c7fd26ecf8a529ae0a</t>
        </is>
      </c>
      <c r="B3974" t="inlineStr">
        <is>
          <t>2018-05-21</t>
        </is>
      </c>
      <c r="C3974" t="inlineStr">
        <is>
          <t>2018-05</t>
        </is>
      </c>
      <c r="D3974" t="inlineStr">
        <is>
          <t>RS</t>
        </is>
      </c>
      <c r="E3974" t="inlineStr">
        <is>
          <t>drinks</t>
        </is>
      </c>
      <c r="F3974" t="n">
        <v>2</v>
      </c>
      <c r="G3974" t="n">
        <v>116</v>
      </c>
      <c r="H3974" t="n">
        <v>36.58</v>
      </c>
      <c r="I3974" t="inlineStr">
        <is>
          <t>credit_card</t>
        </is>
      </c>
      <c r="J3974" t="n">
        <v>16</v>
      </c>
      <c r="K3974" t="inlineStr">
        <is>
          <t>On Time</t>
        </is>
      </c>
      <c r="L3974" t="n">
        <v>5</v>
      </c>
      <c r="M3974">
        <f>VLOOKUP(D3974,State_Lookup!$A$2:$B$28,2,FALSE)</f>
        <v/>
      </c>
    </row>
    <row r="3975">
      <c r="A3975" t="inlineStr">
        <is>
          <t>c3fb8e13cb37ff21273a1d90ebcf0896</t>
        </is>
      </c>
      <c r="B3975" t="inlineStr">
        <is>
          <t>2018-05-21</t>
        </is>
      </c>
      <c r="C3975" t="inlineStr">
        <is>
          <t>2018-05</t>
        </is>
      </c>
      <c r="D3975" t="inlineStr">
        <is>
          <t>SP</t>
        </is>
      </c>
      <c r="E3975" t="inlineStr">
        <is>
          <t>electronics</t>
        </is>
      </c>
      <c r="F3975" t="n">
        <v>1</v>
      </c>
      <c r="G3975" t="n">
        <v>26.9</v>
      </c>
      <c r="H3975" t="n">
        <v>8.880000000000001</v>
      </c>
      <c r="I3975" t="inlineStr">
        <is>
          <t>credit_card</t>
        </is>
      </c>
      <c r="J3975" t="n">
        <v>7</v>
      </c>
      <c r="K3975" t="inlineStr">
        <is>
          <t>Late</t>
        </is>
      </c>
      <c r="L3975" t="n">
        <v>5</v>
      </c>
      <c r="M3975">
        <f>VLOOKUP(D3975,State_Lookup!$A$2:$B$28,2,FALSE)</f>
        <v/>
      </c>
    </row>
    <row r="3976">
      <c r="A3976" t="inlineStr">
        <is>
          <t>2da8623704f2a31c2f57526043b28458</t>
        </is>
      </c>
      <c r="B3976" t="inlineStr">
        <is>
          <t>2018-05-21</t>
        </is>
      </c>
      <c r="C3976" t="inlineStr">
        <is>
          <t>2018-05</t>
        </is>
      </c>
      <c r="D3976" t="inlineStr">
        <is>
          <t>MG</t>
        </is>
      </c>
      <c r="E3976" t="inlineStr">
        <is>
          <t>stationery</t>
        </is>
      </c>
      <c r="F3976" t="n">
        <v>1</v>
      </c>
      <c r="G3976" t="n">
        <v>199</v>
      </c>
      <c r="H3976" t="n">
        <v>14.51</v>
      </c>
      <c r="I3976" t="inlineStr">
        <is>
          <t>credit_card</t>
        </is>
      </c>
      <c r="J3976" t="n">
        <v>11</v>
      </c>
      <c r="K3976" t="inlineStr">
        <is>
          <t>On Time</t>
        </is>
      </c>
      <c r="L3976" t="n">
        <v>5</v>
      </c>
      <c r="M3976">
        <f>VLOOKUP(D3976,State_Lookup!$A$2:$B$28,2,FALSE)</f>
        <v/>
      </c>
    </row>
    <row r="3977">
      <c r="A3977" t="inlineStr">
        <is>
          <t>c0834ece62641e0d8cf5da3a070f4195</t>
        </is>
      </c>
      <c r="B3977" t="inlineStr">
        <is>
          <t>2018-05-21</t>
        </is>
      </c>
      <c r="C3977" t="inlineStr">
        <is>
          <t>2018-05</t>
        </is>
      </c>
      <c r="D3977" t="inlineStr">
        <is>
          <t>SP</t>
        </is>
      </c>
      <c r="E3977" t="inlineStr">
        <is>
          <t>furniture_decor</t>
        </is>
      </c>
      <c r="F3977" t="n">
        <v>2</v>
      </c>
      <c r="G3977" t="n">
        <v>139.8</v>
      </c>
      <c r="H3977" t="n">
        <v>24.86</v>
      </c>
      <c r="I3977" t="inlineStr">
        <is>
          <t>credit_card</t>
        </is>
      </c>
      <c r="J3977" t="n">
        <v>2</v>
      </c>
      <c r="K3977" t="inlineStr">
        <is>
          <t>On Time</t>
        </is>
      </c>
      <c r="L3977" t="n">
        <v>5</v>
      </c>
      <c r="M3977">
        <f>VLOOKUP(D3977,State_Lookup!$A$2:$B$28,2,FALSE)</f>
        <v/>
      </c>
    </row>
    <row r="3978">
      <c r="A3978" t="inlineStr">
        <is>
          <t>fcaa27705f4857554664f4e54825d593</t>
        </is>
      </c>
      <c r="B3978" t="inlineStr">
        <is>
          <t>2018-05-22</t>
        </is>
      </c>
      <c r="C3978" t="inlineStr">
        <is>
          <t>2018-05</t>
        </is>
      </c>
      <c r="D3978" t="inlineStr">
        <is>
          <t>SP</t>
        </is>
      </c>
      <c r="E3978" t="inlineStr">
        <is>
          <t>auto</t>
        </is>
      </c>
      <c r="F3978" t="n">
        <v>1</v>
      </c>
      <c r="G3978" t="n">
        <v>595</v>
      </c>
      <c r="H3978" t="n">
        <v>85.26000000000001</v>
      </c>
      <c r="I3978" t="inlineStr">
        <is>
          <t>boleto</t>
        </is>
      </c>
      <c r="J3978" t="n">
        <v>15</v>
      </c>
      <c r="K3978" t="inlineStr">
        <is>
          <t>On Time</t>
        </is>
      </c>
      <c r="L3978" t="n">
        <v>5</v>
      </c>
      <c r="M3978">
        <f>VLOOKUP(D3978,State_Lookup!$A$2:$B$28,2,FALSE)</f>
        <v/>
      </c>
    </row>
    <row r="3979">
      <c r="A3979" t="inlineStr">
        <is>
          <t>7b8327bef89b921c5f3ca8b3769b0a67</t>
        </is>
      </c>
      <c r="B3979" t="inlineStr">
        <is>
          <t>2018-05-22</t>
        </is>
      </c>
      <c r="C3979" t="inlineStr">
        <is>
          <t>2018-05</t>
        </is>
      </c>
      <c r="D3979" t="inlineStr">
        <is>
          <t>SP</t>
        </is>
      </c>
      <c r="E3979" t="inlineStr">
        <is>
          <t>auto</t>
        </is>
      </c>
      <c r="F3979" t="n">
        <v>1</v>
      </c>
      <c r="G3979" t="n">
        <v>69.98999999999999</v>
      </c>
      <c r="H3979" t="n">
        <v>8.289999999999999</v>
      </c>
      <c r="I3979" t="inlineStr">
        <is>
          <t>boleto</t>
        </is>
      </c>
      <c r="J3979" t="n">
        <v>2</v>
      </c>
      <c r="K3979" t="inlineStr">
        <is>
          <t>On Time</t>
        </is>
      </c>
      <c r="L3979" t="n">
        <v>5</v>
      </c>
      <c r="M3979">
        <f>VLOOKUP(D3979,State_Lookup!$A$2:$B$28,2,FALSE)</f>
        <v/>
      </c>
    </row>
    <row r="3980">
      <c r="A3980" t="inlineStr">
        <is>
          <t>955d472a5c7c0e6ee8d3ae51e258cf6a</t>
        </is>
      </c>
      <c r="B3980" t="inlineStr">
        <is>
          <t>2018-05-22</t>
        </is>
      </c>
      <c r="C3980" t="inlineStr">
        <is>
          <t>2018-05</t>
        </is>
      </c>
      <c r="D3980" t="inlineStr">
        <is>
          <t>SP</t>
        </is>
      </c>
      <c r="E3980" t="inlineStr">
        <is>
          <t>toys</t>
        </is>
      </c>
      <c r="F3980" t="n">
        <v>1</v>
      </c>
      <c r="G3980" t="n">
        <v>38.9</v>
      </c>
      <c r="H3980" t="n">
        <v>9.44</v>
      </c>
      <c r="I3980" t="inlineStr">
        <is>
          <t>credit_card</t>
        </is>
      </c>
      <c r="J3980" t="n">
        <v>1</v>
      </c>
      <c r="K3980" t="inlineStr">
        <is>
          <t>On Time</t>
        </is>
      </c>
      <c r="L3980" t="n">
        <v>5</v>
      </c>
      <c r="M3980">
        <f>VLOOKUP(D3980,State_Lookup!$A$2:$B$28,2,FALSE)</f>
        <v/>
      </c>
    </row>
    <row r="3981">
      <c r="A3981" t="inlineStr">
        <is>
          <t>7865280b7f716318630d85eb2ea9cd17</t>
        </is>
      </c>
      <c r="B3981" t="inlineStr">
        <is>
          <t>2018-05-22</t>
        </is>
      </c>
      <c r="C3981" t="inlineStr">
        <is>
          <t>2018-05</t>
        </is>
      </c>
      <c r="D3981" t="inlineStr">
        <is>
          <t>SP</t>
        </is>
      </c>
      <c r="E3981" t="inlineStr">
        <is>
          <t>furniture_decor</t>
        </is>
      </c>
      <c r="F3981" t="n">
        <v>2</v>
      </c>
      <c r="G3981" t="n">
        <v>129.6</v>
      </c>
      <c r="H3981" t="n">
        <v>25.78</v>
      </c>
      <c r="I3981" t="inlineStr">
        <is>
          <t>credit_card</t>
        </is>
      </c>
      <c r="J3981" t="n">
        <v>10</v>
      </c>
      <c r="K3981" t="inlineStr">
        <is>
          <t>On Time</t>
        </is>
      </c>
      <c r="L3981" t="n">
        <v>5</v>
      </c>
      <c r="M3981">
        <f>VLOOKUP(D3981,State_Lookup!$A$2:$B$28,2,FALSE)</f>
        <v/>
      </c>
    </row>
    <row r="3982">
      <c r="A3982" t="inlineStr">
        <is>
          <t>758c123811f3da2280246ba25f4938d1</t>
        </is>
      </c>
      <c r="B3982" t="inlineStr">
        <is>
          <t>2018-05-22</t>
        </is>
      </c>
      <c r="C3982" t="inlineStr">
        <is>
          <t>2018-05</t>
        </is>
      </c>
      <c r="D3982" t="inlineStr">
        <is>
          <t>SP</t>
        </is>
      </c>
      <c r="E3982" t="inlineStr">
        <is>
          <t>bed_bath_table</t>
        </is>
      </c>
      <c r="F3982" t="n">
        <v>1</v>
      </c>
      <c r="G3982" t="n">
        <v>91.3</v>
      </c>
      <c r="H3982" t="n">
        <v>23.22</v>
      </c>
      <c r="I3982" t="inlineStr">
        <is>
          <t>voucher</t>
        </is>
      </c>
      <c r="J3982" t="n">
        <v>14</v>
      </c>
      <c r="K3982" t="inlineStr">
        <is>
          <t>On Time</t>
        </is>
      </c>
      <c r="L3982" t="n">
        <v>5</v>
      </c>
      <c r="M3982">
        <f>VLOOKUP(D3982,State_Lookup!$A$2:$B$28,2,FALSE)</f>
        <v/>
      </c>
    </row>
    <row r="3983">
      <c r="A3983" t="inlineStr">
        <is>
          <t>7d038f7eeec76a7eb898fef8a12e6157</t>
        </is>
      </c>
      <c r="B3983" t="inlineStr">
        <is>
          <t>2018-05-22</t>
        </is>
      </c>
      <c r="C3983" t="inlineStr">
        <is>
          <t>2018-05</t>
        </is>
      </c>
      <c r="D3983" t="inlineStr">
        <is>
          <t>SP</t>
        </is>
      </c>
      <c r="E3983" t="inlineStr">
        <is>
          <t>bed_bath_table</t>
        </is>
      </c>
      <c r="F3983" t="n">
        <v>1</v>
      </c>
      <c r="G3983" t="n">
        <v>47.9</v>
      </c>
      <c r="H3983" t="n">
        <v>8.880000000000001</v>
      </c>
      <c r="I3983" t="inlineStr">
        <is>
          <t>boleto</t>
        </is>
      </c>
      <c r="J3983" t="n">
        <v>6</v>
      </c>
      <c r="K3983" t="inlineStr">
        <is>
          <t>On Time</t>
        </is>
      </c>
      <c r="L3983" t="n">
        <v>3</v>
      </c>
      <c r="M3983">
        <f>VLOOKUP(D3983,State_Lookup!$A$2:$B$28,2,FALSE)</f>
        <v/>
      </c>
    </row>
    <row r="3984">
      <c r="A3984" t="inlineStr">
        <is>
          <t>6c55bf4d09523cf2a72a452cdc0f0a80</t>
        </is>
      </c>
      <c r="B3984" t="inlineStr">
        <is>
          <t>2018-05-22</t>
        </is>
      </c>
      <c r="C3984" t="inlineStr">
        <is>
          <t>2018-05</t>
        </is>
      </c>
      <c r="D3984" t="inlineStr">
        <is>
          <t>SP</t>
        </is>
      </c>
      <c r="E3984" t="inlineStr">
        <is>
          <t>office_furniture</t>
        </is>
      </c>
      <c r="F3984" t="n">
        <v>3</v>
      </c>
      <c r="G3984" t="n">
        <v>449.82</v>
      </c>
      <c r="H3984" t="n">
        <v>72.35000000000001</v>
      </c>
      <c r="I3984" t="inlineStr">
        <is>
          <t>credit_card</t>
        </is>
      </c>
      <c r="J3984" t="n">
        <v>20</v>
      </c>
      <c r="K3984" t="inlineStr">
        <is>
          <t>On Time</t>
        </is>
      </c>
      <c r="L3984" t="n">
        <v>5</v>
      </c>
      <c r="M3984">
        <f>VLOOKUP(D3984,State_Lookup!$A$2:$B$28,2,FALSE)</f>
        <v/>
      </c>
    </row>
    <row r="3985">
      <c r="A3985" t="inlineStr">
        <is>
          <t>8250f4901ec804e830f26ef6fc285138</t>
        </is>
      </c>
      <c r="B3985" t="inlineStr">
        <is>
          <t>2018-05-22</t>
        </is>
      </c>
      <c r="C3985" t="inlineStr">
        <is>
          <t>2018-05</t>
        </is>
      </c>
      <c r="D3985" t="inlineStr">
        <is>
          <t>SP</t>
        </is>
      </c>
      <c r="E3985" t="inlineStr">
        <is>
          <t>industry_commerce_and_business</t>
        </is>
      </c>
      <c r="F3985" t="n">
        <v>1</v>
      </c>
      <c r="G3985" t="n">
        <v>110</v>
      </c>
      <c r="H3985" t="n">
        <v>15.67</v>
      </c>
      <c r="I3985" t="inlineStr">
        <is>
          <t>credit_card</t>
        </is>
      </c>
      <c r="J3985" t="n">
        <v>2</v>
      </c>
      <c r="K3985" t="inlineStr">
        <is>
          <t>On Time</t>
        </is>
      </c>
      <c r="L3985" t="n">
        <v>5</v>
      </c>
      <c r="M3985">
        <f>VLOOKUP(D3985,State_Lookup!$A$2:$B$28,2,FALSE)</f>
        <v/>
      </c>
    </row>
    <row r="3986">
      <c r="A3986" t="inlineStr">
        <is>
          <t>2d0f32fa8bc7885514c176ca48f798d6</t>
        </is>
      </c>
      <c r="B3986" t="inlineStr">
        <is>
          <t>2018-05-22</t>
        </is>
      </c>
      <c r="C3986" t="inlineStr">
        <is>
          <t>2018-05</t>
        </is>
      </c>
      <c r="D3986" t="inlineStr">
        <is>
          <t>SP</t>
        </is>
      </c>
      <c r="E3986" t="inlineStr">
        <is>
          <t>cine_photo</t>
        </is>
      </c>
      <c r="F3986" t="n">
        <v>1</v>
      </c>
      <c r="G3986" t="n">
        <v>120</v>
      </c>
      <c r="H3986" t="n">
        <v>17.55</v>
      </c>
      <c r="I3986" t="inlineStr">
        <is>
          <t>boleto</t>
        </is>
      </c>
      <c r="J3986" t="n">
        <v>8</v>
      </c>
      <c r="K3986" t="inlineStr">
        <is>
          <t>On Time</t>
        </is>
      </c>
      <c r="L3986" t="n">
        <v>5</v>
      </c>
      <c r="M3986">
        <f>VLOOKUP(D3986,State_Lookup!$A$2:$B$28,2,FALSE)</f>
        <v/>
      </c>
    </row>
    <row r="3987">
      <c r="A3987" t="inlineStr">
        <is>
          <t>5347a7f07b3387d2dd23be64b9ceea32</t>
        </is>
      </c>
      <c r="B3987" t="inlineStr">
        <is>
          <t>2018-05-22</t>
        </is>
      </c>
      <c r="C3987" t="inlineStr">
        <is>
          <t>2018-05</t>
        </is>
      </c>
      <c r="D3987" t="inlineStr">
        <is>
          <t>SP</t>
        </is>
      </c>
      <c r="E3987" t="inlineStr">
        <is>
          <t>bed_bath_table</t>
        </is>
      </c>
      <c r="F3987" t="n">
        <v>1</v>
      </c>
      <c r="G3987" t="n">
        <v>48.99</v>
      </c>
      <c r="H3987" t="n">
        <v>13.71</v>
      </c>
      <c r="I3987" t="inlineStr">
        <is>
          <t>credit_card</t>
        </is>
      </c>
      <c r="J3987" t="n">
        <v>11</v>
      </c>
      <c r="K3987" t="inlineStr">
        <is>
          <t>On Time</t>
        </is>
      </c>
      <c r="L3987" t="n">
        <v>3</v>
      </c>
      <c r="M3987">
        <f>VLOOKUP(D3987,State_Lookup!$A$2:$B$28,2,FALSE)</f>
        <v/>
      </c>
    </row>
    <row r="3988">
      <c r="A3988" t="inlineStr">
        <is>
          <t>43070b94b6d741a764e8e1ba4a2ea91d</t>
        </is>
      </c>
      <c r="B3988" t="inlineStr">
        <is>
          <t>2018-05-22</t>
        </is>
      </c>
      <c r="C3988" t="inlineStr">
        <is>
          <t>2018-05</t>
        </is>
      </c>
      <c r="D3988" t="inlineStr">
        <is>
          <t>SP</t>
        </is>
      </c>
      <c r="E3988" t="inlineStr">
        <is>
          <t>office_furniture</t>
        </is>
      </c>
      <c r="F3988" t="n">
        <v>1</v>
      </c>
      <c r="G3988" t="n">
        <v>1189.9</v>
      </c>
      <c r="H3988" t="n">
        <v>121.05</v>
      </c>
      <c r="I3988" t="inlineStr">
        <is>
          <t>credit_card</t>
        </is>
      </c>
      <c r="J3988" t="n">
        <v>13</v>
      </c>
      <c r="K3988" t="inlineStr">
        <is>
          <t>On Time</t>
        </is>
      </c>
      <c r="L3988" t="n">
        <v>3</v>
      </c>
      <c r="M3988">
        <f>VLOOKUP(D3988,State_Lookup!$A$2:$B$28,2,FALSE)</f>
        <v/>
      </c>
    </row>
    <row r="3989">
      <c r="A3989" t="inlineStr">
        <is>
          <t>b09d72418cab562c0f010453c7d1fcaa</t>
        </is>
      </c>
      <c r="B3989" t="inlineStr">
        <is>
          <t>2018-05-22</t>
        </is>
      </c>
      <c r="C3989" t="inlineStr">
        <is>
          <t>2018-05</t>
        </is>
      </c>
      <c r="D3989" t="inlineStr">
        <is>
          <t>SP</t>
        </is>
      </c>
      <c r="E3989" t="inlineStr">
        <is>
          <t>housewares</t>
        </is>
      </c>
      <c r="F3989" t="n">
        <v>1</v>
      </c>
      <c r="G3989" t="n">
        <v>24.2</v>
      </c>
      <c r="H3989" t="n">
        <v>17.34</v>
      </c>
      <c r="I3989" t="inlineStr">
        <is>
          <t>boleto</t>
        </is>
      </c>
      <c r="J3989" t="n">
        <v>5</v>
      </c>
      <c r="K3989" t="inlineStr">
        <is>
          <t>On Time</t>
        </is>
      </c>
      <c r="L3989" t="n">
        <v>5</v>
      </c>
      <c r="M3989">
        <f>VLOOKUP(D3989,State_Lookup!$A$2:$B$28,2,FALSE)</f>
        <v/>
      </c>
    </row>
    <row r="3990">
      <c r="A3990" t="inlineStr">
        <is>
          <t>20824f4d96365315a1f191746a385a0c</t>
        </is>
      </c>
      <c r="B3990" t="inlineStr">
        <is>
          <t>2018-05-22</t>
        </is>
      </c>
      <c r="C3990" t="inlineStr">
        <is>
          <t>2018-05</t>
        </is>
      </c>
      <c r="D3990" t="inlineStr">
        <is>
          <t>SP</t>
        </is>
      </c>
      <c r="E3990" t="inlineStr">
        <is>
          <t>bed_bath_table</t>
        </is>
      </c>
      <c r="F3990" t="n">
        <v>1</v>
      </c>
      <c r="G3990" t="n">
        <v>19.9</v>
      </c>
      <c r="H3990" t="n">
        <v>12.79</v>
      </c>
      <c r="I3990" t="inlineStr">
        <is>
          <t>credit_card</t>
        </is>
      </c>
      <c r="J3990" t="n">
        <v>12</v>
      </c>
      <c r="K3990" t="inlineStr">
        <is>
          <t>On Time</t>
        </is>
      </c>
      <c r="L3990" t="n">
        <v>5</v>
      </c>
      <c r="M3990">
        <f>VLOOKUP(D3990,State_Lookup!$A$2:$B$28,2,FALSE)</f>
        <v/>
      </c>
    </row>
    <row r="3991">
      <c r="A3991" t="inlineStr">
        <is>
          <t>7068f768a623a654abf648def8753495</t>
        </is>
      </c>
      <c r="B3991" t="inlineStr">
        <is>
          <t>2018-05-22</t>
        </is>
      </c>
      <c r="C3991" t="inlineStr">
        <is>
          <t>2018-05</t>
        </is>
      </c>
      <c r="D3991" t="inlineStr">
        <is>
          <t>SP</t>
        </is>
      </c>
      <c r="E3991" t="inlineStr">
        <is>
          <t>garden_tools</t>
        </is>
      </c>
      <c r="F3991" t="n">
        <v>3</v>
      </c>
      <c r="G3991" t="n">
        <v>198.7</v>
      </c>
      <c r="H3991" t="n">
        <v>63.19</v>
      </c>
      <c r="I3991" t="inlineStr">
        <is>
          <t>boleto</t>
        </is>
      </c>
      <c r="J3991" t="n">
        <v>2</v>
      </c>
      <c r="K3991" t="inlineStr">
        <is>
          <t>On Time</t>
        </is>
      </c>
      <c r="L3991" t="n">
        <v>5</v>
      </c>
      <c r="M3991">
        <f>VLOOKUP(D3991,State_Lookup!$A$2:$B$28,2,FALSE)</f>
        <v/>
      </c>
    </row>
    <row r="3992">
      <c r="A3992" t="inlineStr">
        <is>
          <t>fe00e26eb05c951aad5cbc6b7f602edb</t>
        </is>
      </c>
      <c r="B3992" t="inlineStr">
        <is>
          <t>2018-05-23</t>
        </is>
      </c>
      <c r="C3992" t="inlineStr">
        <is>
          <t>2018-05</t>
        </is>
      </c>
      <c r="D3992" t="inlineStr">
        <is>
          <t>RJ</t>
        </is>
      </c>
      <c r="E3992" t="inlineStr">
        <is>
          <t>bed_bath_table</t>
        </is>
      </c>
      <c r="F3992" t="n">
        <v>1</v>
      </c>
      <c r="G3992" t="n">
        <v>114.9</v>
      </c>
      <c r="H3992" t="n">
        <v>23.38</v>
      </c>
      <c r="I3992" t="inlineStr">
        <is>
          <t>boleto</t>
        </is>
      </c>
      <c r="J3992" t="n">
        <v>14</v>
      </c>
      <c r="K3992" t="inlineStr">
        <is>
          <t>On Time</t>
        </is>
      </c>
      <c r="L3992" t="n">
        <v>4</v>
      </c>
      <c r="M3992">
        <f>VLOOKUP(D3992,State_Lookup!$A$2:$B$28,2,FALSE)</f>
        <v/>
      </c>
    </row>
    <row r="3993">
      <c r="A3993" t="inlineStr">
        <is>
          <t>1a1ef8dc595adbce0e5d75d806d69286</t>
        </is>
      </c>
      <c r="B3993" t="inlineStr">
        <is>
          <t>2018-05-23</t>
        </is>
      </c>
      <c r="C3993" t="inlineStr">
        <is>
          <t>2018-05</t>
        </is>
      </c>
      <c r="D3993" t="inlineStr">
        <is>
          <t>SC</t>
        </is>
      </c>
      <c r="E3993" t="inlineStr">
        <is>
          <t>bed_bath_table</t>
        </is>
      </c>
      <c r="F3993" t="n">
        <v>1</v>
      </c>
      <c r="G3993" t="n">
        <v>51.9</v>
      </c>
      <c r="H3993" t="n">
        <v>19.05</v>
      </c>
      <c r="I3993" t="inlineStr">
        <is>
          <t>credit_card</t>
        </is>
      </c>
      <c r="J3993" t="n">
        <v>15</v>
      </c>
      <c r="K3993" t="inlineStr">
        <is>
          <t>On Time</t>
        </is>
      </c>
      <c r="L3993" t="n">
        <v>5</v>
      </c>
      <c r="M3993">
        <f>VLOOKUP(D3993,State_Lookup!$A$2:$B$28,2,FALSE)</f>
        <v/>
      </c>
    </row>
    <row r="3994">
      <c r="A3994" t="inlineStr">
        <is>
          <t>d6bb547da098f595bc40f00e2d38056e</t>
        </is>
      </c>
      <c r="B3994" t="inlineStr">
        <is>
          <t>2018-05-23</t>
        </is>
      </c>
      <c r="C3994" t="inlineStr">
        <is>
          <t>2018-05</t>
        </is>
      </c>
      <c r="D3994" t="inlineStr">
        <is>
          <t>SP</t>
        </is>
      </c>
      <c r="E3994" t="inlineStr">
        <is>
          <t>bed_bath_table</t>
        </is>
      </c>
      <c r="F3994" t="n">
        <v>1</v>
      </c>
      <c r="G3994" t="n">
        <v>69.90000000000001</v>
      </c>
      <c r="H3994" t="n">
        <v>10.21</v>
      </c>
      <c r="I3994" t="inlineStr">
        <is>
          <t>credit_card</t>
        </is>
      </c>
      <c r="J3994" t="n">
        <v>14</v>
      </c>
      <c r="K3994" t="inlineStr">
        <is>
          <t>On Time</t>
        </is>
      </c>
      <c r="L3994" t="n">
        <v>3</v>
      </c>
      <c r="M3994">
        <f>VLOOKUP(D3994,State_Lookup!$A$2:$B$28,2,FALSE)</f>
        <v/>
      </c>
    </row>
    <row r="3995">
      <c r="A3995" t="inlineStr">
        <is>
          <t>a2eb5d639e60dc92388b4177edfc52a4</t>
        </is>
      </c>
      <c r="B3995" t="inlineStr">
        <is>
          <t>2018-05-23</t>
        </is>
      </c>
      <c r="C3995" t="inlineStr">
        <is>
          <t>2018-05</t>
        </is>
      </c>
      <c r="D3995" t="inlineStr">
        <is>
          <t>RJ</t>
        </is>
      </c>
      <c r="E3995" t="inlineStr">
        <is>
          <t>housewares</t>
        </is>
      </c>
      <c r="F3995" t="n">
        <v>1</v>
      </c>
      <c r="G3995" t="n">
        <v>97</v>
      </c>
      <c r="H3995" t="n">
        <v>23.26</v>
      </c>
      <c r="I3995" t="inlineStr">
        <is>
          <t>credit_card</t>
        </is>
      </c>
      <c r="J3995" t="n">
        <v>9</v>
      </c>
      <c r="K3995" t="inlineStr">
        <is>
          <t>On Time</t>
        </is>
      </c>
      <c r="L3995" t="n">
        <v>3</v>
      </c>
      <c r="M3995">
        <f>VLOOKUP(D3995,State_Lookup!$A$2:$B$28,2,FALSE)</f>
        <v/>
      </c>
    </row>
    <row r="3996">
      <c r="A3996" t="inlineStr">
        <is>
          <t>b2b345cd2633deaf2b69c3b5c5585afa</t>
        </is>
      </c>
      <c r="B3996" t="inlineStr">
        <is>
          <t>2018-05-23</t>
        </is>
      </c>
      <c r="C3996" t="inlineStr">
        <is>
          <t>2018-05</t>
        </is>
      </c>
      <c r="D3996" t="inlineStr">
        <is>
          <t>SP</t>
        </is>
      </c>
      <c r="E3996" t="inlineStr">
        <is>
          <t>health_beauty</t>
        </is>
      </c>
      <c r="F3996" t="n">
        <v>1</v>
      </c>
      <c r="G3996" t="n">
        <v>53</v>
      </c>
      <c r="H3996" t="n">
        <v>8.289999999999999</v>
      </c>
      <c r="I3996" t="inlineStr">
        <is>
          <t>boleto</t>
        </is>
      </c>
      <c r="J3996" t="n">
        <v>2</v>
      </c>
      <c r="K3996" t="inlineStr">
        <is>
          <t>On Time</t>
        </is>
      </c>
      <c r="L3996" t="n">
        <v>5</v>
      </c>
      <c r="M3996">
        <f>VLOOKUP(D3996,State_Lookup!$A$2:$B$28,2,FALSE)</f>
        <v/>
      </c>
    </row>
    <row r="3997">
      <c r="A3997" t="inlineStr">
        <is>
          <t>ce36799829f380bb23aa467649d173c5</t>
        </is>
      </c>
      <c r="B3997" t="inlineStr">
        <is>
          <t>2018-05-24</t>
        </is>
      </c>
      <c r="C3997" t="inlineStr">
        <is>
          <t>2018-05</t>
        </is>
      </c>
      <c r="D3997" t="inlineStr">
        <is>
          <t>SP</t>
        </is>
      </c>
      <c r="E3997" t="inlineStr">
        <is>
          <t>home_construction</t>
        </is>
      </c>
      <c r="F3997" t="n">
        <v>1</v>
      </c>
      <c r="G3997" t="n">
        <v>150</v>
      </c>
      <c r="H3997" t="n">
        <v>11.31</v>
      </c>
      <c r="I3997" t="inlineStr">
        <is>
          <t>boleto</t>
        </is>
      </c>
      <c r="J3997" t="n">
        <v>13</v>
      </c>
      <c r="K3997" t="inlineStr">
        <is>
          <t>On Time</t>
        </is>
      </c>
      <c r="L3997" t="n">
        <v>1</v>
      </c>
      <c r="M3997">
        <f>VLOOKUP(D3997,State_Lookup!$A$2:$B$28,2,FALSE)</f>
        <v/>
      </c>
    </row>
    <row r="3998">
      <c r="A3998" t="inlineStr">
        <is>
          <t>fb8c84f49d464b75f05a3de37923fc87</t>
        </is>
      </c>
      <c r="B3998" t="inlineStr">
        <is>
          <t>2018-05-24</t>
        </is>
      </c>
      <c r="C3998" t="inlineStr">
        <is>
          <t>2018-05</t>
        </is>
      </c>
      <c r="D3998" t="inlineStr">
        <is>
          <t>SP</t>
        </is>
      </c>
      <c r="E3998" t="inlineStr">
        <is>
          <t>small_appliances_home_oven_and_coffee</t>
        </is>
      </c>
      <c r="F3998" t="n">
        <v>1</v>
      </c>
      <c r="G3998" t="n">
        <v>1799</v>
      </c>
      <c r="H3998" t="n">
        <v>29.41</v>
      </c>
      <c r="I3998" t="inlineStr">
        <is>
          <t>credit_card</t>
        </is>
      </c>
      <c r="J3998" t="n">
        <v>1</v>
      </c>
      <c r="K3998" t="inlineStr">
        <is>
          <t>On Time</t>
        </is>
      </c>
      <c r="L3998" t="n">
        <v>4</v>
      </c>
      <c r="M3998">
        <f>VLOOKUP(D3998,State_Lookup!$A$2:$B$28,2,FALSE)</f>
        <v/>
      </c>
    </row>
    <row r="3999">
      <c r="A3999" t="inlineStr">
        <is>
          <t>e32a92918d2cdf233b619daa465cfb6d</t>
        </is>
      </c>
      <c r="B3999" t="inlineStr">
        <is>
          <t>2018-05-24</t>
        </is>
      </c>
      <c r="C3999" t="inlineStr">
        <is>
          <t>2018-05</t>
        </is>
      </c>
      <c r="D3999" t="inlineStr">
        <is>
          <t>SP</t>
        </is>
      </c>
      <c r="E3999" t="inlineStr">
        <is>
          <t>sports_leisure</t>
        </is>
      </c>
      <c r="F3999" t="n">
        <v>2</v>
      </c>
      <c r="G3999" t="n">
        <v>39.98</v>
      </c>
      <c r="H3999" t="n">
        <v>14.78</v>
      </c>
      <c r="I3999" t="inlineStr">
        <is>
          <t>credit_card</t>
        </is>
      </c>
      <c r="J3999" t="n">
        <v>1</v>
      </c>
      <c r="K3999" t="inlineStr">
        <is>
          <t>On Time</t>
        </is>
      </c>
      <c r="L3999" t="n">
        <v>5</v>
      </c>
      <c r="M3999">
        <f>VLOOKUP(D3999,State_Lookup!$A$2:$B$28,2,FALSE)</f>
        <v/>
      </c>
    </row>
    <row r="4000">
      <c r="A4000" t="inlineStr">
        <is>
          <t>bb05bd3bbacf1e3c6026b43b44a6631c</t>
        </is>
      </c>
      <c r="B4000" t="inlineStr">
        <is>
          <t>2018-05-24</t>
        </is>
      </c>
      <c r="C4000" t="inlineStr">
        <is>
          <t>2018-05</t>
        </is>
      </c>
      <c r="D4000" t="inlineStr">
        <is>
          <t>SP</t>
        </is>
      </c>
      <c r="E4000" t="inlineStr">
        <is>
          <t>sports_leisure</t>
        </is>
      </c>
      <c r="F4000" t="n">
        <v>1</v>
      </c>
      <c r="G4000" t="n">
        <v>22.3</v>
      </c>
      <c r="H4000" t="n">
        <v>8.880000000000001</v>
      </c>
      <c r="I4000" t="inlineStr">
        <is>
          <t>boleto</t>
        </is>
      </c>
      <c r="J4000" t="n">
        <v>8</v>
      </c>
      <c r="K4000" t="inlineStr">
        <is>
          <t>On Time</t>
        </is>
      </c>
      <c r="L4000" t="n">
        <v>5</v>
      </c>
      <c r="M4000">
        <f>VLOOKUP(D4000,State_Lookup!$A$2:$B$28,2,FALSE)</f>
        <v/>
      </c>
    </row>
    <row r="4001">
      <c r="A4001" t="inlineStr">
        <is>
          <t>db1c20a4da0424fc89761d0a694ea01a</t>
        </is>
      </c>
      <c r="B4001" t="inlineStr">
        <is>
          <t>2018-05-24</t>
        </is>
      </c>
      <c r="C4001" t="inlineStr">
        <is>
          <t>2018-05</t>
        </is>
      </c>
      <c r="D4001" t="inlineStr">
        <is>
          <t>SP</t>
        </is>
      </c>
      <c r="E4001" t="inlineStr">
        <is>
          <t>auto</t>
        </is>
      </c>
      <c r="F4001" t="n">
        <v>1</v>
      </c>
      <c r="G4001" t="n">
        <v>85</v>
      </c>
      <c r="H4001" t="n">
        <v>13.03</v>
      </c>
      <c r="I4001" t="inlineStr">
        <is>
          <t>credit_card</t>
        </is>
      </c>
      <c r="J4001" t="n">
        <v>4</v>
      </c>
      <c r="K4001" t="inlineStr">
        <is>
          <t>On Time</t>
        </is>
      </c>
      <c r="L4001" t="n">
        <v>5</v>
      </c>
      <c r="M4001">
        <f>VLOOKUP(D4001,State_Lookup!$A$2:$B$28,2,FALSE)</f>
        <v/>
      </c>
    </row>
    <row r="4002">
      <c r="A4002" t="inlineStr">
        <is>
          <t>944f138622bd3f426cb3c1588035ce87</t>
        </is>
      </c>
      <c r="B4002" t="inlineStr">
        <is>
          <t>2018-05-24</t>
        </is>
      </c>
      <c r="C4002" t="inlineStr">
        <is>
          <t>2018-05</t>
        </is>
      </c>
      <c r="D4002" t="inlineStr">
        <is>
          <t>PR</t>
        </is>
      </c>
      <c r="E4002" t="inlineStr">
        <is>
          <t>furniture_decor</t>
        </is>
      </c>
      <c r="F4002" t="n">
        <v>1</v>
      </c>
      <c r="G4002" t="n">
        <v>99.90000000000001</v>
      </c>
      <c r="H4002" t="n">
        <v>11.38</v>
      </c>
      <c r="I4002" t="inlineStr">
        <is>
          <t>credit_card</t>
        </is>
      </c>
      <c r="J4002" t="n">
        <v>8</v>
      </c>
      <c r="K4002" t="inlineStr">
        <is>
          <t>On Time</t>
        </is>
      </c>
      <c r="L4002" t="n">
        <v>5</v>
      </c>
      <c r="M4002">
        <f>VLOOKUP(D4002,State_Lookup!$A$2:$B$28,2,FALSE)</f>
        <v/>
      </c>
    </row>
    <row r="4003">
      <c r="A4003" t="inlineStr">
        <is>
          <t>2109de10cb751b43648fd8c1ebbb1d0f</t>
        </is>
      </c>
      <c r="B4003" t="inlineStr">
        <is>
          <t>2018-05-24</t>
        </is>
      </c>
      <c r="C4003" t="inlineStr">
        <is>
          <t>2018-05</t>
        </is>
      </c>
      <c r="D4003" t="inlineStr">
        <is>
          <t>SP</t>
        </is>
      </c>
      <c r="E4003" t="inlineStr">
        <is>
          <t>housewares</t>
        </is>
      </c>
      <c r="F4003" t="n">
        <v>3</v>
      </c>
      <c r="G4003" t="n">
        <v>291</v>
      </c>
      <c r="H4003" t="n">
        <v>44.31</v>
      </c>
      <c r="I4003" t="inlineStr">
        <is>
          <t>credit_card</t>
        </is>
      </c>
      <c r="J4003" t="n">
        <v>9</v>
      </c>
      <c r="K4003" t="inlineStr">
        <is>
          <t>On Time</t>
        </is>
      </c>
      <c r="L4003" t="n">
        <v>4</v>
      </c>
      <c r="M4003">
        <f>VLOOKUP(D4003,State_Lookup!$A$2:$B$28,2,FALSE)</f>
        <v/>
      </c>
    </row>
    <row r="4004">
      <c r="A4004" t="inlineStr">
        <is>
          <t>96eb9d1d1588412109dae29e68f86e86</t>
        </is>
      </c>
      <c r="B4004" t="inlineStr">
        <is>
          <t>2018-05-25</t>
        </is>
      </c>
      <c r="C4004" t="inlineStr">
        <is>
          <t>2018-05</t>
        </is>
      </c>
      <c r="D4004" t="inlineStr">
        <is>
          <t>SP</t>
        </is>
      </c>
      <c r="E4004" t="inlineStr">
        <is>
          <t>computers_accessories</t>
        </is>
      </c>
      <c r="F4004" t="n">
        <v>1</v>
      </c>
      <c r="G4004" t="n">
        <v>75.90000000000001</v>
      </c>
      <c r="H4004" t="n">
        <v>13.65</v>
      </c>
      <c r="I4004" t="inlineStr">
        <is>
          <t>credit_card</t>
        </is>
      </c>
      <c r="J4004" t="n">
        <v>13</v>
      </c>
      <c r="K4004" t="inlineStr">
        <is>
          <t>On Time</t>
        </is>
      </c>
      <c r="L4004" t="n">
        <v>4</v>
      </c>
      <c r="M4004">
        <f>VLOOKUP(D4004,State_Lookup!$A$2:$B$28,2,FALSE)</f>
        <v/>
      </c>
    </row>
    <row r="4005">
      <c r="A4005" t="inlineStr">
        <is>
          <t>c4406c3911b19657e6304e5c7c61a069</t>
        </is>
      </c>
      <c r="B4005" t="inlineStr">
        <is>
          <t>2018-05-25</t>
        </is>
      </c>
      <c r="C4005" t="inlineStr">
        <is>
          <t>2018-05</t>
        </is>
      </c>
      <c r="D4005" t="inlineStr">
        <is>
          <t>RS</t>
        </is>
      </c>
      <c r="E4005" t="inlineStr">
        <is>
          <t>industry_commerce_and_business</t>
        </is>
      </c>
      <c r="F4005" t="n">
        <v>1</v>
      </c>
      <c r="G4005" t="n">
        <v>109.99</v>
      </c>
      <c r="H4005" t="n">
        <v>7.95</v>
      </c>
      <c r="I4005" t="inlineStr">
        <is>
          <t>credit_card</t>
        </is>
      </c>
      <c r="J4005" t="n">
        <v>3</v>
      </c>
      <c r="K4005" t="inlineStr">
        <is>
          <t>On Time</t>
        </is>
      </c>
      <c r="L4005" t="n">
        <v>5</v>
      </c>
      <c r="M4005">
        <f>VLOOKUP(D4005,State_Lookup!$A$2:$B$28,2,FALSE)</f>
        <v/>
      </c>
    </row>
    <row r="4006">
      <c r="A4006" t="inlineStr">
        <is>
          <t>a853cdd8003fb8372f09eefdb15720f8</t>
        </is>
      </c>
      <c r="B4006" t="inlineStr">
        <is>
          <t>2018-05-25</t>
        </is>
      </c>
      <c r="C4006" t="inlineStr">
        <is>
          <t>2018-05</t>
        </is>
      </c>
      <c r="D4006" t="inlineStr">
        <is>
          <t>PR</t>
        </is>
      </c>
      <c r="E4006" t="inlineStr">
        <is>
          <t>telephony</t>
        </is>
      </c>
      <c r="F4006" t="n">
        <v>4</v>
      </c>
      <c r="G4006" t="n">
        <v>109.96</v>
      </c>
      <c r="H4006" t="n">
        <v>63.8</v>
      </c>
      <c r="I4006" t="inlineStr">
        <is>
          <t>credit_card</t>
        </is>
      </c>
      <c r="J4006" t="n">
        <v>11</v>
      </c>
      <c r="K4006" t="inlineStr">
        <is>
          <t>On Time</t>
        </is>
      </c>
      <c r="L4006" t="n">
        <v>5</v>
      </c>
      <c r="M4006">
        <f>VLOOKUP(D4006,State_Lookup!$A$2:$B$28,2,FALSE)</f>
        <v/>
      </c>
    </row>
    <row r="4007">
      <c r="A4007" t="inlineStr">
        <is>
          <t>f1ec04b3b8679de55776bea7e3ad436f</t>
        </is>
      </c>
      <c r="B4007" t="inlineStr">
        <is>
          <t>2018-05-25</t>
        </is>
      </c>
      <c r="C4007" t="inlineStr">
        <is>
          <t>2018-05</t>
        </is>
      </c>
      <c r="D4007" t="inlineStr">
        <is>
          <t>SP</t>
        </is>
      </c>
      <c r="E4007" t="inlineStr">
        <is>
          <t>bed_bath_table</t>
        </is>
      </c>
      <c r="F4007" t="n">
        <v>1</v>
      </c>
      <c r="G4007" t="n">
        <v>74.98999999999999</v>
      </c>
      <c r="H4007" t="n">
        <v>8.880000000000001</v>
      </c>
      <c r="I4007" t="inlineStr">
        <is>
          <t>credit_card</t>
        </is>
      </c>
      <c r="J4007" t="n">
        <v>40</v>
      </c>
      <c r="K4007" t="inlineStr">
        <is>
          <t>Late</t>
        </is>
      </c>
      <c r="L4007" t="n">
        <v>3</v>
      </c>
      <c r="M4007">
        <f>VLOOKUP(D4007,State_Lookup!$A$2:$B$28,2,FALSE)</f>
        <v/>
      </c>
    </row>
    <row r="4008">
      <c r="A4008" t="inlineStr">
        <is>
          <t>b9499283a775ccfa9da92e6e75e9b4b9</t>
        </is>
      </c>
      <c r="B4008" t="inlineStr">
        <is>
          <t>2018-05-26</t>
        </is>
      </c>
      <c r="C4008" t="inlineStr">
        <is>
          <t>2018-05</t>
        </is>
      </c>
      <c r="D4008" t="inlineStr">
        <is>
          <t>RS</t>
        </is>
      </c>
      <c r="E4008" t="inlineStr">
        <is>
          <t>housewares</t>
        </is>
      </c>
      <c r="F4008" t="n">
        <v>1</v>
      </c>
      <c r="G4008" t="n">
        <v>18.95</v>
      </c>
      <c r="H4008" t="n">
        <v>18.23</v>
      </c>
      <c r="I4008" t="inlineStr">
        <is>
          <t>credit_card</t>
        </is>
      </c>
      <c r="J4008" t="n">
        <v>25</v>
      </c>
      <c r="K4008" t="inlineStr">
        <is>
          <t>On Time</t>
        </is>
      </c>
      <c r="L4008" t="n">
        <v>5</v>
      </c>
      <c r="M4008">
        <f>VLOOKUP(D4008,State_Lookup!$A$2:$B$28,2,FALSE)</f>
        <v/>
      </c>
    </row>
    <row r="4009">
      <c r="A4009" t="inlineStr">
        <is>
          <t>57796a616d95192ef9a47a6634733f89</t>
        </is>
      </c>
      <c r="B4009" t="inlineStr">
        <is>
          <t>2018-05-26</t>
        </is>
      </c>
      <c r="C4009" t="inlineStr">
        <is>
          <t>2018-05</t>
        </is>
      </c>
      <c r="D4009" t="inlineStr">
        <is>
          <t>SC</t>
        </is>
      </c>
      <c r="E4009" t="inlineStr">
        <is>
          <t>health_beauty</t>
        </is>
      </c>
      <c r="F4009" t="n">
        <v>1</v>
      </c>
      <c r="G4009" t="n">
        <v>151</v>
      </c>
      <c r="H4009" t="n">
        <v>15.72</v>
      </c>
      <c r="I4009" t="inlineStr">
        <is>
          <t>credit_card</t>
        </is>
      </c>
      <c r="J4009" t="n">
        <v>17</v>
      </c>
      <c r="K4009" t="inlineStr">
        <is>
          <t>On Time</t>
        </is>
      </c>
      <c r="L4009" t="n">
        <v>5</v>
      </c>
      <c r="M4009">
        <f>VLOOKUP(D4009,State_Lookup!$A$2:$B$28,2,FALSE)</f>
        <v/>
      </c>
    </row>
    <row r="4010">
      <c r="A4010" t="inlineStr">
        <is>
          <t>e9fe4a25c4b2cf9709c06e7e6aef0a8c</t>
        </is>
      </c>
      <c r="B4010" t="inlineStr">
        <is>
          <t>2018-05-26</t>
        </is>
      </c>
      <c r="C4010" t="inlineStr">
        <is>
          <t>2018-05</t>
        </is>
      </c>
      <c r="D4010" t="inlineStr">
        <is>
          <t>SP</t>
        </is>
      </c>
      <c r="E4010" t="inlineStr">
        <is>
          <t>toys</t>
        </is>
      </c>
      <c r="F4010" t="n">
        <v>1</v>
      </c>
      <c r="G4010" t="n">
        <v>115.9</v>
      </c>
      <c r="H4010" t="n">
        <v>24.58</v>
      </c>
      <c r="I4010" t="inlineStr">
        <is>
          <t>credit_card</t>
        </is>
      </c>
      <c r="J4010" t="n">
        <v>3</v>
      </c>
      <c r="K4010" t="inlineStr">
        <is>
          <t>On Time</t>
        </is>
      </c>
      <c r="L4010" t="n">
        <v>5</v>
      </c>
      <c r="M4010">
        <f>VLOOKUP(D4010,State_Lookup!$A$2:$B$28,2,FALSE)</f>
        <v/>
      </c>
    </row>
    <row r="4011">
      <c r="A4011" t="inlineStr">
        <is>
          <t>660a6fbde01967fda369dc69c3d4b50a</t>
        </is>
      </c>
      <c r="B4011" t="inlineStr">
        <is>
          <t>2018-05-27</t>
        </is>
      </c>
      <c r="C4011" t="inlineStr">
        <is>
          <t>2018-05</t>
        </is>
      </c>
      <c r="D4011" t="inlineStr">
        <is>
          <t>BA</t>
        </is>
      </c>
      <c r="E4011" t="inlineStr">
        <is>
          <t>computers_accessories</t>
        </is>
      </c>
      <c r="F4011" t="n">
        <v>1</v>
      </c>
      <c r="G4011" t="n">
        <v>149.9</v>
      </c>
      <c r="H4011" t="n">
        <v>12.06</v>
      </c>
      <c r="I4011" t="inlineStr">
        <is>
          <t>boleto</t>
        </is>
      </c>
      <c r="J4011" t="n">
        <v>11</v>
      </c>
      <c r="K4011" t="inlineStr">
        <is>
          <t>On Time</t>
        </is>
      </c>
      <c r="L4011" t="n">
        <v>5</v>
      </c>
      <c r="M4011">
        <f>VLOOKUP(D4011,State_Lookup!$A$2:$B$28,2,FALSE)</f>
        <v/>
      </c>
    </row>
    <row r="4012">
      <c r="A4012" t="inlineStr">
        <is>
          <t>e98f62f167c0c56e1d6e2c852bf04adf</t>
        </is>
      </c>
      <c r="B4012" t="inlineStr">
        <is>
          <t>2018-05-28</t>
        </is>
      </c>
      <c r="C4012" t="inlineStr">
        <is>
          <t>2018-05</t>
        </is>
      </c>
      <c r="D4012" t="inlineStr">
        <is>
          <t>SP</t>
        </is>
      </c>
      <c r="E4012" t="inlineStr">
        <is>
          <t>luggage_accessories</t>
        </is>
      </c>
      <c r="F4012" t="n">
        <v>1</v>
      </c>
      <c r="G4012" t="n">
        <v>70</v>
      </c>
      <c r="H4012" t="n">
        <v>19.46</v>
      </c>
      <c r="I4012" t="inlineStr">
        <is>
          <t>credit_card</t>
        </is>
      </c>
      <c r="J4012" t="n">
        <v>11</v>
      </c>
      <c r="K4012" t="inlineStr">
        <is>
          <t>On Time</t>
        </is>
      </c>
      <c r="L4012" t="n">
        <v>5</v>
      </c>
      <c r="M4012">
        <f>VLOOKUP(D4012,State_Lookup!$A$2:$B$28,2,FALSE)</f>
        <v/>
      </c>
    </row>
    <row r="4013">
      <c r="A4013" t="inlineStr">
        <is>
          <t>1efa3bd33f2a887addccba92edc88340</t>
        </is>
      </c>
      <c r="B4013" t="inlineStr">
        <is>
          <t>2018-05-28</t>
        </is>
      </c>
      <c r="C4013" t="inlineStr">
        <is>
          <t>2018-05</t>
        </is>
      </c>
      <c r="D4013" t="inlineStr">
        <is>
          <t>SP</t>
        </is>
      </c>
      <c r="E4013" t="inlineStr">
        <is>
          <t>housewares</t>
        </is>
      </c>
      <c r="F4013" t="n">
        <v>1</v>
      </c>
      <c r="G4013" t="n">
        <v>399</v>
      </c>
      <c r="H4013" t="n">
        <v>25.11</v>
      </c>
      <c r="I4013" t="inlineStr">
        <is>
          <t>credit_card</t>
        </is>
      </c>
      <c r="J4013" t="n">
        <v>3</v>
      </c>
      <c r="K4013" t="inlineStr">
        <is>
          <t>On Time</t>
        </is>
      </c>
      <c r="L4013" t="n">
        <v>5</v>
      </c>
      <c r="M4013">
        <f>VLOOKUP(D4013,State_Lookup!$A$2:$B$28,2,FALSE)</f>
        <v/>
      </c>
    </row>
    <row r="4014">
      <c r="A4014" t="inlineStr">
        <is>
          <t>083c350532e95d46b3c25b7c41b1ad63</t>
        </is>
      </c>
      <c r="B4014" t="inlineStr">
        <is>
          <t>2018-05-28</t>
        </is>
      </c>
      <c r="C4014" t="inlineStr">
        <is>
          <t>2018-05</t>
        </is>
      </c>
      <c r="D4014" t="inlineStr">
        <is>
          <t>SP</t>
        </is>
      </c>
      <c r="E4014" t="inlineStr">
        <is>
          <t>housewares</t>
        </is>
      </c>
      <c r="F4014" t="n">
        <v>1</v>
      </c>
      <c r="G4014" t="n">
        <v>79</v>
      </c>
      <c r="H4014" t="n">
        <v>13.46</v>
      </c>
      <c r="I4014" t="inlineStr">
        <is>
          <t>credit_card</t>
        </is>
      </c>
      <c r="J4014" t="n">
        <v>4</v>
      </c>
      <c r="K4014" t="inlineStr">
        <is>
          <t>On Time</t>
        </is>
      </c>
      <c r="L4014" t="n">
        <v>5</v>
      </c>
      <c r="M4014">
        <f>VLOOKUP(D4014,State_Lookup!$A$2:$B$28,2,FALSE)</f>
        <v/>
      </c>
    </row>
    <row r="4015">
      <c r="A4015" t="inlineStr">
        <is>
          <t>9797613eed6fac4314c4d5c9132c7ff4</t>
        </is>
      </c>
      <c r="B4015" t="inlineStr">
        <is>
          <t>2018-05-28</t>
        </is>
      </c>
      <c r="C4015" t="inlineStr">
        <is>
          <t>2018-05</t>
        </is>
      </c>
      <c r="D4015" t="inlineStr">
        <is>
          <t>BA</t>
        </is>
      </c>
      <c r="E4015" t="inlineStr">
        <is>
          <t>garden_tools</t>
        </is>
      </c>
      <c r="F4015" t="n">
        <v>1</v>
      </c>
      <c r="G4015" t="n">
        <v>49.9</v>
      </c>
      <c r="H4015" t="n">
        <v>23.28</v>
      </c>
      <c r="I4015" t="inlineStr">
        <is>
          <t>credit_card</t>
        </is>
      </c>
      <c r="J4015" t="n">
        <v>23</v>
      </c>
      <c r="K4015" t="inlineStr">
        <is>
          <t>On Time</t>
        </is>
      </c>
      <c r="L4015" t="n">
        <v>4</v>
      </c>
      <c r="M4015">
        <f>VLOOKUP(D4015,State_Lookup!$A$2:$B$28,2,FALSE)</f>
        <v/>
      </c>
    </row>
    <row r="4016">
      <c r="A4016" t="inlineStr">
        <is>
          <t>67adc926d34e13b8e6144b020f0e1153</t>
        </is>
      </c>
      <c r="B4016" t="inlineStr">
        <is>
          <t>2018-05-28</t>
        </is>
      </c>
      <c r="C4016" t="inlineStr">
        <is>
          <t>2018-05</t>
        </is>
      </c>
      <c r="D4016" t="inlineStr">
        <is>
          <t>PR</t>
        </is>
      </c>
      <c r="E4016" t="inlineStr">
        <is>
          <t>sports_leisure</t>
        </is>
      </c>
      <c r="F4016" t="n">
        <v>2</v>
      </c>
      <c r="G4016" t="n">
        <v>86</v>
      </c>
      <c r="H4016" t="n">
        <v>36.46</v>
      </c>
      <c r="I4016" t="inlineStr">
        <is>
          <t>credit_card</t>
        </is>
      </c>
      <c r="J4016" t="n">
        <v>13</v>
      </c>
      <c r="K4016" t="inlineStr">
        <is>
          <t>On Time</t>
        </is>
      </c>
      <c r="L4016" t="n">
        <v>5</v>
      </c>
      <c r="M4016">
        <f>VLOOKUP(D4016,State_Lookup!$A$2:$B$28,2,FALSE)</f>
        <v/>
      </c>
    </row>
    <row r="4017">
      <c r="A4017" t="inlineStr">
        <is>
          <t>43d5113f8c14cc2c72b763c801f47ac6</t>
        </is>
      </c>
      <c r="B4017" t="inlineStr">
        <is>
          <t>2018-05-28</t>
        </is>
      </c>
      <c r="C4017" t="inlineStr">
        <is>
          <t>2018-05</t>
        </is>
      </c>
      <c r="D4017" t="inlineStr">
        <is>
          <t>SP</t>
        </is>
      </c>
      <c r="E4017" t="inlineStr">
        <is>
          <t>bed_bath_table</t>
        </is>
      </c>
      <c r="F4017" t="n">
        <v>1</v>
      </c>
      <c r="G4017" t="n">
        <v>199.9</v>
      </c>
      <c r="H4017" t="n">
        <v>13.84</v>
      </c>
      <c r="I4017" t="inlineStr">
        <is>
          <t>credit_card</t>
        </is>
      </c>
      <c r="J4017" t="n">
        <v>9</v>
      </c>
      <c r="K4017" t="inlineStr">
        <is>
          <t>On Time</t>
        </is>
      </c>
      <c r="L4017" t="n">
        <v>3</v>
      </c>
      <c r="M4017">
        <f>VLOOKUP(D4017,State_Lookup!$A$2:$B$28,2,FALSE)</f>
        <v/>
      </c>
    </row>
    <row r="4018">
      <c r="A4018" t="inlineStr">
        <is>
          <t>72b02234375680d174bc9fecfb0fd9fe</t>
        </is>
      </c>
      <c r="B4018" t="inlineStr">
        <is>
          <t>2018-05-28</t>
        </is>
      </c>
      <c r="C4018" t="inlineStr">
        <is>
          <t>2018-05</t>
        </is>
      </c>
      <c r="D4018" t="inlineStr">
        <is>
          <t>SP</t>
        </is>
      </c>
      <c r="E4018" t="inlineStr">
        <is>
          <t>housewares</t>
        </is>
      </c>
      <c r="F4018" t="n">
        <v>1</v>
      </c>
      <c r="G4018" t="n">
        <v>34.9</v>
      </c>
      <c r="H4018" t="n">
        <v>9.44</v>
      </c>
      <c r="I4018" t="inlineStr">
        <is>
          <t>voucher</t>
        </is>
      </c>
      <c r="J4018" t="n">
        <v>4</v>
      </c>
      <c r="K4018" t="inlineStr">
        <is>
          <t>On Time</t>
        </is>
      </c>
      <c r="L4018" t="n">
        <v>5</v>
      </c>
      <c r="M4018">
        <f>VLOOKUP(D4018,State_Lookup!$A$2:$B$28,2,FALSE)</f>
        <v/>
      </c>
    </row>
    <row r="4019">
      <c r="A4019" t="inlineStr">
        <is>
          <t>d2485e80a65cd94cd4a4755e0934bf47</t>
        </is>
      </c>
      <c r="B4019" t="inlineStr">
        <is>
          <t>2018-05-28</t>
        </is>
      </c>
      <c r="C4019" t="inlineStr">
        <is>
          <t>2018-05</t>
        </is>
      </c>
      <c r="D4019" t="inlineStr">
        <is>
          <t>SP</t>
        </is>
      </c>
      <c r="E4019" t="inlineStr">
        <is>
          <t>bed_bath_table</t>
        </is>
      </c>
      <c r="F4019" t="n">
        <v>1</v>
      </c>
      <c r="G4019" t="n">
        <v>149.9</v>
      </c>
      <c r="H4019" t="n">
        <v>12.14</v>
      </c>
      <c r="I4019" t="inlineStr">
        <is>
          <t>credit_card</t>
        </is>
      </c>
      <c r="J4019" t="n">
        <v>6</v>
      </c>
      <c r="K4019" t="inlineStr">
        <is>
          <t>On Time</t>
        </is>
      </c>
      <c r="L4019" t="n">
        <v>5</v>
      </c>
      <c r="M4019">
        <f>VLOOKUP(D4019,State_Lookup!$A$2:$B$28,2,FALSE)</f>
        <v/>
      </c>
    </row>
    <row r="4020">
      <c r="A4020" t="inlineStr">
        <is>
          <t>ecab7448f4b42657c66bc603971693c1</t>
        </is>
      </c>
      <c r="B4020" t="inlineStr">
        <is>
          <t>2018-05-29</t>
        </is>
      </c>
      <c r="C4020" t="inlineStr">
        <is>
          <t>2018-05</t>
        </is>
      </c>
      <c r="D4020" t="inlineStr">
        <is>
          <t>RJ</t>
        </is>
      </c>
      <c r="E4020" t="inlineStr">
        <is>
          <t>garden_tools</t>
        </is>
      </c>
      <c r="F4020" t="n">
        <v>1</v>
      </c>
      <c r="G4020" t="n">
        <v>138.9</v>
      </c>
      <c r="H4020" t="n">
        <v>13.68</v>
      </c>
      <c r="I4020" t="inlineStr">
        <is>
          <t>boleto</t>
        </is>
      </c>
      <c r="J4020" t="n">
        <v>8</v>
      </c>
      <c r="K4020" t="inlineStr">
        <is>
          <t>On Time</t>
        </is>
      </c>
      <c r="L4020" t="n">
        <v>3</v>
      </c>
      <c r="M4020">
        <f>VLOOKUP(D4020,State_Lookup!$A$2:$B$28,2,FALSE)</f>
        <v/>
      </c>
    </row>
    <row r="4021">
      <c r="A4021" t="inlineStr">
        <is>
          <t>30a08f0074bc43c8284b61015a6c530d</t>
        </is>
      </c>
      <c r="B4021" t="inlineStr">
        <is>
          <t>2018-05-29</t>
        </is>
      </c>
      <c r="C4021" t="inlineStr">
        <is>
          <t>2018-05</t>
        </is>
      </c>
      <c r="D4021" t="inlineStr">
        <is>
          <t>RJ</t>
        </is>
      </c>
      <c r="E4021" t="inlineStr">
        <is>
          <t>health_beauty</t>
        </is>
      </c>
      <c r="F4021" t="n">
        <v>1</v>
      </c>
      <c r="G4021" t="n">
        <v>90</v>
      </c>
      <c r="H4021" t="n">
        <v>27.36</v>
      </c>
      <c r="I4021" t="inlineStr">
        <is>
          <t>boleto</t>
        </is>
      </c>
      <c r="J4021" t="n">
        <v>14</v>
      </c>
      <c r="K4021" t="inlineStr">
        <is>
          <t>On Time</t>
        </is>
      </c>
      <c r="L4021" t="n">
        <v>1</v>
      </c>
      <c r="M4021">
        <f>VLOOKUP(D4021,State_Lookup!$A$2:$B$28,2,FALSE)</f>
        <v/>
      </c>
    </row>
    <row r="4022">
      <c r="A4022" t="inlineStr">
        <is>
          <t>6f73a96cdd874d89723d560bda640b52</t>
        </is>
      </c>
      <c r="B4022" t="inlineStr">
        <is>
          <t>2018-05-29</t>
        </is>
      </c>
      <c r="C4022" t="inlineStr">
        <is>
          <t>2018-05</t>
        </is>
      </c>
      <c r="D4022" t="inlineStr">
        <is>
          <t>SP</t>
        </is>
      </c>
      <c r="E4022" t="inlineStr">
        <is>
          <t>office_furniture</t>
        </is>
      </c>
      <c r="F4022" t="n">
        <v>1</v>
      </c>
      <c r="G4022" t="n">
        <v>149.94</v>
      </c>
      <c r="H4022" t="n">
        <v>33.91</v>
      </c>
      <c r="I4022" t="inlineStr">
        <is>
          <t>credit_card</t>
        </is>
      </c>
      <c r="J4022" t="n">
        <v>16</v>
      </c>
      <c r="K4022" t="inlineStr">
        <is>
          <t>On Time</t>
        </is>
      </c>
      <c r="L4022" t="n">
        <v>5</v>
      </c>
      <c r="M4022">
        <f>VLOOKUP(D4022,State_Lookup!$A$2:$B$28,2,FALSE)</f>
        <v/>
      </c>
    </row>
    <row r="4023">
      <c r="A4023" t="inlineStr">
        <is>
          <t>09cbcd1a5e559da522327abcf7e30dda</t>
        </is>
      </c>
      <c r="B4023" t="inlineStr">
        <is>
          <t>2018-05-29</t>
        </is>
      </c>
      <c r="C4023" t="inlineStr">
        <is>
          <t>2018-05</t>
        </is>
      </c>
      <c r="D4023" t="inlineStr">
        <is>
          <t>RS</t>
        </is>
      </c>
      <c r="E4023" t="inlineStr">
        <is>
          <t>sports_leisure</t>
        </is>
      </c>
      <c r="F4023" t="n">
        <v>1</v>
      </c>
      <c r="G4023" t="n">
        <v>28.9</v>
      </c>
      <c r="H4023" t="n">
        <v>18.23</v>
      </c>
      <c r="I4023" t="inlineStr">
        <is>
          <t>credit_card</t>
        </is>
      </c>
      <c r="J4023" t="n">
        <v>14</v>
      </c>
      <c r="K4023" t="inlineStr">
        <is>
          <t>On Time</t>
        </is>
      </c>
      <c r="L4023" t="n">
        <v>5</v>
      </c>
      <c r="M4023">
        <f>VLOOKUP(D4023,State_Lookup!$A$2:$B$28,2,FALSE)</f>
        <v/>
      </c>
    </row>
    <row r="4024">
      <c r="A4024" t="inlineStr">
        <is>
          <t>5d38e21bcfe6ead5e9e882d4f8c828b1</t>
        </is>
      </c>
      <c r="B4024" t="inlineStr">
        <is>
          <t>2018-05-29</t>
        </is>
      </c>
      <c r="C4024" t="inlineStr">
        <is>
          <t>2018-05</t>
        </is>
      </c>
      <c r="D4024" t="inlineStr">
        <is>
          <t>SP</t>
        </is>
      </c>
      <c r="E4024" t="inlineStr">
        <is>
          <t>computers_accessories</t>
        </is>
      </c>
      <c r="F4024" t="n">
        <v>1</v>
      </c>
      <c r="G4024" t="n">
        <v>12.88</v>
      </c>
      <c r="H4024" t="n">
        <v>7.87</v>
      </c>
      <c r="I4024" t="inlineStr">
        <is>
          <t>credit_card</t>
        </is>
      </c>
      <c r="J4024" t="n">
        <v>3</v>
      </c>
      <c r="K4024" t="inlineStr">
        <is>
          <t>On Time</t>
        </is>
      </c>
      <c r="L4024" t="n">
        <v>5</v>
      </c>
      <c r="M4024">
        <f>VLOOKUP(D4024,State_Lookup!$A$2:$B$28,2,FALSE)</f>
        <v/>
      </c>
    </row>
    <row r="4025">
      <c r="A4025" t="inlineStr">
        <is>
          <t>0f758f5895563ce1892043bc8f17dda1</t>
        </is>
      </c>
      <c r="B4025" t="inlineStr">
        <is>
          <t>2018-05-29</t>
        </is>
      </c>
      <c r="C4025" t="inlineStr">
        <is>
          <t>2018-05</t>
        </is>
      </c>
      <c r="D4025" t="inlineStr">
        <is>
          <t>PI</t>
        </is>
      </c>
      <c r="E4025" t="inlineStr">
        <is>
          <t>consoles_games</t>
        </is>
      </c>
      <c r="F4025" t="n">
        <v>3</v>
      </c>
      <c r="G4025" t="n">
        <v>146.7</v>
      </c>
      <c r="H4025" t="n">
        <v>170.7</v>
      </c>
      <c r="I4025" t="inlineStr">
        <is>
          <t>boleto</t>
        </is>
      </c>
      <c r="J4025" t="n">
        <v>22</v>
      </c>
      <c r="K4025" t="inlineStr">
        <is>
          <t>On Time</t>
        </is>
      </c>
      <c r="L4025" t="n">
        <v>4</v>
      </c>
      <c r="M4025">
        <f>VLOOKUP(D4025,State_Lookup!$A$2:$B$28,2,FALSE)</f>
        <v/>
      </c>
    </row>
    <row r="4026">
      <c r="A4026" t="inlineStr">
        <is>
          <t>73840bb583b69b1d181d54f3f755a4e2</t>
        </is>
      </c>
      <c r="B4026" t="inlineStr">
        <is>
          <t>2018-05-29</t>
        </is>
      </c>
      <c r="C4026" t="inlineStr">
        <is>
          <t>2018-05</t>
        </is>
      </c>
      <c r="D4026" t="inlineStr">
        <is>
          <t>GO</t>
        </is>
      </c>
      <c r="E4026" t="inlineStr">
        <is>
          <t>computers_accessories</t>
        </is>
      </c>
      <c r="F4026" t="n">
        <v>1</v>
      </c>
      <c r="G4026" t="n">
        <v>149.9</v>
      </c>
      <c r="H4026" t="n">
        <v>53.18</v>
      </c>
      <c r="I4026" t="inlineStr">
        <is>
          <t>credit_card</t>
        </is>
      </c>
      <c r="J4026" t="n">
        <v>20</v>
      </c>
      <c r="K4026" t="inlineStr">
        <is>
          <t>On Time</t>
        </is>
      </c>
      <c r="L4026" t="n">
        <v>4</v>
      </c>
      <c r="M4026">
        <f>VLOOKUP(D4026,State_Lookup!$A$2:$B$28,2,FALSE)</f>
        <v/>
      </c>
    </row>
    <row r="4027">
      <c r="A4027" t="inlineStr">
        <is>
          <t>3c55e82098814e81a8a9314b9ebd0be4</t>
        </is>
      </c>
      <c r="B4027" t="inlineStr">
        <is>
          <t>2018-05-30</t>
        </is>
      </c>
      <c r="C4027" t="inlineStr">
        <is>
          <t>2018-05</t>
        </is>
      </c>
      <c r="D4027" t="inlineStr">
        <is>
          <t>SP</t>
        </is>
      </c>
      <c r="E4027" t="inlineStr">
        <is>
          <t>housewares</t>
        </is>
      </c>
      <c r="F4027" t="n">
        <v>1</v>
      </c>
      <c r="G4027" t="n">
        <v>16</v>
      </c>
      <c r="H4027" t="n">
        <v>12.79</v>
      </c>
      <c r="I4027" t="inlineStr">
        <is>
          <t>credit_card</t>
        </is>
      </c>
      <c r="J4027" t="n">
        <v>9</v>
      </c>
      <c r="K4027" t="inlineStr">
        <is>
          <t>On Time</t>
        </is>
      </c>
      <c r="L4027" t="n">
        <v>4</v>
      </c>
      <c r="M4027">
        <f>VLOOKUP(D4027,State_Lookup!$A$2:$B$28,2,FALSE)</f>
        <v/>
      </c>
    </row>
    <row r="4028">
      <c r="A4028" t="inlineStr">
        <is>
          <t>fc47141e198b2f83882cef0cbbea6886</t>
        </is>
      </c>
      <c r="B4028" t="inlineStr">
        <is>
          <t>2018-05-30</t>
        </is>
      </c>
      <c r="C4028" t="inlineStr">
        <is>
          <t>2018-05</t>
        </is>
      </c>
      <c r="D4028" t="inlineStr">
        <is>
          <t>SP</t>
        </is>
      </c>
      <c r="E4028" t="inlineStr">
        <is>
          <t>telephony</t>
        </is>
      </c>
      <c r="F4028" t="n">
        <v>1</v>
      </c>
      <c r="G4028" t="n">
        <v>14.99</v>
      </c>
      <c r="H4028" t="n">
        <v>7.39</v>
      </c>
      <c r="I4028" t="inlineStr">
        <is>
          <t>credit_card</t>
        </is>
      </c>
      <c r="J4028" t="n">
        <v>13</v>
      </c>
      <c r="K4028" t="inlineStr">
        <is>
          <t>On Time</t>
        </is>
      </c>
      <c r="L4028" t="n">
        <v>5</v>
      </c>
      <c r="M4028">
        <f>VLOOKUP(D4028,State_Lookup!$A$2:$B$28,2,FALSE)</f>
        <v/>
      </c>
    </row>
    <row r="4029">
      <c r="A4029" t="inlineStr">
        <is>
          <t>186ff84d5b5b50a2d790cabc5800b9d1</t>
        </is>
      </c>
      <c r="B4029" t="inlineStr">
        <is>
          <t>2018-05-30</t>
        </is>
      </c>
      <c r="C4029" t="inlineStr">
        <is>
          <t>2018-05</t>
        </is>
      </c>
      <c r="D4029" t="inlineStr">
        <is>
          <t>SP</t>
        </is>
      </c>
      <c r="E4029" t="inlineStr">
        <is>
          <t>baby</t>
        </is>
      </c>
      <c r="F4029" t="n">
        <v>2</v>
      </c>
      <c r="G4029" t="n">
        <v>155.96</v>
      </c>
      <c r="H4029" t="n">
        <v>27.82</v>
      </c>
      <c r="I4029" t="inlineStr">
        <is>
          <t>credit_card</t>
        </is>
      </c>
      <c r="J4029" t="n">
        <v>5</v>
      </c>
      <c r="K4029" t="inlineStr">
        <is>
          <t>On Time</t>
        </is>
      </c>
      <c r="L4029" t="n">
        <v>5</v>
      </c>
      <c r="M4029">
        <f>VLOOKUP(D4029,State_Lookup!$A$2:$B$28,2,FALSE)</f>
        <v/>
      </c>
    </row>
    <row r="4030">
      <c r="A4030" t="inlineStr">
        <is>
          <t>6002f27b7795af4f2bd4da90aca5a958</t>
        </is>
      </c>
      <c r="B4030" t="inlineStr">
        <is>
          <t>2018-05-31</t>
        </is>
      </c>
      <c r="C4030" t="inlineStr">
        <is>
          <t>2018-05</t>
        </is>
      </c>
      <c r="D4030" t="inlineStr">
        <is>
          <t>SP</t>
        </is>
      </c>
      <c r="E4030" t="inlineStr">
        <is>
          <t>office_furniture</t>
        </is>
      </c>
      <c r="F4030" t="n">
        <v>1</v>
      </c>
      <c r="G4030" t="n">
        <v>179.9</v>
      </c>
      <c r="H4030" t="n">
        <v>39.46</v>
      </c>
      <c r="I4030" t="inlineStr">
        <is>
          <t>credit_card</t>
        </is>
      </c>
      <c r="J4030" t="n">
        <v>20</v>
      </c>
      <c r="K4030" t="inlineStr">
        <is>
          <t>On Time</t>
        </is>
      </c>
      <c r="L4030" t="n">
        <v>4</v>
      </c>
      <c r="M4030">
        <f>VLOOKUP(D4030,State_Lookup!$A$2:$B$28,2,FALSE)</f>
        <v/>
      </c>
    </row>
    <row r="4031">
      <c r="A4031" t="inlineStr">
        <is>
          <t>cb740e05716c376f1e99f0509fad75c7</t>
        </is>
      </c>
      <c r="B4031" t="inlineStr">
        <is>
          <t>2018-05-31</t>
        </is>
      </c>
      <c r="C4031" t="inlineStr">
        <is>
          <t>2018-05</t>
        </is>
      </c>
      <c r="D4031" t="inlineStr">
        <is>
          <t>MA</t>
        </is>
      </c>
      <c r="E4031" t="inlineStr">
        <is>
          <t>watches_gifts</t>
        </is>
      </c>
      <c r="F4031" t="n">
        <v>1</v>
      </c>
      <c r="G4031" t="n">
        <v>180.54</v>
      </c>
      <c r="H4031" t="n">
        <v>53.39</v>
      </c>
      <c r="I4031" t="inlineStr">
        <is>
          <t>credit_card</t>
        </is>
      </c>
      <c r="J4031" t="n">
        <v>24</v>
      </c>
      <c r="K4031" t="inlineStr">
        <is>
          <t>On Time</t>
        </is>
      </c>
      <c r="L4031" t="n">
        <v>5</v>
      </c>
      <c r="M4031">
        <f>VLOOKUP(D4031,State_Lookup!$A$2:$B$28,2,FALSE)</f>
        <v/>
      </c>
    </row>
    <row r="4032">
      <c r="A4032" t="inlineStr">
        <is>
          <t>697c79c16c63d9a81a331219b49243e8</t>
        </is>
      </c>
      <c r="B4032" t="inlineStr">
        <is>
          <t>2018-05-31</t>
        </is>
      </c>
      <c r="C4032" t="inlineStr">
        <is>
          <t>2018-05</t>
        </is>
      </c>
      <c r="D4032" t="inlineStr">
        <is>
          <t>MG</t>
        </is>
      </c>
      <c r="E4032" t="inlineStr">
        <is>
          <t>fashion_bags_accessories</t>
        </is>
      </c>
      <c r="F4032" t="n">
        <v>1</v>
      </c>
      <c r="G4032" t="n">
        <v>79.90000000000001</v>
      </c>
      <c r="H4032" t="n">
        <v>7.74</v>
      </c>
      <c r="I4032" t="inlineStr">
        <is>
          <t>credit_card</t>
        </is>
      </c>
      <c r="J4032" t="n">
        <v>2</v>
      </c>
      <c r="K4032" t="inlineStr">
        <is>
          <t>On Time</t>
        </is>
      </c>
      <c r="L4032" t="n">
        <v>5</v>
      </c>
      <c r="M4032">
        <f>VLOOKUP(D4032,State_Lookup!$A$2:$B$28,2,FALSE)</f>
        <v/>
      </c>
    </row>
    <row r="4033">
      <c r="A4033" t="inlineStr">
        <is>
          <t>e393cee11ecbbcc2a9b3dd06a660957c</t>
        </is>
      </c>
      <c r="B4033" t="inlineStr">
        <is>
          <t>2018-05-31</t>
        </is>
      </c>
      <c r="C4033" t="inlineStr">
        <is>
          <t>2018-05</t>
        </is>
      </c>
      <c r="D4033" t="inlineStr">
        <is>
          <t>MG</t>
        </is>
      </c>
      <c r="E4033" t="inlineStr">
        <is>
          <t>bed_bath_table</t>
        </is>
      </c>
      <c r="F4033" t="n">
        <v>1</v>
      </c>
      <c r="G4033" t="n">
        <v>79.90000000000001</v>
      </c>
      <c r="H4033" t="n">
        <v>23.14</v>
      </c>
      <c r="I4033" t="inlineStr">
        <is>
          <t>credit_card</t>
        </is>
      </c>
      <c r="J4033" t="n">
        <v>15</v>
      </c>
      <c r="K4033" t="inlineStr">
        <is>
          <t>On Time</t>
        </is>
      </c>
      <c r="L4033" t="n">
        <v>4</v>
      </c>
      <c r="M4033">
        <f>VLOOKUP(D4033,State_Lookup!$A$2:$B$28,2,FALSE)</f>
        <v/>
      </c>
    </row>
    <row r="4034">
      <c r="A4034" t="inlineStr">
        <is>
          <t>556e5ad87434de71e0948b9bca0046f5</t>
        </is>
      </c>
      <c r="B4034" t="inlineStr">
        <is>
          <t>2018-05-31</t>
        </is>
      </c>
      <c r="C4034" t="inlineStr">
        <is>
          <t>2018-05</t>
        </is>
      </c>
      <c r="D4034" t="inlineStr">
        <is>
          <t>PR</t>
        </is>
      </c>
      <c r="E4034" t="inlineStr">
        <is>
          <t>telephony</t>
        </is>
      </c>
      <c r="F4034" t="n">
        <v>1</v>
      </c>
      <c r="G4034" t="n">
        <v>37.99</v>
      </c>
      <c r="H4034" t="n">
        <v>18.23</v>
      </c>
      <c r="I4034" t="inlineStr">
        <is>
          <t>credit_card</t>
        </is>
      </c>
      <c r="J4034" t="n">
        <v>13</v>
      </c>
      <c r="K4034" t="inlineStr">
        <is>
          <t>On Time</t>
        </is>
      </c>
      <c r="L4034" t="n">
        <v>4</v>
      </c>
      <c r="M4034">
        <f>VLOOKUP(D4034,State_Lookup!$A$2:$B$28,2,FALSE)</f>
        <v/>
      </c>
    </row>
    <row r="4035">
      <c r="A4035" t="inlineStr">
        <is>
          <t>c70910216a8ff28d93ac7e1c39663784</t>
        </is>
      </c>
      <c r="B4035" t="inlineStr">
        <is>
          <t>2018-05-31</t>
        </is>
      </c>
      <c r="C4035" t="inlineStr">
        <is>
          <t>2018-05</t>
        </is>
      </c>
      <c r="D4035" t="inlineStr">
        <is>
          <t>SP</t>
        </is>
      </c>
      <c r="E4035" t="inlineStr">
        <is>
          <t>watches_gifts</t>
        </is>
      </c>
      <c r="F4035" t="n">
        <v>1</v>
      </c>
      <c r="G4035" t="n">
        <v>227.9</v>
      </c>
      <c r="H4035" t="n">
        <v>8.460000000000001</v>
      </c>
      <c r="I4035" t="inlineStr">
        <is>
          <t>credit_card</t>
        </is>
      </c>
      <c r="J4035" t="n">
        <v>25</v>
      </c>
      <c r="K4035" t="inlineStr">
        <is>
          <t>On Time</t>
        </is>
      </c>
      <c r="L4035" t="n">
        <v>5</v>
      </c>
      <c r="M4035">
        <f>VLOOKUP(D4035,State_Lookup!$A$2:$B$28,2,FALSE)</f>
        <v/>
      </c>
    </row>
    <row r="4036">
      <c r="A4036" t="inlineStr">
        <is>
          <t>c7e751031488310638a5952834dadf4d</t>
        </is>
      </c>
      <c r="B4036" t="inlineStr">
        <is>
          <t>2018-05-31</t>
        </is>
      </c>
      <c r="C4036" t="inlineStr">
        <is>
          <t>2018-05</t>
        </is>
      </c>
      <c r="D4036" t="inlineStr">
        <is>
          <t>SP</t>
        </is>
      </c>
      <c r="E4036" t="inlineStr">
        <is>
          <t>fashion_bags_accessories</t>
        </is>
      </c>
      <c r="F4036" t="n">
        <v>1</v>
      </c>
      <c r="G4036" t="n">
        <v>49</v>
      </c>
      <c r="H4036" t="n">
        <v>12.79</v>
      </c>
      <c r="I4036" t="inlineStr">
        <is>
          <t>credit_card</t>
        </is>
      </c>
      <c r="J4036" t="n">
        <v>11</v>
      </c>
      <c r="K4036" t="inlineStr">
        <is>
          <t>On Time</t>
        </is>
      </c>
      <c r="L4036" t="n">
        <v>5</v>
      </c>
      <c r="M4036">
        <f>VLOOKUP(D4036,State_Lookup!$A$2:$B$28,2,FALSE)</f>
        <v/>
      </c>
    </row>
    <row r="4037">
      <c r="A4037" t="inlineStr">
        <is>
          <t>6d710101fb9f067dd5385ea1b6021946</t>
        </is>
      </c>
      <c r="B4037" t="inlineStr">
        <is>
          <t>2018-05-31</t>
        </is>
      </c>
      <c r="C4037" t="inlineStr">
        <is>
          <t>2018-05</t>
        </is>
      </c>
      <c r="D4037" t="inlineStr">
        <is>
          <t>SP</t>
        </is>
      </c>
      <c r="E4037" t="inlineStr">
        <is>
          <t>furniture_living_room</t>
        </is>
      </c>
      <c r="F4037" t="n">
        <v>1</v>
      </c>
      <c r="G4037" t="n">
        <v>13.9</v>
      </c>
      <c r="H4037" t="n">
        <v>8.880000000000001</v>
      </c>
      <c r="I4037" t="inlineStr">
        <is>
          <t>credit_card</t>
        </is>
      </c>
      <c r="J4037" t="n">
        <v>13</v>
      </c>
      <c r="K4037" t="inlineStr">
        <is>
          <t>On Time</t>
        </is>
      </c>
      <c r="L4037" t="n">
        <v>5</v>
      </c>
      <c r="M4037">
        <f>VLOOKUP(D4037,State_Lookup!$A$2:$B$28,2,FALSE)</f>
        <v/>
      </c>
    </row>
    <row r="4038">
      <c r="A4038" t="inlineStr">
        <is>
          <t>a0f7769c320fd4c1900add6490eab094</t>
        </is>
      </c>
      <c r="B4038" t="inlineStr">
        <is>
          <t>2018-05-31</t>
        </is>
      </c>
      <c r="C4038" t="inlineStr">
        <is>
          <t>2018-05</t>
        </is>
      </c>
      <c r="D4038" t="inlineStr">
        <is>
          <t>MG</t>
        </is>
      </c>
      <c r="E4038" t="inlineStr">
        <is>
          <t>watches_gifts</t>
        </is>
      </c>
      <c r="F4038" t="n">
        <v>1</v>
      </c>
      <c r="G4038" t="n">
        <v>124.9</v>
      </c>
      <c r="H4038" t="n">
        <v>16.84</v>
      </c>
      <c r="I4038" t="inlineStr">
        <is>
          <t>credit_card</t>
        </is>
      </c>
      <c r="J4038" t="n">
        <v>39</v>
      </c>
      <c r="K4038" t="inlineStr">
        <is>
          <t>On Time</t>
        </is>
      </c>
      <c r="L4038" t="n">
        <v>3</v>
      </c>
      <c r="M4038">
        <f>VLOOKUP(D4038,State_Lookup!$A$2:$B$28,2,FALSE)</f>
        <v/>
      </c>
    </row>
    <row r="4039">
      <c r="A4039" t="inlineStr">
        <is>
          <t>80d49171762a51f500bf6b774aa24617</t>
        </is>
      </c>
      <c r="B4039" t="inlineStr">
        <is>
          <t>2018-05-31</t>
        </is>
      </c>
      <c r="C4039" t="inlineStr">
        <is>
          <t>2018-05</t>
        </is>
      </c>
      <c r="D4039" t="inlineStr">
        <is>
          <t>SP</t>
        </is>
      </c>
      <c r="E4039" t="inlineStr">
        <is>
          <t>health_beauty</t>
        </is>
      </c>
      <c r="F4039" t="n">
        <v>1</v>
      </c>
      <c r="G4039" t="n">
        <v>2749.65</v>
      </c>
      <c r="H4039" t="n">
        <v>38.22</v>
      </c>
      <c r="I4039" t="inlineStr">
        <is>
          <t>credit_card</t>
        </is>
      </c>
      <c r="J4039" t="n">
        <v>5</v>
      </c>
      <c r="K4039" t="inlineStr">
        <is>
          <t>On Time</t>
        </is>
      </c>
      <c r="L4039" t="n">
        <v>5</v>
      </c>
      <c r="M4039">
        <f>VLOOKUP(D4039,State_Lookup!$A$2:$B$28,2,FALSE)</f>
        <v/>
      </c>
    </row>
    <row r="4040">
      <c r="A4040" t="inlineStr">
        <is>
          <t>fe9ee959acb4aa3fd81440e75ccbe0cf</t>
        </is>
      </c>
      <c r="B4040" t="inlineStr">
        <is>
          <t>2018-06-01</t>
        </is>
      </c>
      <c r="C4040" t="inlineStr">
        <is>
          <t>2018-06</t>
        </is>
      </c>
      <c r="D4040" t="inlineStr">
        <is>
          <t>MG</t>
        </is>
      </c>
      <c r="E4040" t="inlineStr">
        <is>
          <t>pet_shop</t>
        </is>
      </c>
      <c r="F4040" t="n">
        <v>1</v>
      </c>
      <c r="G4040" t="n">
        <v>123.99</v>
      </c>
      <c r="H4040" t="n">
        <v>15.75</v>
      </c>
      <c r="I4040" t="inlineStr">
        <is>
          <t>credit_card</t>
        </is>
      </c>
      <c r="J4040" t="n">
        <v>7</v>
      </c>
      <c r="K4040" t="inlineStr">
        <is>
          <t>On Time</t>
        </is>
      </c>
      <c r="L4040" t="n">
        <v>5</v>
      </c>
      <c r="M4040">
        <f>VLOOKUP(D4040,State_Lookup!$A$2:$B$28,2,FALSE)</f>
        <v/>
      </c>
    </row>
    <row r="4041">
      <c r="A4041" t="inlineStr">
        <is>
          <t>b142695409c8bbe4749969c0a697148e</t>
        </is>
      </c>
      <c r="B4041" t="inlineStr">
        <is>
          <t>2018-06-01</t>
        </is>
      </c>
      <c r="C4041" t="inlineStr">
        <is>
          <t>2018-06</t>
        </is>
      </c>
      <c r="D4041" t="inlineStr">
        <is>
          <t>RJ</t>
        </is>
      </c>
      <c r="E4041" t="inlineStr">
        <is>
          <t>electronics</t>
        </is>
      </c>
      <c r="F4041" t="n">
        <v>1</v>
      </c>
      <c r="G4041" t="n">
        <v>15</v>
      </c>
      <c r="H4041" t="n">
        <v>15.23</v>
      </c>
      <c r="I4041" t="inlineStr">
        <is>
          <t>boleto</t>
        </is>
      </c>
      <c r="J4041" t="n">
        <v>12</v>
      </c>
      <c r="K4041" t="inlineStr">
        <is>
          <t>On Time</t>
        </is>
      </c>
      <c r="L4041" t="n">
        <v>4</v>
      </c>
      <c r="M4041">
        <f>VLOOKUP(D4041,State_Lookup!$A$2:$B$28,2,FALSE)</f>
        <v/>
      </c>
    </row>
    <row r="4042">
      <c r="A4042" t="inlineStr">
        <is>
          <t>9dce1279b896cb9d151b2649073089c2</t>
        </is>
      </c>
      <c r="B4042" t="inlineStr">
        <is>
          <t>2018-06-01</t>
        </is>
      </c>
      <c r="C4042" t="inlineStr">
        <is>
          <t>2018-06</t>
        </is>
      </c>
      <c r="D4042" t="inlineStr">
        <is>
          <t>SP</t>
        </is>
      </c>
      <c r="E4042" t="inlineStr">
        <is>
          <t>perfumery</t>
        </is>
      </c>
      <c r="F4042" t="n">
        <v>1</v>
      </c>
      <c r="G4042" t="n">
        <v>116.5</v>
      </c>
      <c r="H4042" t="n">
        <v>8.16</v>
      </c>
      <c r="I4042" t="inlineStr">
        <is>
          <t>credit_card</t>
        </is>
      </c>
      <c r="J4042" t="n">
        <v>6</v>
      </c>
      <c r="K4042" t="inlineStr">
        <is>
          <t>On Time</t>
        </is>
      </c>
      <c r="L4042" t="n">
        <v>5</v>
      </c>
      <c r="M4042">
        <f>VLOOKUP(D4042,State_Lookup!$A$2:$B$28,2,FALSE)</f>
        <v/>
      </c>
    </row>
    <row r="4043">
      <c r="A4043" t="inlineStr">
        <is>
          <t>7a7ca02c6fd9b1c25e9452a6f56c018a</t>
        </is>
      </c>
      <c r="B4043" t="inlineStr">
        <is>
          <t>2018-06-01</t>
        </is>
      </c>
      <c r="C4043" t="inlineStr">
        <is>
          <t>2018-06</t>
        </is>
      </c>
      <c r="D4043" t="inlineStr">
        <is>
          <t>BA</t>
        </is>
      </c>
      <c r="E4043" t="inlineStr">
        <is>
          <t>watches_gifts</t>
        </is>
      </c>
      <c r="F4043" t="n">
        <v>1</v>
      </c>
      <c r="G4043" t="n">
        <v>84.98999999999999</v>
      </c>
      <c r="H4043" t="n">
        <v>22.3</v>
      </c>
      <c r="I4043" t="inlineStr">
        <is>
          <t>credit_card</t>
        </is>
      </c>
      <c r="J4043" t="n">
        <v>26</v>
      </c>
      <c r="K4043" t="inlineStr">
        <is>
          <t>On Time</t>
        </is>
      </c>
      <c r="L4043" t="n">
        <v>5</v>
      </c>
      <c r="M4043">
        <f>VLOOKUP(D4043,State_Lookup!$A$2:$B$28,2,FALSE)</f>
        <v/>
      </c>
    </row>
    <row r="4044">
      <c r="A4044" t="inlineStr">
        <is>
          <t>89ee90f89627e3f3d3fa700921a80197</t>
        </is>
      </c>
      <c r="B4044" t="inlineStr">
        <is>
          <t>2018-06-01</t>
        </is>
      </c>
      <c r="C4044" t="inlineStr">
        <is>
          <t>2018-06</t>
        </is>
      </c>
      <c r="D4044" t="inlineStr">
        <is>
          <t>PE</t>
        </is>
      </c>
      <c r="E4044" t="inlineStr">
        <is>
          <t>sports_leisure</t>
        </is>
      </c>
      <c r="F4044" t="n">
        <v>1</v>
      </c>
      <c r="G4044" t="n">
        <v>99.98999999999999</v>
      </c>
      <c r="H4044" t="n">
        <v>20.75</v>
      </c>
      <c r="I4044" t="inlineStr">
        <is>
          <t>credit_card</t>
        </is>
      </c>
      <c r="J4044" t="n">
        <v>16</v>
      </c>
      <c r="K4044" t="inlineStr">
        <is>
          <t>On Time</t>
        </is>
      </c>
      <c r="L4044" t="n">
        <v>5</v>
      </c>
      <c r="M4044">
        <f>VLOOKUP(D4044,State_Lookup!$A$2:$B$28,2,FALSE)</f>
        <v/>
      </c>
    </row>
    <row r="4045">
      <c r="A4045" t="inlineStr">
        <is>
          <t>0cb2239ee3c4947fce4ab10c1742fe67</t>
        </is>
      </c>
      <c r="B4045" t="inlineStr">
        <is>
          <t>2018-06-01</t>
        </is>
      </c>
      <c r="C4045" t="inlineStr">
        <is>
          <t>2018-06</t>
        </is>
      </c>
      <c r="D4045" t="inlineStr">
        <is>
          <t>MG</t>
        </is>
      </c>
      <c r="E4045" t="inlineStr">
        <is>
          <t>baby</t>
        </is>
      </c>
      <c r="F4045" t="n">
        <v>1</v>
      </c>
      <c r="G4045" t="n">
        <v>99.48999999999999</v>
      </c>
      <c r="H4045" t="n">
        <v>13.82</v>
      </c>
      <c r="I4045" t="inlineStr">
        <is>
          <t>credit_card</t>
        </is>
      </c>
      <c r="J4045" t="n">
        <v>5</v>
      </c>
      <c r="K4045" t="inlineStr">
        <is>
          <t>On Time</t>
        </is>
      </c>
      <c r="L4045" t="n">
        <v>4</v>
      </c>
      <c r="M4045">
        <f>VLOOKUP(D4045,State_Lookup!$A$2:$B$28,2,FALSE)</f>
        <v/>
      </c>
    </row>
    <row r="4046">
      <c r="A4046" t="inlineStr">
        <is>
          <t>ea7bc44cb5c025230582d186e6366125</t>
        </is>
      </c>
      <c r="B4046" t="inlineStr">
        <is>
          <t>2018-06-01</t>
        </is>
      </c>
      <c r="C4046" t="inlineStr">
        <is>
          <t>2018-06</t>
        </is>
      </c>
      <c r="D4046" t="inlineStr">
        <is>
          <t>SP</t>
        </is>
      </c>
      <c r="E4046" t="inlineStr">
        <is>
          <t>watches_gifts</t>
        </is>
      </c>
      <c r="F4046" t="n">
        <v>1</v>
      </c>
      <c r="G4046" t="n">
        <v>229</v>
      </c>
      <c r="H4046" t="n">
        <v>14.04</v>
      </c>
      <c r="I4046" t="inlineStr">
        <is>
          <t>boleto</t>
        </is>
      </c>
      <c r="J4046" t="n">
        <v>12</v>
      </c>
      <c r="K4046" t="inlineStr">
        <is>
          <t>On Time</t>
        </is>
      </c>
      <c r="L4046" t="n">
        <v>5</v>
      </c>
      <c r="M4046">
        <f>VLOOKUP(D4046,State_Lookup!$A$2:$B$28,2,FALSE)</f>
        <v/>
      </c>
    </row>
    <row r="4047">
      <c r="A4047" t="inlineStr">
        <is>
          <t>f5bb23a6bf7d9bd0d8b8d4575dd82b58</t>
        </is>
      </c>
      <c r="B4047" t="inlineStr">
        <is>
          <t>2018-06-01</t>
        </is>
      </c>
      <c r="C4047" t="inlineStr">
        <is>
          <t>2018-06</t>
        </is>
      </c>
      <c r="D4047" t="inlineStr">
        <is>
          <t>SP</t>
        </is>
      </c>
      <c r="E4047" t="inlineStr">
        <is>
          <t>musical_instruments</t>
        </is>
      </c>
      <c r="F4047" t="n">
        <v>1</v>
      </c>
      <c r="G4047" t="n">
        <v>55</v>
      </c>
      <c r="H4047" t="n">
        <v>8.880000000000001</v>
      </c>
      <c r="I4047" t="inlineStr">
        <is>
          <t>credit_card</t>
        </is>
      </c>
      <c r="J4047" t="n">
        <v>6</v>
      </c>
      <c r="K4047" t="inlineStr">
        <is>
          <t>On Time</t>
        </is>
      </c>
      <c r="L4047" t="n">
        <v>2</v>
      </c>
      <c r="M4047">
        <f>VLOOKUP(D4047,State_Lookup!$A$2:$B$28,2,FALSE)</f>
        <v/>
      </c>
    </row>
    <row r="4048">
      <c r="A4048" t="inlineStr">
        <is>
          <t>d4ab8a264235be36f72a07621046d082</t>
        </is>
      </c>
      <c r="B4048" t="inlineStr">
        <is>
          <t>2018-06-01</t>
        </is>
      </c>
      <c r="C4048" t="inlineStr">
        <is>
          <t>2018-06</t>
        </is>
      </c>
      <c r="D4048" t="inlineStr">
        <is>
          <t>RJ</t>
        </is>
      </c>
      <c r="E4048" t="inlineStr">
        <is>
          <t>watches_gifts</t>
        </is>
      </c>
      <c r="F4048" t="n">
        <v>1</v>
      </c>
      <c r="G4048" t="n">
        <v>195.9</v>
      </c>
      <c r="H4048" t="n">
        <v>19.25</v>
      </c>
      <c r="I4048" t="inlineStr">
        <is>
          <t>credit_card</t>
        </is>
      </c>
      <c r="J4048" t="n">
        <v>11</v>
      </c>
      <c r="K4048" t="inlineStr">
        <is>
          <t>On Time</t>
        </is>
      </c>
      <c r="L4048" t="n">
        <v>4</v>
      </c>
      <c r="M4048">
        <f>VLOOKUP(D4048,State_Lookup!$A$2:$B$28,2,FALSE)</f>
        <v/>
      </c>
    </row>
    <row r="4049">
      <c r="A4049" t="inlineStr">
        <is>
          <t>470dea50dbd9c5e77735b49bd904af6d</t>
        </is>
      </c>
      <c r="B4049" t="inlineStr">
        <is>
          <t>2018-06-01</t>
        </is>
      </c>
      <c r="C4049" t="inlineStr">
        <is>
          <t>2018-06</t>
        </is>
      </c>
      <c r="D4049" t="inlineStr">
        <is>
          <t>SP</t>
        </is>
      </c>
      <c r="E4049" t="inlineStr">
        <is>
          <t>furniture_decor</t>
        </is>
      </c>
      <c r="F4049" t="n">
        <v>1</v>
      </c>
      <c r="G4049" t="n">
        <v>139.99</v>
      </c>
      <c r="H4049" t="n">
        <v>9.33</v>
      </c>
      <c r="I4049" t="inlineStr">
        <is>
          <t>credit_card</t>
        </is>
      </c>
      <c r="J4049" t="n">
        <v>7</v>
      </c>
      <c r="K4049" t="inlineStr">
        <is>
          <t>On Time</t>
        </is>
      </c>
      <c r="L4049" t="n">
        <v>4</v>
      </c>
      <c r="M4049">
        <f>VLOOKUP(D4049,State_Lookup!$A$2:$B$28,2,FALSE)</f>
        <v/>
      </c>
    </row>
    <row r="4050">
      <c r="A4050" t="inlineStr">
        <is>
          <t>e9e6694329a69927508c82d943013cb5</t>
        </is>
      </c>
      <c r="B4050" t="inlineStr">
        <is>
          <t>2018-06-01</t>
        </is>
      </c>
      <c r="C4050" t="inlineStr">
        <is>
          <t>2018-06</t>
        </is>
      </c>
      <c r="D4050" t="inlineStr">
        <is>
          <t>BA</t>
        </is>
      </c>
      <c r="E4050" t="inlineStr">
        <is>
          <t>toys</t>
        </is>
      </c>
      <c r="F4050" t="n">
        <v>1</v>
      </c>
      <c r="G4050" t="n">
        <v>125</v>
      </c>
      <c r="H4050" t="n">
        <v>37.56</v>
      </c>
      <c r="I4050" t="inlineStr">
        <is>
          <t>credit_card</t>
        </is>
      </c>
      <c r="J4050" t="n">
        <v>12</v>
      </c>
      <c r="K4050" t="inlineStr">
        <is>
          <t>On Time</t>
        </is>
      </c>
      <c r="L4050" t="n">
        <v>4</v>
      </c>
      <c r="M4050">
        <f>VLOOKUP(D4050,State_Lookup!$A$2:$B$28,2,FALSE)</f>
        <v/>
      </c>
    </row>
    <row r="4051">
      <c r="A4051" t="inlineStr">
        <is>
          <t>d6a544caf1fd9274c3ff0d13257bfeac</t>
        </is>
      </c>
      <c r="B4051" t="inlineStr">
        <is>
          <t>2018-06-02</t>
        </is>
      </c>
      <c r="C4051" t="inlineStr">
        <is>
          <t>2018-06</t>
        </is>
      </c>
      <c r="D4051" t="inlineStr">
        <is>
          <t>SP</t>
        </is>
      </c>
      <c r="E4051" t="inlineStr">
        <is>
          <t>furniture_decor</t>
        </is>
      </c>
      <c r="F4051" t="n">
        <v>1</v>
      </c>
      <c r="G4051" t="n">
        <v>21.5</v>
      </c>
      <c r="H4051" t="n">
        <v>7.39</v>
      </c>
      <c r="I4051" t="inlineStr">
        <is>
          <t>credit_card</t>
        </is>
      </c>
      <c r="J4051" t="n">
        <v>9</v>
      </c>
      <c r="K4051" t="inlineStr">
        <is>
          <t>On Time</t>
        </is>
      </c>
      <c r="L4051" t="n">
        <v>3</v>
      </c>
      <c r="M4051">
        <f>VLOOKUP(D4051,State_Lookup!$A$2:$B$28,2,FALSE)</f>
        <v/>
      </c>
    </row>
    <row r="4052">
      <c r="A4052" t="inlineStr">
        <is>
          <t>71551c2db02730406edd5839f5e2a53b</t>
        </is>
      </c>
      <c r="B4052" t="inlineStr">
        <is>
          <t>2018-06-02</t>
        </is>
      </c>
      <c r="C4052" t="inlineStr">
        <is>
          <t>2018-06</t>
        </is>
      </c>
      <c r="D4052" t="inlineStr">
        <is>
          <t>MG</t>
        </is>
      </c>
      <c r="E4052" t="inlineStr">
        <is>
          <t>health_beauty</t>
        </is>
      </c>
      <c r="F4052" t="n">
        <v>1</v>
      </c>
      <c r="G4052" t="n">
        <v>199.9</v>
      </c>
      <c r="H4052" t="n">
        <v>23.98</v>
      </c>
      <c r="I4052" t="inlineStr">
        <is>
          <t>credit_card</t>
        </is>
      </c>
      <c r="J4052" t="n">
        <v>8</v>
      </c>
      <c r="K4052" t="inlineStr">
        <is>
          <t>On Time</t>
        </is>
      </c>
      <c r="L4052" t="n">
        <v>5</v>
      </c>
      <c r="M4052">
        <f>VLOOKUP(D4052,State_Lookup!$A$2:$B$28,2,FALSE)</f>
        <v/>
      </c>
    </row>
    <row r="4053">
      <c r="A4053" t="inlineStr">
        <is>
          <t>a5903a529b9519a24ef2252f50a19cbe</t>
        </is>
      </c>
      <c r="B4053" t="inlineStr">
        <is>
          <t>2018-06-02</t>
        </is>
      </c>
      <c r="C4053" t="inlineStr">
        <is>
          <t>2018-06</t>
        </is>
      </c>
      <c r="D4053" t="inlineStr">
        <is>
          <t>ES</t>
        </is>
      </c>
      <c r="E4053" t="inlineStr">
        <is>
          <t>electronics</t>
        </is>
      </c>
      <c r="F4053" t="n">
        <v>1</v>
      </c>
      <c r="G4053" t="n">
        <v>14.99</v>
      </c>
      <c r="H4053" t="n">
        <v>15.23</v>
      </c>
      <c r="I4053" t="inlineStr">
        <is>
          <t>credit_card</t>
        </is>
      </c>
      <c r="J4053" t="n">
        <v>10</v>
      </c>
      <c r="K4053" t="inlineStr">
        <is>
          <t>On Time</t>
        </is>
      </c>
      <c r="L4053" t="n">
        <v>4</v>
      </c>
      <c r="M4053">
        <f>VLOOKUP(D4053,State_Lookup!$A$2:$B$28,2,FALSE)</f>
        <v/>
      </c>
    </row>
    <row r="4054">
      <c r="A4054" t="inlineStr">
        <is>
          <t>7b8cdadf6b13903fc09049ba85f5ecb3</t>
        </is>
      </c>
      <c r="B4054" t="inlineStr">
        <is>
          <t>2018-06-02</t>
        </is>
      </c>
      <c r="C4054" t="inlineStr">
        <is>
          <t>2018-06</t>
        </is>
      </c>
      <c r="D4054" t="inlineStr">
        <is>
          <t>SP</t>
        </is>
      </c>
      <c r="E4054" t="inlineStr">
        <is>
          <t>auto</t>
        </is>
      </c>
      <c r="F4054" t="n">
        <v>3</v>
      </c>
      <c r="G4054" t="n">
        <v>180</v>
      </c>
      <c r="H4054" t="n">
        <v>61.71</v>
      </c>
      <c r="I4054" t="inlineStr">
        <is>
          <t>credit_card</t>
        </is>
      </c>
      <c r="J4054" t="n">
        <v>3</v>
      </c>
      <c r="K4054" t="inlineStr">
        <is>
          <t>On Time</t>
        </is>
      </c>
      <c r="L4054" t="n">
        <v>5</v>
      </c>
      <c r="M4054">
        <f>VLOOKUP(D4054,State_Lookup!$A$2:$B$28,2,FALSE)</f>
        <v/>
      </c>
    </row>
    <row r="4055">
      <c r="A4055" t="inlineStr">
        <is>
          <t>bd18cc55469db99cfb36886d68bb3791</t>
        </is>
      </c>
      <c r="B4055" t="inlineStr">
        <is>
          <t>2018-06-03</t>
        </is>
      </c>
      <c r="C4055" t="inlineStr">
        <is>
          <t>2018-06</t>
        </is>
      </c>
      <c r="D4055" t="inlineStr">
        <is>
          <t>SP</t>
        </is>
      </c>
      <c r="E4055" t="inlineStr">
        <is>
          <t>electronics</t>
        </is>
      </c>
      <c r="F4055" t="n">
        <v>1</v>
      </c>
      <c r="G4055" t="n">
        <v>16.99</v>
      </c>
      <c r="H4055" t="n">
        <v>7.39</v>
      </c>
      <c r="I4055" t="inlineStr">
        <is>
          <t>credit_card</t>
        </is>
      </c>
      <c r="J4055" t="n">
        <v>2</v>
      </c>
      <c r="K4055" t="inlineStr">
        <is>
          <t>On Time</t>
        </is>
      </c>
      <c r="L4055" t="n">
        <v>5</v>
      </c>
      <c r="M4055">
        <f>VLOOKUP(D4055,State_Lookup!$A$2:$B$28,2,FALSE)</f>
        <v/>
      </c>
    </row>
    <row r="4056">
      <c r="A4056" t="inlineStr">
        <is>
          <t>7c5c5961b54c4057653d3b72bc612585</t>
        </is>
      </c>
      <c r="B4056" t="inlineStr">
        <is>
          <t>2018-06-03</t>
        </is>
      </c>
      <c r="C4056" t="inlineStr">
        <is>
          <t>2018-06</t>
        </is>
      </c>
      <c r="D4056" t="inlineStr">
        <is>
          <t>RS</t>
        </is>
      </c>
      <c r="E4056" t="inlineStr">
        <is>
          <t>health_beauty</t>
        </is>
      </c>
      <c r="F4056" t="n">
        <v>1</v>
      </c>
      <c r="G4056" t="n">
        <v>330</v>
      </c>
      <c r="H4056" t="n">
        <v>20.19</v>
      </c>
      <c r="I4056" t="inlineStr">
        <is>
          <t>boleto</t>
        </is>
      </c>
      <c r="J4056" t="n">
        <v>10</v>
      </c>
      <c r="K4056" t="inlineStr">
        <is>
          <t>On Time</t>
        </is>
      </c>
      <c r="L4056" t="n">
        <v>5</v>
      </c>
      <c r="M4056">
        <f>VLOOKUP(D4056,State_Lookup!$A$2:$B$28,2,FALSE)</f>
        <v/>
      </c>
    </row>
    <row r="4057">
      <c r="A4057" t="inlineStr">
        <is>
          <t>2709ee9d4fc363bd22b6bc782fa3668f</t>
        </is>
      </c>
      <c r="B4057" t="inlineStr">
        <is>
          <t>2018-06-03</t>
        </is>
      </c>
      <c r="C4057" t="inlineStr">
        <is>
          <t>2018-06</t>
        </is>
      </c>
      <c r="D4057" t="inlineStr">
        <is>
          <t>PR</t>
        </is>
      </c>
      <c r="E4057" t="inlineStr">
        <is>
          <t>consoles_games</t>
        </is>
      </c>
      <c r="F4057" t="n">
        <v>1</v>
      </c>
      <c r="G4057" t="n">
        <v>80</v>
      </c>
      <c r="H4057" t="n">
        <v>7.75</v>
      </c>
      <c r="I4057" t="inlineStr">
        <is>
          <t>credit_card</t>
        </is>
      </c>
      <c r="J4057" t="n">
        <v>2</v>
      </c>
      <c r="K4057" t="inlineStr">
        <is>
          <t>On Time</t>
        </is>
      </c>
      <c r="L4057" t="n">
        <v>2</v>
      </c>
      <c r="M4057">
        <f>VLOOKUP(D4057,State_Lookup!$A$2:$B$28,2,FALSE)</f>
        <v/>
      </c>
    </row>
    <row r="4058">
      <c r="A4058" t="inlineStr">
        <is>
          <t>d185b5e82eb8f2ff1175d13bbbdcea13</t>
        </is>
      </c>
      <c r="B4058" t="inlineStr">
        <is>
          <t>2018-06-03</t>
        </is>
      </c>
      <c r="C4058" t="inlineStr">
        <is>
          <t>2018-06</t>
        </is>
      </c>
      <c r="D4058" t="inlineStr">
        <is>
          <t>DF</t>
        </is>
      </c>
      <c r="E4058" t="inlineStr">
        <is>
          <t>health_beauty</t>
        </is>
      </c>
      <c r="F4058" t="n">
        <v>1</v>
      </c>
      <c r="G4058" t="n">
        <v>330</v>
      </c>
      <c r="H4058" t="n">
        <v>17.19</v>
      </c>
      <c r="I4058" t="inlineStr">
        <is>
          <t>credit_card</t>
        </is>
      </c>
      <c r="J4058" t="n">
        <v>8</v>
      </c>
      <c r="K4058" t="inlineStr">
        <is>
          <t>On Time</t>
        </is>
      </c>
      <c r="L4058" t="n">
        <v>3</v>
      </c>
      <c r="M4058">
        <f>VLOOKUP(D4058,State_Lookup!$A$2:$B$28,2,FALSE)</f>
        <v/>
      </c>
    </row>
    <row r="4059">
      <c r="A4059" t="inlineStr">
        <is>
          <t>f93af565de05d2427790ad8d0368a80e</t>
        </is>
      </c>
      <c r="B4059" t="inlineStr">
        <is>
          <t>2018-06-03</t>
        </is>
      </c>
      <c r="C4059" t="inlineStr">
        <is>
          <t>2018-06</t>
        </is>
      </c>
      <c r="D4059" t="inlineStr">
        <is>
          <t>SP</t>
        </is>
      </c>
      <c r="E4059" t="inlineStr">
        <is>
          <t>health_beauty</t>
        </is>
      </c>
      <c r="F4059" t="n">
        <v>1</v>
      </c>
      <c r="G4059" t="n">
        <v>79.98999999999999</v>
      </c>
      <c r="H4059" t="n">
        <v>8.32</v>
      </c>
      <c r="I4059" t="inlineStr">
        <is>
          <t>credit_card</t>
        </is>
      </c>
      <c r="J4059" t="n">
        <v>2</v>
      </c>
      <c r="K4059" t="inlineStr">
        <is>
          <t>On Time</t>
        </is>
      </c>
      <c r="L4059" t="n">
        <v>5</v>
      </c>
      <c r="M4059">
        <f>VLOOKUP(D4059,State_Lookup!$A$2:$B$28,2,FALSE)</f>
        <v/>
      </c>
    </row>
    <row r="4060">
      <c r="A4060" t="inlineStr">
        <is>
          <t>cd1709e97dc100d3eea6e801ca6f3a29</t>
        </is>
      </c>
      <c r="B4060" t="inlineStr">
        <is>
          <t>2018-06-03</t>
        </is>
      </c>
      <c r="C4060" t="inlineStr">
        <is>
          <t>2018-06</t>
        </is>
      </c>
      <c r="D4060" t="inlineStr">
        <is>
          <t>MG</t>
        </is>
      </c>
      <c r="E4060" t="inlineStr">
        <is>
          <t>cool_stuff</t>
        </is>
      </c>
      <c r="F4060" t="n">
        <v>1</v>
      </c>
      <c r="G4060" t="n">
        <v>157</v>
      </c>
      <c r="H4060" t="n">
        <v>18.98</v>
      </c>
      <c r="I4060" t="inlineStr">
        <is>
          <t>credit_card</t>
        </is>
      </c>
      <c r="J4060" t="n">
        <v>8</v>
      </c>
      <c r="K4060" t="inlineStr">
        <is>
          <t>On Time</t>
        </is>
      </c>
      <c r="L4060" t="n">
        <v>5</v>
      </c>
      <c r="M4060">
        <f>VLOOKUP(D4060,State_Lookup!$A$2:$B$28,2,FALSE)</f>
        <v/>
      </c>
    </row>
    <row r="4061">
      <c r="A4061" t="inlineStr">
        <is>
          <t>63523ca4619b9bf3e69631ca6a273e4f</t>
        </is>
      </c>
      <c r="B4061" t="inlineStr">
        <is>
          <t>2018-06-03</t>
        </is>
      </c>
      <c r="C4061" t="inlineStr">
        <is>
          <t>2018-06</t>
        </is>
      </c>
      <c r="D4061" t="inlineStr">
        <is>
          <t>RS</t>
        </is>
      </c>
      <c r="E4061" t="inlineStr">
        <is>
          <t>electronics</t>
        </is>
      </c>
      <c r="F4061" t="n">
        <v>1</v>
      </c>
      <c r="G4061" t="n">
        <v>12.9</v>
      </c>
      <c r="H4061" t="n">
        <v>15.23</v>
      </c>
      <c r="I4061" t="inlineStr">
        <is>
          <t>credit_card</t>
        </is>
      </c>
      <c r="J4061" t="n">
        <v>15</v>
      </c>
      <c r="K4061" t="inlineStr">
        <is>
          <t>On Time</t>
        </is>
      </c>
      <c r="L4061" t="n">
        <v>4</v>
      </c>
      <c r="M4061">
        <f>VLOOKUP(D4061,State_Lookup!$A$2:$B$28,2,FALSE)</f>
        <v/>
      </c>
    </row>
    <row r="4062">
      <c r="A4062" t="inlineStr">
        <is>
          <t>5f12df808d35ea25be28ad052f4aa3ea</t>
        </is>
      </c>
      <c r="B4062" t="inlineStr">
        <is>
          <t>2018-06-03</t>
        </is>
      </c>
      <c r="C4062" t="inlineStr">
        <is>
          <t>2018-06</t>
        </is>
      </c>
      <c r="D4062" t="inlineStr">
        <is>
          <t>SP</t>
        </is>
      </c>
      <c r="E4062" t="inlineStr">
        <is>
          <t>health_beauty</t>
        </is>
      </c>
      <c r="F4062" t="n">
        <v>1</v>
      </c>
      <c r="G4062" t="n">
        <v>330</v>
      </c>
      <c r="H4062" t="n">
        <v>10.07</v>
      </c>
      <c r="I4062" t="inlineStr">
        <is>
          <t>boleto</t>
        </is>
      </c>
      <c r="J4062" t="n">
        <v>3</v>
      </c>
      <c r="K4062" t="inlineStr">
        <is>
          <t>On Time</t>
        </is>
      </c>
      <c r="L4062" t="n">
        <v>5</v>
      </c>
      <c r="M4062">
        <f>VLOOKUP(D4062,State_Lookup!$A$2:$B$28,2,FALSE)</f>
        <v/>
      </c>
    </row>
    <row r="4063">
      <c r="A4063" t="inlineStr">
        <is>
          <t>494fa4e20c0a57c2f565a2d43a41462b</t>
        </is>
      </c>
      <c r="B4063" t="inlineStr">
        <is>
          <t>2018-06-03</t>
        </is>
      </c>
      <c r="C4063" t="inlineStr">
        <is>
          <t>2018-06</t>
        </is>
      </c>
      <c r="D4063" t="inlineStr">
        <is>
          <t>SC</t>
        </is>
      </c>
      <c r="E4063" t="inlineStr">
        <is>
          <t>watches_gifts</t>
        </is>
      </c>
      <c r="F4063" t="n">
        <v>1</v>
      </c>
      <c r="G4063" t="n">
        <v>227.9</v>
      </c>
      <c r="H4063" t="n">
        <v>19.48</v>
      </c>
      <c r="I4063" t="inlineStr">
        <is>
          <t>credit_card</t>
        </is>
      </c>
      <c r="J4063" t="n">
        <v>25</v>
      </c>
      <c r="K4063" t="inlineStr">
        <is>
          <t>On Time</t>
        </is>
      </c>
      <c r="L4063" t="n">
        <v>2</v>
      </c>
      <c r="M4063">
        <f>VLOOKUP(D4063,State_Lookup!$A$2:$B$28,2,FALSE)</f>
        <v/>
      </c>
    </row>
    <row r="4064">
      <c r="A4064" t="inlineStr">
        <is>
          <t>a0e10efd1951db4d6347c04f4c79a3f5</t>
        </is>
      </c>
      <c r="B4064" t="inlineStr">
        <is>
          <t>2018-06-03</t>
        </is>
      </c>
      <c r="C4064" t="inlineStr">
        <is>
          <t>2018-06</t>
        </is>
      </c>
      <c r="D4064" t="inlineStr">
        <is>
          <t>RJ</t>
        </is>
      </c>
      <c r="E4064" t="inlineStr">
        <is>
          <t>watches_gifts</t>
        </is>
      </c>
      <c r="F4064" t="n">
        <v>1</v>
      </c>
      <c r="G4064" t="n">
        <v>95</v>
      </c>
      <c r="H4064" t="n">
        <v>18.55</v>
      </c>
      <c r="I4064" t="inlineStr">
        <is>
          <t>credit_card</t>
        </is>
      </c>
      <c r="J4064" t="n">
        <v>7</v>
      </c>
      <c r="K4064" t="inlineStr">
        <is>
          <t>On Time</t>
        </is>
      </c>
      <c r="L4064" t="n">
        <v>5</v>
      </c>
      <c r="M4064">
        <f>VLOOKUP(D4064,State_Lookup!$A$2:$B$28,2,FALSE)</f>
        <v/>
      </c>
    </row>
    <row r="4065">
      <c r="A4065" t="inlineStr">
        <is>
          <t>cc8978e74f4d8907fbad695ee3f7f933</t>
        </is>
      </c>
      <c r="B4065" t="inlineStr">
        <is>
          <t>2018-06-04</t>
        </is>
      </c>
      <c r="C4065" t="inlineStr">
        <is>
          <t>2018-06</t>
        </is>
      </c>
      <c r="D4065" t="inlineStr">
        <is>
          <t>RJ</t>
        </is>
      </c>
      <c r="E4065" t="inlineStr">
        <is>
          <t>drinks</t>
        </is>
      </c>
      <c r="F4065" t="n">
        <v>1</v>
      </c>
      <c r="G4065" t="n">
        <v>167.5</v>
      </c>
      <c r="H4065" t="n">
        <v>48</v>
      </c>
      <c r="I4065" t="inlineStr">
        <is>
          <t>debit_card</t>
        </is>
      </c>
      <c r="J4065" t="n">
        <v>4</v>
      </c>
      <c r="K4065" t="inlineStr">
        <is>
          <t>On Time</t>
        </is>
      </c>
      <c r="L4065" t="n">
        <v>5</v>
      </c>
      <c r="M4065">
        <f>VLOOKUP(D4065,State_Lookup!$A$2:$B$28,2,FALSE)</f>
        <v/>
      </c>
    </row>
    <row r="4066">
      <c r="A4066" t="inlineStr">
        <is>
          <t>adf094db594ac7282fe50859f69cdb31</t>
        </is>
      </c>
      <c r="B4066" t="inlineStr">
        <is>
          <t>2018-06-04</t>
        </is>
      </c>
      <c r="C4066" t="inlineStr">
        <is>
          <t>2018-06</t>
        </is>
      </c>
      <c r="D4066" t="inlineStr">
        <is>
          <t>MG</t>
        </is>
      </c>
      <c r="E4066" t="inlineStr">
        <is>
          <t>office_furniture</t>
        </is>
      </c>
      <c r="F4066" t="n">
        <v>1</v>
      </c>
      <c r="G4066" t="n">
        <v>149.99</v>
      </c>
      <c r="H4066" t="n">
        <v>33.31</v>
      </c>
      <c r="I4066" t="inlineStr">
        <is>
          <t>credit_card</t>
        </is>
      </c>
      <c r="J4066" t="n">
        <v>13</v>
      </c>
      <c r="K4066" t="inlineStr">
        <is>
          <t>On Time</t>
        </is>
      </c>
      <c r="L4066" t="n">
        <v>5</v>
      </c>
      <c r="M4066">
        <f>VLOOKUP(D4066,State_Lookup!$A$2:$B$28,2,FALSE)</f>
        <v/>
      </c>
    </row>
    <row r="4067">
      <c r="A4067" t="inlineStr">
        <is>
          <t>1bab231e166587a2e6834a89ab97b32d</t>
        </is>
      </c>
      <c r="B4067" t="inlineStr">
        <is>
          <t>2018-06-04</t>
        </is>
      </c>
      <c r="C4067" t="inlineStr">
        <is>
          <t>2018-06</t>
        </is>
      </c>
      <c r="D4067" t="inlineStr">
        <is>
          <t>SP</t>
        </is>
      </c>
      <c r="E4067" t="inlineStr">
        <is>
          <t>health_beauty</t>
        </is>
      </c>
      <c r="F4067" t="n">
        <v>1</v>
      </c>
      <c r="G4067" t="n">
        <v>69.90000000000001</v>
      </c>
      <c r="H4067" t="n">
        <v>18.37</v>
      </c>
      <c r="I4067" t="inlineStr">
        <is>
          <t>credit_card</t>
        </is>
      </c>
      <c r="J4067" t="n">
        <v>7</v>
      </c>
      <c r="K4067" t="inlineStr">
        <is>
          <t>On Time</t>
        </is>
      </c>
      <c r="L4067" t="n">
        <v>4</v>
      </c>
      <c r="M4067">
        <f>VLOOKUP(D4067,State_Lookup!$A$2:$B$28,2,FALSE)</f>
        <v/>
      </c>
    </row>
    <row r="4068">
      <c r="A4068" t="inlineStr">
        <is>
          <t>45c653bdeb327fde86e2a52bd3d33e89</t>
        </is>
      </c>
      <c r="B4068" t="inlineStr">
        <is>
          <t>2018-06-04</t>
        </is>
      </c>
      <c r="C4068" t="inlineStr">
        <is>
          <t>2018-06</t>
        </is>
      </c>
      <c r="D4068" t="inlineStr">
        <is>
          <t>MG</t>
        </is>
      </c>
      <c r="E4068" t="inlineStr">
        <is>
          <t>home_appliances</t>
        </is>
      </c>
      <c r="F4068" t="n">
        <v>1</v>
      </c>
      <c r="G4068" t="n">
        <v>29.9</v>
      </c>
      <c r="H4068" t="n">
        <v>18.23</v>
      </c>
      <c r="I4068" t="inlineStr">
        <is>
          <t>credit_card</t>
        </is>
      </c>
      <c r="J4068" t="n">
        <v>6</v>
      </c>
      <c r="K4068" t="inlineStr">
        <is>
          <t>On Time</t>
        </is>
      </c>
      <c r="L4068" t="n">
        <v>4</v>
      </c>
      <c r="M4068">
        <f>VLOOKUP(D4068,State_Lookup!$A$2:$B$28,2,FALSE)</f>
        <v/>
      </c>
    </row>
    <row r="4069">
      <c r="A4069" t="inlineStr">
        <is>
          <t>13d7a56c8538c342f96bc88730ef2919</t>
        </is>
      </c>
      <c r="B4069" t="inlineStr">
        <is>
          <t>2018-06-04</t>
        </is>
      </c>
      <c r="C4069" t="inlineStr">
        <is>
          <t>2018-06</t>
        </is>
      </c>
      <c r="D4069" t="inlineStr">
        <is>
          <t>MG</t>
        </is>
      </c>
      <c r="E4069" t="inlineStr">
        <is>
          <t>books_technical</t>
        </is>
      </c>
      <c r="F4069" t="n">
        <v>1</v>
      </c>
      <c r="G4069" t="n">
        <v>274.95</v>
      </c>
      <c r="H4069" t="n">
        <v>28</v>
      </c>
      <c r="I4069" t="inlineStr">
        <is>
          <t>credit_card</t>
        </is>
      </c>
      <c r="J4069" t="n">
        <v>15</v>
      </c>
      <c r="K4069" t="inlineStr">
        <is>
          <t>On Time</t>
        </is>
      </c>
      <c r="L4069" t="n">
        <v>5</v>
      </c>
      <c r="M4069">
        <f>VLOOKUP(D4069,State_Lookup!$A$2:$B$28,2,FALSE)</f>
        <v/>
      </c>
    </row>
    <row r="4070">
      <c r="A4070" t="inlineStr">
        <is>
          <t>96b205ed4ede615918071ef68a2f8831</t>
        </is>
      </c>
      <c r="B4070" t="inlineStr">
        <is>
          <t>2018-06-04</t>
        </is>
      </c>
      <c r="C4070" t="inlineStr">
        <is>
          <t>2018-06</t>
        </is>
      </c>
      <c r="D4070" t="inlineStr">
        <is>
          <t>MA</t>
        </is>
      </c>
      <c r="E4070" t="inlineStr">
        <is>
          <t>computers_accessories</t>
        </is>
      </c>
      <c r="F4070" t="n">
        <v>1</v>
      </c>
      <c r="G4070" t="n">
        <v>40</v>
      </c>
      <c r="H4070" t="n">
        <v>22.85</v>
      </c>
      <c r="I4070" t="inlineStr">
        <is>
          <t>boleto</t>
        </is>
      </c>
      <c r="J4070" t="n">
        <v>22</v>
      </c>
      <c r="K4070" t="inlineStr">
        <is>
          <t>On Time</t>
        </is>
      </c>
      <c r="L4070" t="n">
        <v>5</v>
      </c>
      <c r="M4070">
        <f>VLOOKUP(D4070,State_Lookup!$A$2:$B$28,2,FALSE)</f>
        <v/>
      </c>
    </row>
    <row r="4071">
      <c r="A4071" t="inlineStr">
        <is>
          <t>49d0ecc62e79de0f34766cb97df47cf7</t>
        </is>
      </c>
      <c r="B4071" t="inlineStr">
        <is>
          <t>2018-06-04</t>
        </is>
      </c>
      <c r="C4071" t="inlineStr">
        <is>
          <t>2018-06</t>
        </is>
      </c>
      <c r="D4071" t="inlineStr">
        <is>
          <t>SP</t>
        </is>
      </c>
      <c r="E4071" t="inlineStr">
        <is>
          <t>electronics</t>
        </is>
      </c>
      <c r="F4071" t="n">
        <v>1</v>
      </c>
      <c r="G4071" t="n">
        <v>9.9</v>
      </c>
      <c r="H4071" t="n">
        <v>12.79</v>
      </c>
      <c r="I4071" t="inlineStr">
        <is>
          <t>credit_card</t>
        </is>
      </c>
      <c r="J4071" t="n">
        <v>14</v>
      </c>
      <c r="K4071" t="inlineStr">
        <is>
          <t>On Time</t>
        </is>
      </c>
      <c r="L4071" t="n">
        <v>5</v>
      </c>
      <c r="M4071">
        <f>VLOOKUP(D4071,State_Lookup!$A$2:$B$28,2,FALSE)</f>
        <v/>
      </c>
    </row>
    <row r="4072">
      <c r="A4072" t="inlineStr">
        <is>
          <t>9991f93b8033efb6a155363142504f5a</t>
        </is>
      </c>
      <c r="B4072" t="inlineStr">
        <is>
          <t>2018-06-04</t>
        </is>
      </c>
      <c r="C4072" t="inlineStr">
        <is>
          <t>2018-06</t>
        </is>
      </c>
      <c r="D4072" t="inlineStr">
        <is>
          <t>SP</t>
        </is>
      </c>
      <c r="E4072" t="inlineStr">
        <is>
          <t>construction_tools_lights</t>
        </is>
      </c>
      <c r="F4072" t="n">
        <v>2</v>
      </c>
      <c r="G4072" t="n">
        <v>90</v>
      </c>
      <c r="H4072" t="n">
        <v>25.58</v>
      </c>
      <c r="I4072" t="inlineStr">
        <is>
          <t>credit_card</t>
        </is>
      </c>
      <c r="J4072" t="n">
        <v>8</v>
      </c>
      <c r="K4072" t="inlineStr">
        <is>
          <t>On Time</t>
        </is>
      </c>
      <c r="L4072" t="n">
        <v>4</v>
      </c>
      <c r="M4072">
        <f>VLOOKUP(D4072,State_Lookup!$A$2:$B$28,2,FALSE)</f>
        <v/>
      </c>
    </row>
    <row r="4073">
      <c r="A4073" t="inlineStr">
        <is>
          <t>3d1a669c8ccacd61bf065e1537d5cad4</t>
        </is>
      </c>
      <c r="B4073" t="inlineStr">
        <is>
          <t>2018-06-04</t>
        </is>
      </c>
      <c r="C4073" t="inlineStr">
        <is>
          <t>2018-06</t>
        </is>
      </c>
      <c r="D4073" t="inlineStr">
        <is>
          <t>SP</t>
        </is>
      </c>
      <c r="E4073" t="inlineStr">
        <is>
          <t>housewares</t>
        </is>
      </c>
      <c r="F4073" t="n">
        <v>1</v>
      </c>
      <c r="G4073" t="n">
        <v>179</v>
      </c>
      <c r="H4073" t="n">
        <v>27.69</v>
      </c>
      <c r="I4073" t="inlineStr">
        <is>
          <t>credit_card</t>
        </is>
      </c>
      <c r="J4073" t="n">
        <v>2</v>
      </c>
      <c r="K4073" t="inlineStr">
        <is>
          <t>On Time</t>
        </is>
      </c>
      <c r="L4073" t="n">
        <v>5</v>
      </c>
      <c r="M4073">
        <f>VLOOKUP(D4073,State_Lookup!$A$2:$B$28,2,FALSE)</f>
        <v/>
      </c>
    </row>
    <row r="4074">
      <c r="A4074" t="inlineStr">
        <is>
          <t>182499c96e47e2fa18c6d442a1fa6b1f</t>
        </is>
      </c>
      <c r="B4074" t="inlineStr">
        <is>
          <t>2018-06-04</t>
        </is>
      </c>
      <c r="C4074" t="inlineStr">
        <is>
          <t>2018-06</t>
        </is>
      </c>
      <c r="D4074" t="inlineStr">
        <is>
          <t>SP</t>
        </is>
      </c>
      <c r="E4074" t="inlineStr">
        <is>
          <t>health_beauty</t>
        </is>
      </c>
      <c r="F4074" t="n">
        <v>1</v>
      </c>
      <c r="G4074" t="n">
        <v>141.9</v>
      </c>
      <c r="H4074" t="n">
        <v>19.96</v>
      </c>
      <c r="I4074" t="inlineStr">
        <is>
          <t>credit_card</t>
        </is>
      </c>
      <c r="J4074" t="n">
        <v>3</v>
      </c>
      <c r="K4074" t="inlineStr">
        <is>
          <t>On Time</t>
        </is>
      </c>
      <c r="L4074" t="n">
        <v>5</v>
      </c>
      <c r="M4074">
        <f>VLOOKUP(D4074,State_Lookup!$A$2:$B$28,2,FALSE)</f>
        <v/>
      </c>
    </row>
    <row r="4075">
      <c r="A4075" t="inlineStr">
        <is>
          <t>a67eb7e1e345d47ea191f88d20b02f48</t>
        </is>
      </c>
      <c r="B4075" t="inlineStr">
        <is>
          <t>2018-06-04</t>
        </is>
      </c>
      <c r="C4075" t="inlineStr">
        <is>
          <t>2018-06</t>
        </is>
      </c>
      <c r="D4075" t="inlineStr">
        <is>
          <t>SP</t>
        </is>
      </c>
      <c r="E4075" t="inlineStr">
        <is>
          <t>baby</t>
        </is>
      </c>
      <c r="F4075" t="n">
        <v>1</v>
      </c>
      <c r="G4075" t="n">
        <v>34.99</v>
      </c>
      <c r="H4075" t="n">
        <v>8.289999999999999</v>
      </c>
      <c r="I4075" t="inlineStr">
        <is>
          <t>credit_card</t>
        </is>
      </c>
      <c r="J4075" t="n">
        <v>1</v>
      </c>
      <c r="K4075" t="inlineStr">
        <is>
          <t>On Time</t>
        </is>
      </c>
      <c r="L4075" t="n">
        <v>5</v>
      </c>
      <c r="M4075">
        <f>VLOOKUP(D4075,State_Lookup!$A$2:$B$28,2,FALSE)</f>
        <v/>
      </c>
    </row>
    <row r="4076">
      <c r="A4076" t="inlineStr">
        <is>
          <t>753e537c63c618f5c27c4a3a51182909</t>
        </is>
      </c>
      <c r="B4076" t="inlineStr">
        <is>
          <t>2018-06-04</t>
        </is>
      </c>
      <c r="C4076" t="inlineStr">
        <is>
          <t>2018-06</t>
        </is>
      </c>
      <c r="D4076" t="inlineStr">
        <is>
          <t>RJ</t>
        </is>
      </c>
      <c r="E4076" t="inlineStr">
        <is>
          <t>toys</t>
        </is>
      </c>
      <c r="F4076" t="n">
        <v>1</v>
      </c>
      <c r="G4076" t="n">
        <v>79</v>
      </c>
      <c r="H4076" t="n">
        <v>17.26</v>
      </c>
      <c r="I4076" t="inlineStr">
        <is>
          <t>credit_card</t>
        </is>
      </c>
      <c r="J4076" t="n">
        <v>7</v>
      </c>
      <c r="K4076" t="inlineStr">
        <is>
          <t>On Time</t>
        </is>
      </c>
      <c r="L4076" t="n">
        <v>2</v>
      </c>
      <c r="M4076">
        <f>VLOOKUP(D4076,State_Lookup!$A$2:$B$28,2,FALSE)</f>
        <v/>
      </c>
    </row>
    <row r="4077">
      <c r="A4077" t="inlineStr">
        <is>
          <t>77178560d74827781c4c0495c5a5abc2</t>
        </is>
      </c>
      <c r="B4077" t="inlineStr">
        <is>
          <t>2018-06-04</t>
        </is>
      </c>
      <c r="C4077" t="inlineStr">
        <is>
          <t>2018-06</t>
        </is>
      </c>
      <c r="D4077" t="inlineStr">
        <is>
          <t>SP</t>
        </is>
      </c>
      <c r="E4077" t="inlineStr">
        <is>
          <t>luggage_accessories</t>
        </is>
      </c>
      <c r="F4077" t="n">
        <v>1</v>
      </c>
      <c r="G4077" t="n">
        <v>149.9</v>
      </c>
      <c r="H4077" t="n">
        <v>60.06</v>
      </c>
      <c r="I4077" t="inlineStr">
        <is>
          <t>voucher</t>
        </is>
      </c>
      <c r="J4077" t="n">
        <v>7</v>
      </c>
      <c r="K4077" t="inlineStr">
        <is>
          <t>On Time</t>
        </is>
      </c>
      <c r="L4077" t="n">
        <v>5</v>
      </c>
      <c r="M4077">
        <f>VLOOKUP(D4077,State_Lookup!$A$2:$B$28,2,FALSE)</f>
        <v/>
      </c>
    </row>
    <row r="4078">
      <c r="A4078" t="inlineStr">
        <is>
          <t>a29e1c93ee597410428699bb1e339edb</t>
        </is>
      </c>
      <c r="B4078" t="inlineStr">
        <is>
          <t>2018-06-04</t>
        </is>
      </c>
      <c r="C4078" t="inlineStr">
        <is>
          <t>2018-06</t>
        </is>
      </c>
      <c r="D4078" t="inlineStr">
        <is>
          <t>SP</t>
        </is>
      </c>
      <c r="E4078" t="inlineStr">
        <is>
          <t>home_appliances</t>
        </is>
      </c>
      <c r="F4078" t="n">
        <v>1</v>
      </c>
      <c r="G4078" t="n">
        <v>46.2</v>
      </c>
      <c r="H4078" t="n">
        <v>9.44</v>
      </c>
      <c r="I4078" t="inlineStr">
        <is>
          <t>credit_card</t>
        </is>
      </c>
      <c r="J4078" t="n">
        <v>3</v>
      </c>
      <c r="K4078" t="inlineStr">
        <is>
          <t>On Time</t>
        </is>
      </c>
      <c r="L4078" t="n">
        <v>2</v>
      </c>
      <c r="M4078">
        <f>VLOOKUP(D4078,State_Lookup!$A$2:$B$28,2,FALSE)</f>
        <v/>
      </c>
    </row>
    <row r="4079">
      <c r="A4079" t="inlineStr">
        <is>
          <t>d105b386fa5b4aab107c43ba2760f64b</t>
        </is>
      </c>
      <c r="B4079" t="inlineStr">
        <is>
          <t>2018-06-04</t>
        </is>
      </c>
      <c r="C4079" t="inlineStr">
        <is>
          <t>2018-06</t>
        </is>
      </c>
      <c r="D4079" t="inlineStr">
        <is>
          <t>SP</t>
        </is>
      </c>
      <c r="E4079" t="inlineStr">
        <is>
          <t>housewares</t>
        </is>
      </c>
      <c r="F4079" t="n">
        <v>1</v>
      </c>
      <c r="G4079" t="n">
        <v>49.9</v>
      </c>
      <c r="H4079" t="n">
        <v>8.289999999999999</v>
      </c>
      <c r="I4079" t="inlineStr">
        <is>
          <t>voucher</t>
        </is>
      </c>
      <c r="J4079" t="n">
        <v>7</v>
      </c>
      <c r="K4079" t="inlineStr">
        <is>
          <t>On Time</t>
        </is>
      </c>
      <c r="L4079" t="n">
        <v>2</v>
      </c>
      <c r="M4079">
        <f>VLOOKUP(D4079,State_Lookup!$A$2:$B$28,2,FALSE)</f>
        <v/>
      </c>
    </row>
    <row r="4080">
      <c r="A4080" t="inlineStr">
        <is>
          <t>dbaabdb0be80480bf6306b5e3c953017</t>
        </is>
      </c>
      <c r="B4080" t="inlineStr">
        <is>
          <t>2018-06-04</t>
        </is>
      </c>
      <c r="C4080" t="inlineStr">
        <is>
          <t>2018-06</t>
        </is>
      </c>
      <c r="D4080" t="inlineStr">
        <is>
          <t>SP</t>
        </is>
      </c>
      <c r="E4080" t="inlineStr">
        <is>
          <t>computers_accessories</t>
        </is>
      </c>
      <c r="F4080" t="n">
        <v>1</v>
      </c>
      <c r="G4080" t="n">
        <v>119</v>
      </c>
      <c r="H4080" t="n">
        <v>57.09</v>
      </c>
      <c r="I4080" t="inlineStr">
        <is>
          <t>credit_card</t>
        </is>
      </c>
      <c r="J4080" t="n">
        <v>9</v>
      </c>
      <c r="K4080" t="inlineStr">
        <is>
          <t>On Time</t>
        </is>
      </c>
      <c r="L4080" t="n">
        <v>5</v>
      </c>
      <c r="M4080">
        <f>VLOOKUP(D4080,State_Lookup!$A$2:$B$28,2,FALSE)</f>
        <v/>
      </c>
    </row>
    <row r="4081">
      <c r="A4081" t="inlineStr">
        <is>
          <t>0b9b1c5bbb14862e0e96660280048b04</t>
        </is>
      </c>
      <c r="B4081" t="inlineStr">
        <is>
          <t>2018-06-04</t>
        </is>
      </c>
      <c r="C4081" t="inlineStr">
        <is>
          <t>2018-06</t>
        </is>
      </c>
      <c r="D4081" t="inlineStr">
        <is>
          <t>SP</t>
        </is>
      </c>
      <c r="E4081" t="inlineStr">
        <is>
          <t>unknown</t>
        </is>
      </c>
      <c r="F4081" t="n">
        <v>1</v>
      </c>
      <c r="G4081" t="n">
        <v>8.99</v>
      </c>
      <c r="H4081" t="n">
        <v>7.39</v>
      </c>
      <c r="I4081" t="inlineStr">
        <is>
          <t>credit_card</t>
        </is>
      </c>
      <c r="J4081" t="n">
        <v>2</v>
      </c>
      <c r="K4081" t="inlineStr">
        <is>
          <t>On Time</t>
        </is>
      </c>
      <c r="L4081" t="n">
        <v>4</v>
      </c>
      <c r="M4081">
        <f>VLOOKUP(D4081,State_Lookup!$A$2:$B$28,2,FALSE)</f>
        <v/>
      </c>
    </row>
    <row r="4082">
      <c r="A4082" t="inlineStr">
        <is>
          <t>61762cc32c47f742be3e930cac5d681d</t>
        </is>
      </c>
      <c r="B4082" t="inlineStr">
        <is>
          <t>2018-06-04</t>
        </is>
      </c>
      <c r="C4082" t="inlineStr">
        <is>
          <t>2018-06</t>
        </is>
      </c>
      <c r="D4082" t="inlineStr">
        <is>
          <t>SP</t>
        </is>
      </c>
      <c r="E4082" t="inlineStr">
        <is>
          <t>stationery</t>
        </is>
      </c>
      <c r="F4082" t="n">
        <v>1</v>
      </c>
      <c r="G4082" t="n">
        <v>114.9</v>
      </c>
      <c r="H4082" t="n">
        <v>7.67</v>
      </c>
      <c r="I4082" t="inlineStr">
        <is>
          <t>credit_card</t>
        </is>
      </c>
      <c r="J4082" t="n">
        <v>6</v>
      </c>
      <c r="K4082" t="inlineStr">
        <is>
          <t>On Time</t>
        </is>
      </c>
      <c r="L4082" t="n">
        <v>5</v>
      </c>
      <c r="M4082">
        <f>VLOOKUP(D4082,State_Lookup!$A$2:$B$28,2,FALSE)</f>
        <v/>
      </c>
    </row>
    <row r="4083">
      <c r="A4083" t="inlineStr">
        <is>
          <t>9d2a11bab82354e3c134c7212988228a</t>
        </is>
      </c>
      <c r="B4083" t="inlineStr">
        <is>
          <t>2018-06-04</t>
        </is>
      </c>
      <c r="C4083" t="inlineStr">
        <is>
          <t>2018-06</t>
        </is>
      </c>
      <c r="D4083" t="inlineStr">
        <is>
          <t>SP</t>
        </is>
      </c>
      <c r="E4083" t="inlineStr">
        <is>
          <t>housewares</t>
        </is>
      </c>
      <c r="F4083" t="n">
        <v>1</v>
      </c>
      <c r="G4083" t="n">
        <v>87</v>
      </c>
      <c r="H4083" t="n">
        <v>34.7</v>
      </c>
      <c r="I4083" t="inlineStr">
        <is>
          <t>boleto</t>
        </is>
      </c>
      <c r="J4083" t="n">
        <v>5</v>
      </c>
      <c r="K4083" t="inlineStr">
        <is>
          <t>On Time</t>
        </is>
      </c>
      <c r="L4083" t="n">
        <v>4</v>
      </c>
      <c r="M4083">
        <f>VLOOKUP(D4083,State_Lookup!$A$2:$B$28,2,FALSE)</f>
        <v/>
      </c>
    </row>
    <row r="4084">
      <c r="A4084" t="inlineStr">
        <is>
          <t>2bae46553a029f4e6c9976e173d676ef</t>
        </is>
      </c>
      <c r="B4084" t="inlineStr">
        <is>
          <t>2018-06-04</t>
        </is>
      </c>
      <c r="C4084" t="inlineStr">
        <is>
          <t>2018-06</t>
        </is>
      </c>
      <c r="D4084" t="inlineStr">
        <is>
          <t>RS</t>
        </is>
      </c>
      <c r="E4084" t="inlineStr">
        <is>
          <t>health_beauty</t>
        </is>
      </c>
      <c r="F4084" t="n">
        <v>1</v>
      </c>
      <c r="G4084" t="n">
        <v>122.99</v>
      </c>
      <c r="H4084" t="n">
        <v>84.41</v>
      </c>
      <c r="I4084" t="inlineStr">
        <is>
          <t>boleto</t>
        </is>
      </c>
      <c r="J4084" t="n">
        <v>16</v>
      </c>
      <c r="K4084" t="inlineStr">
        <is>
          <t>On Time</t>
        </is>
      </c>
      <c r="L4084" t="n">
        <v>5</v>
      </c>
      <c r="M4084">
        <f>VLOOKUP(D4084,State_Lookup!$A$2:$B$28,2,FALSE)</f>
        <v/>
      </c>
    </row>
    <row r="4085">
      <c r="A4085" t="inlineStr">
        <is>
          <t>099e239a7cce8ed6ef0905feb80808c0</t>
        </is>
      </c>
      <c r="B4085" t="inlineStr">
        <is>
          <t>2018-06-04</t>
        </is>
      </c>
      <c r="C4085" t="inlineStr">
        <is>
          <t>2018-06</t>
        </is>
      </c>
      <c r="D4085" t="inlineStr">
        <is>
          <t>PE</t>
        </is>
      </c>
      <c r="E4085" t="inlineStr">
        <is>
          <t>bed_bath_table</t>
        </is>
      </c>
      <c r="F4085" t="n">
        <v>1</v>
      </c>
      <c r="G4085" t="n">
        <v>144.99</v>
      </c>
      <c r="H4085" t="n">
        <v>47.45</v>
      </c>
      <c r="I4085" t="inlineStr">
        <is>
          <t>boleto</t>
        </is>
      </c>
      <c r="J4085" t="n">
        <v>17</v>
      </c>
      <c r="K4085" t="inlineStr">
        <is>
          <t>On Time</t>
        </is>
      </c>
      <c r="L4085" t="n">
        <v>4</v>
      </c>
      <c r="M4085">
        <f>VLOOKUP(D4085,State_Lookup!$A$2:$B$28,2,FALSE)</f>
        <v/>
      </c>
    </row>
    <row r="4086">
      <c r="A4086" t="inlineStr">
        <is>
          <t>75b96a3b1a4aa70f1b20c1e86020cfd3</t>
        </is>
      </c>
      <c r="B4086" t="inlineStr">
        <is>
          <t>2018-06-04</t>
        </is>
      </c>
      <c r="C4086" t="inlineStr">
        <is>
          <t>2018-06</t>
        </is>
      </c>
      <c r="D4086" t="inlineStr">
        <is>
          <t>SP</t>
        </is>
      </c>
      <c r="E4086" t="inlineStr">
        <is>
          <t>garden_tools</t>
        </is>
      </c>
      <c r="F4086" t="n">
        <v>1</v>
      </c>
      <c r="G4086" t="n">
        <v>49.9</v>
      </c>
      <c r="H4086" t="n">
        <v>17.26</v>
      </c>
      <c r="I4086" t="inlineStr">
        <is>
          <t>credit_card</t>
        </is>
      </c>
      <c r="J4086" t="n">
        <v>7</v>
      </c>
      <c r="K4086" t="inlineStr">
        <is>
          <t>On Time</t>
        </is>
      </c>
      <c r="L4086" t="n">
        <v>5</v>
      </c>
      <c r="M4086">
        <f>VLOOKUP(D4086,State_Lookup!$A$2:$B$28,2,FALSE)</f>
        <v/>
      </c>
    </row>
    <row r="4087">
      <c r="A4087" t="inlineStr">
        <is>
          <t>8deb64b979ba1e9e5325ca8427efec4f</t>
        </is>
      </c>
      <c r="B4087" t="inlineStr">
        <is>
          <t>2018-06-05</t>
        </is>
      </c>
      <c r="C4087" t="inlineStr">
        <is>
          <t>2018-06</t>
        </is>
      </c>
      <c r="D4087" t="inlineStr">
        <is>
          <t>SP</t>
        </is>
      </c>
      <c r="E4087" t="inlineStr">
        <is>
          <t>watches_gifts</t>
        </is>
      </c>
      <c r="F4087" t="n">
        <v>1</v>
      </c>
      <c r="G4087" t="n">
        <v>95</v>
      </c>
      <c r="H4087" t="n">
        <v>7.53</v>
      </c>
      <c r="I4087" t="inlineStr">
        <is>
          <t>debit_card</t>
        </is>
      </c>
      <c r="J4087" t="n">
        <v>3</v>
      </c>
      <c r="K4087" t="inlineStr">
        <is>
          <t>On Time</t>
        </is>
      </c>
      <c r="L4087" t="n">
        <v>5</v>
      </c>
      <c r="M4087">
        <f>VLOOKUP(D4087,State_Lookup!$A$2:$B$28,2,FALSE)</f>
        <v/>
      </c>
    </row>
    <row r="4088">
      <c r="A4088" t="inlineStr">
        <is>
          <t>c046779e1ef14c11e325b9b9a46d610d</t>
        </is>
      </c>
      <c r="B4088" t="inlineStr">
        <is>
          <t>2018-06-05</t>
        </is>
      </c>
      <c r="C4088" t="inlineStr">
        <is>
          <t>2018-06</t>
        </is>
      </c>
      <c r="D4088" t="inlineStr">
        <is>
          <t>SP</t>
        </is>
      </c>
      <c r="E4088" t="inlineStr">
        <is>
          <t>perfumery</t>
        </is>
      </c>
      <c r="F4088" t="n">
        <v>1</v>
      </c>
      <c r="G4088" t="n">
        <v>19.9</v>
      </c>
      <c r="H4088" t="n">
        <v>7.39</v>
      </c>
      <c r="I4088" t="inlineStr">
        <is>
          <t>boleto</t>
        </is>
      </c>
      <c r="J4088" t="n">
        <v>4</v>
      </c>
      <c r="K4088" t="inlineStr">
        <is>
          <t>On Time</t>
        </is>
      </c>
      <c r="L4088" t="n">
        <v>3</v>
      </c>
      <c r="M4088">
        <f>VLOOKUP(D4088,State_Lookup!$A$2:$B$28,2,FALSE)</f>
        <v/>
      </c>
    </row>
    <row r="4089">
      <c r="A4089" t="inlineStr">
        <is>
          <t>0e6844f9954c0a475641b6490c3f9739</t>
        </is>
      </c>
      <c r="B4089" t="inlineStr">
        <is>
          <t>2018-06-05</t>
        </is>
      </c>
      <c r="C4089" t="inlineStr">
        <is>
          <t>2018-06</t>
        </is>
      </c>
      <c r="D4089" t="inlineStr">
        <is>
          <t>SP</t>
        </is>
      </c>
      <c r="E4089" t="inlineStr">
        <is>
          <t>bed_bath_table</t>
        </is>
      </c>
      <c r="F4089" t="n">
        <v>4</v>
      </c>
      <c r="G4089" t="n">
        <v>239.6</v>
      </c>
      <c r="H4089" t="n">
        <v>77.56</v>
      </c>
      <c r="I4089" t="inlineStr">
        <is>
          <t>debit_card</t>
        </is>
      </c>
      <c r="J4089" t="n">
        <v>7</v>
      </c>
      <c r="K4089" t="inlineStr">
        <is>
          <t>On Time</t>
        </is>
      </c>
      <c r="L4089" t="n">
        <v>1</v>
      </c>
      <c r="M4089">
        <f>VLOOKUP(D4089,State_Lookup!$A$2:$B$28,2,FALSE)</f>
        <v/>
      </c>
    </row>
    <row r="4090">
      <c r="A4090" t="inlineStr">
        <is>
          <t>90e0d38d1d5842547ebd5cb95069c1f7</t>
        </is>
      </c>
      <c r="B4090" t="inlineStr">
        <is>
          <t>2018-06-05</t>
        </is>
      </c>
      <c r="C4090" t="inlineStr">
        <is>
          <t>2018-06</t>
        </is>
      </c>
      <c r="D4090" t="inlineStr">
        <is>
          <t>SP</t>
        </is>
      </c>
      <c r="E4090" t="inlineStr">
        <is>
          <t>stationery</t>
        </is>
      </c>
      <c r="F4090" t="n">
        <v>1</v>
      </c>
      <c r="G4090" t="n">
        <v>8.699999999999999</v>
      </c>
      <c r="H4090" t="n">
        <v>7.39</v>
      </c>
      <c r="I4090" t="inlineStr">
        <is>
          <t>credit_card</t>
        </is>
      </c>
      <c r="J4090" t="n">
        <v>6</v>
      </c>
      <c r="K4090" t="inlineStr">
        <is>
          <t>On Time</t>
        </is>
      </c>
      <c r="L4090" t="n">
        <v>5</v>
      </c>
      <c r="M4090">
        <f>VLOOKUP(D4090,State_Lookup!$A$2:$B$28,2,FALSE)</f>
        <v/>
      </c>
    </row>
    <row r="4091">
      <c r="A4091" t="inlineStr">
        <is>
          <t>6333046a213dd2a7a2fa8909a8111bfb</t>
        </is>
      </c>
      <c r="B4091" t="inlineStr">
        <is>
          <t>2018-06-05</t>
        </is>
      </c>
      <c r="C4091" t="inlineStr">
        <is>
          <t>2018-06</t>
        </is>
      </c>
      <c r="D4091" t="inlineStr">
        <is>
          <t>PE</t>
        </is>
      </c>
      <c r="E4091" t="inlineStr">
        <is>
          <t>baby</t>
        </is>
      </c>
      <c r="F4091" t="n">
        <v>1</v>
      </c>
      <c r="G4091" t="n">
        <v>134.9</v>
      </c>
      <c r="H4091" t="n">
        <v>38.99</v>
      </c>
      <c r="I4091" t="inlineStr">
        <is>
          <t>credit_card</t>
        </is>
      </c>
      <c r="J4091" t="n">
        <v>15</v>
      </c>
      <c r="K4091" t="inlineStr">
        <is>
          <t>On Time</t>
        </is>
      </c>
      <c r="L4091" t="n">
        <v>5</v>
      </c>
      <c r="M4091">
        <f>VLOOKUP(D4091,State_Lookup!$A$2:$B$28,2,FALSE)</f>
        <v/>
      </c>
    </row>
    <row r="4092">
      <c r="A4092" t="inlineStr">
        <is>
          <t>1a73487544d0b9f2ae19eaf22e3c7462</t>
        </is>
      </c>
      <c r="B4092" t="inlineStr">
        <is>
          <t>2018-06-05</t>
        </is>
      </c>
      <c r="C4092" t="inlineStr">
        <is>
          <t>2018-06</t>
        </is>
      </c>
      <c r="D4092" t="inlineStr">
        <is>
          <t>BA</t>
        </is>
      </c>
      <c r="E4092" t="inlineStr">
        <is>
          <t>sports_leisure</t>
        </is>
      </c>
      <c r="F4092" t="n">
        <v>1</v>
      </c>
      <c r="G4092" t="n">
        <v>55</v>
      </c>
      <c r="H4092" t="n">
        <v>27.12</v>
      </c>
      <c r="I4092" t="inlineStr">
        <is>
          <t>boleto</t>
        </is>
      </c>
      <c r="J4092" t="n">
        <v>28</v>
      </c>
      <c r="K4092" t="inlineStr">
        <is>
          <t>On Time</t>
        </is>
      </c>
      <c r="L4092" t="n">
        <v>5</v>
      </c>
      <c r="M4092">
        <f>VLOOKUP(D4092,State_Lookup!$A$2:$B$28,2,FALSE)</f>
        <v/>
      </c>
    </row>
    <row r="4093">
      <c r="A4093" t="inlineStr">
        <is>
          <t>c2baa2c68f42b3980566cf7f366fcd5b</t>
        </is>
      </c>
      <c r="B4093" t="inlineStr">
        <is>
          <t>2018-06-05</t>
        </is>
      </c>
      <c r="C4093" t="inlineStr">
        <is>
          <t>2018-06</t>
        </is>
      </c>
      <c r="D4093" t="inlineStr">
        <is>
          <t>MG</t>
        </is>
      </c>
      <c r="E4093" t="inlineStr">
        <is>
          <t>fashion_bags_accessories</t>
        </is>
      </c>
      <c r="F4093" t="n">
        <v>1</v>
      </c>
      <c r="G4093" t="n">
        <v>34.99</v>
      </c>
      <c r="H4093" t="n">
        <v>15.23</v>
      </c>
      <c r="I4093" t="inlineStr">
        <is>
          <t>credit_card</t>
        </is>
      </c>
      <c r="J4093" t="n">
        <v>9</v>
      </c>
      <c r="K4093" t="inlineStr">
        <is>
          <t>On Time</t>
        </is>
      </c>
      <c r="L4093" t="n">
        <v>5</v>
      </c>
      <c r="M4093">
        <f>VLOOKUP(D4093,State_Lookup!$A$2:$B$28,2,FALSE)</f>
        <v/>
      </c>
    </row>
    <row r="4094">
      <c r="A4094" t="inlineStr">
        <is>
          <t>507a6db9c4fdc782cddab2d468782a97</t>
        </is>
      </c>
      <c r="B4094" t="inlineStr">
        <is>
          <t>2018-06-05</t>
        </is>
      </c>
      <c r="C4094" t="inlineStr">
        <is>
          <t>2018-06</t>
        </is>
      </c>
      <c r="D4094" t="inlineStr">
        <is>
          <t>RJ</t>
        </is>
      </c>
      <c r="E4094" t="inlineStr">
        <is>
          <t>bed_bath_table</t>
        </is>
      </c>
      <c r="F4094" t="n">
        <v>1</v>
      </c>
      <c r="G4094" t="n">
        <v>56.99</v>
      </c>
      <c r="H4094" t="n">
        <v>19.37</v>
      </c>
      <c r="I4094" t="inlineStr">
        <is>
          <t>credit_card</t>
        </is>
      </c>
      <c r="J4094" t="n">
        <v>56</v>
      </c>
      <c r="K4094" t="inlineStr">
        <is>
          <t>Late</t>
        </is>
      </c>
      <c r="L4094" t="n">
        <v>1</v>
      </c>
      <c r="M4094">
        <f>VLOOKUP(D4094,State_Lookup!$A$2:$B$28,2,FALSE)</f>
        <v/>
      </c>
    </row>
    <row r="4095">
      <c r="A4095" t="inlineStr">
        <is>
          <t>a44bccae654f637781e1918da79f4fd2</t>
        </is>
      </c>
      <c r="B4095" t="inlineStr">
        <is>
          <t>2018-06-06</t>
        </is>
      </c>
      <c r="C4095" t="inlineStr">
        <is>
          <t>2018-06</t>
        </is>
      </c>
      <c r="D4095" t="inlineStr">
        <is>
          <t>RJ</t>
        </is>
      </c>
      <c r="E4095" t="inlineStr">
        <is>
          <t>bed_bath_table</t>
        </is>
      </c>
      <c r="F4095" t="n">
        <v>1</v>
      </c>
      <c r="G4095" t="n">
        <v>119.9</v>
      </c>
      <c r="H4095" t="n">
        <v>40.91</v>
      </c>
      <c r="I4095" t="inlineStr">
        <is>
          <t>credit_card</t>
        </is>
      </c>
      <c r="J4095" t="n">
        <v>14</v>
      </c>
      <c r="K4095" t="inlineStr">
        <is>
          <t>On Time</t>
        </is>
      </c>
      <c r="L4095" t="n">
        <v>5</v>
      </c>
      <c r="M4095">
        <f>VLOOKUP(D4095,State_Lookup!$A$2:$B$28,2,FALSE)</f>
        <v/>
      </c>
    </row>
    <row r="4096">
      <c r="A4096" t="inlineStr">
        <is>
          <t>3eaa38ceecb7aa8a13c72b571236041d</t>
        </is>
      </c>
      <c r="B4096" t="inlineStr">
        <is>
          <t>2018-06-06</t>
        </is>
      </c>
      <c r="C4096" t="inlineStr">
        <is>
          <t>2018-06</t>
        </is>
      </c>
      <c r="D4096" t="inlineStr">
        <is>
          <t>GO</t>
        </is>
      </c>
      <c r="E4096" t="inlineStr">
        <is>
          <t>baby</t>
        </is>
      </c>
      <c r="F4096" t="n">
        <v>1</v>
      </c>
      <c r="G4096" t="n">
        <v>67.98999999999999</v>
      </c>
      <c r="H4096" t="n">
        <v>16.45</v>
      </c>
      <c r="I4096" t="inlineStr">
        <is>
          <t>credit_card</t>
        </is>
      </c>
      <c r="J4096" t="n">
        <v>11</v>
      </c>
      <c r="K4096" t="inlineStr">
        <is>
          <t>On Time</t>
        </is>
      </c>
      <c r="L4096" t="n">
        <v>5</v>
      </c>
      <c r="M4096">
        <f>VLOOKUP(D4096,State_Lookup!$A$2:$B$28,2,FALSE)</f>
        <v/>
      </c>
    </row>
    <row r="4097">
      <c r="A4097" t="inlineStr">
        <is>
          <t>859b8b69ff63d94b4c45df72adb387b2</t>
        </is>
      </c>
      <c r="B4097" t="inlineStr">
        <is>
          <t>2018-06-06</t>
        </is>
      </c>
      <c r="C4097" t="inlineStr">
        <is>
          <t>2018-06</t>
        </is>
      </c>
      <c r="D4097" t="inlineStr">
        <is>
          <t>RJ</t>
        </is>
      </c>
      <c r="E4097" t="inlineStr">
        <is>
          <t>bed_bath_table</t>
        </is>
      </c>
      <c r="F4097" t="n">
        <v>1</v>
      </c>
      <c r="G4097" t="n">
        <v>199.9</v>
      </c>
      <c r="H4097" t="n">
        <v>27.48</v>
      </c>
      <c r="I4097" t="inlineStr">
        <is>
          <t>boleto</t>
        </is>
      </c>
      <c r="J4097" t="n">
        <v>9</v>
      </c>
      <c r="K4097" t="inlineStr">
        <is>
          <t>On Time</t>
        </is>
      </c>
      <c r="L4097" t="n">
        <v>4</v>
      </c>
      <c r="M4097">
        <f>VLOOKUP(D4097,State_Lookup!$A$2:$B$28,2,FALSE)</f>
        <v/>
      </c>
    </row>
    <row r="4098">
      <c r="A4098" t="inlineStr">
        <is>
          <t>6f61cfff949f6d2569a44327aaaca639</t>
        </is>
      </c>
      <c r="B4098" t="inlineStr">
        <is>
          <t>2018-06-06</t>
        </is>
      </c>
      <c r="C4098" t="inlineStr">
        <is>
          <t>2018-06</t>
        </is>
      </c>
      <c r="D4098" t="inlineStr">
        <is>
          <t>RJ</t>
        </is>
      </c>
      <c r="E4098" t="inlineStr">
        <is>
          <t>watches_gifts</t>
        </is>
      </c>
      <c r="F4098" t="n">
        <v>1</v>
      </c>
      <c r="G4098" t="n">
        <v>105</v>
      </c>
      <c r="H4098" t="n">
        <v>9.27</v>
      </c>
      <c r="I4098" t="inlineStr">
        <is>
          <t>boleto</t>
        </is>
      </c>
      <c r="J4098" t="n">
        <v>13</v>
      </c>
      <c r="K4098" t="inlineStr">
        <is>
          <t>On Time</t>
        </is>
      </c>
      <c r="L4098" t="n">
        <v>3</v>
      </c>
      <c r="M4098">
        <f>VLOOKUP(D4098,State_Lookup!$A$2:$B$28,2,FALSE)</f>
        <v/>
      </c>
    </row>
    <row r="4099">
      <c r="A4099" t="inlineStr">
        <is>
          <t>f8433ba8190dc8137e3409d466cf90ef</t>
        </is>
      </c>
      <c r="B4099" t="inlineStr">
        <is>
          <t>2018-06-06</t>
        </is>
      </c>
      <c r="C4099" t="inlineStr">
        <is>
          <t>2018-06</t>
        </is>
      </c>
      <c r="D4099" t="inlineStr">
        <is>
          <t>MG</t>
        </is>
      </c>
      <c r="E4099" t="inlineStr">
        <is>
          <t>baby</t>
        </is>
      </c>
      <c r="F4099" t="n">
        <v>1</v>
      </c>
      <c r="G4099" t="n">
        <v>36.75</v>
      </c>
      <c r="H4099" t="n">
        <v>18.23</v>
      </c>
      <c r="I4099" t="inlineStr">
        <is>
          <t>credit_card</t>
        </is>
      </c>
      <c r="J4099" t="n">
        <v>7</v>
      </c>
      <c r="K4099" t="inlineStr">
        <is>
          <t>On Time</t>
        </is>
      </c>
      <c r="L4099" t="n">
        <v>4</v>
      </c>
      <c r="M4099">
        <f>VLOOKUP(D4099,State_Lookup!$A$2:$B$28,2,FALSE)</f>
        <v/>
      </c>
    </row>
    <row r="4100">
      <c r="A4100" t="inlineStr">
        <is>
          <t>38776c227318fc6906defc2d197cb17a</t>
        </is>
      </c>
      <c r="B4100" t="inlineStr">
        <is>
          <t>2018-06-06</t>
        </is>
      </c>
      <c r="C4100" t="inlineStr">
        <is>
          <t>2018-06</t>
        </is>
      </c>
      <c r="D4100" t="inlineStr">
        <is>
          <t>SP</t>
        </is>
      </c>
      <c r="E4100" t="inlineStr">
        <is>
          <t>books_technical</t>
        </is>
      </c>
      <c r="F4100" t="n">
        <v>1</v>
      </c>
      <c r="G4100" t="n">
        <v>14.95</v>
      </c>
      <c r="H4100" t="n">
        <v>8.289999999999999</v>
      </c>
      <c r="I4100" t="inlineStr">
        <is>
          <t>credit_card</t>
        </is>
      </c>
      <c r="J4100" t="n">
        <v>5</v>
      </c>
      <c r="K4100" t="inlineStr">
        <is>
          <t>On Time</t>
        </is>
      </c>
      <c r="L4100" t="n">
        <v>5</v>
      </c>
      <c r="M4100">
        <f>VLOOKUP(D4100,State_Lookup!$A$2:$B$28,2,FALSE)</f>
        <v/>
      </c>
    </row>
    <row r="4101">
      <c r="A4101" t="inlineStr">
        <is>
          <t>dd254408dc9d63326b2028c5ffe9e23b</t>
        </is>
      </c>
      <c r="B4101" t="inlineStr">
        <is>
          <t>2018-06-06</t>
        </is>
      </c>
      <c r="C4101" t="inlineStr">
        <is>
          <t>2018-06</t>
        </is>
      </c>
      <c r="D4101" t="inlineStr">
        <is>
          <t>RJ</t>
        </is>
      </c>
      <c r="E4101" t="inlineStr">
        <is>
          <t>housewares</t>
        </is>
      </c>
      <c r="F4101" t="n">
        <v>1</v>
      </c>
      <c r="G4101" t="n">
        <v>22.9</v>
      </c>
      <c r="H4101" t="n">
        <v>13.34</v>
      </c>
      <c r="I4101" t="inlineStr">
        <is>
          <t>boleto</t>
        </is>
      </c>
      <c r="J4101" t="n">
        <v>13</v>
      </c>
      <c r="K4101" t="inlineStr">
        <is>
          <t>On Time</t>
        </is>
      </c>
      <c r="L4101" t="n">
        <v>3</v>
      </c>
      <c r="M4101">
        <f>VLOOKUP(D4101,State_Lookup!$A$2:$B$28,2,FALSE)</f>
        <v/>
      </c>
    </row>
    <row r="4102">
      <c r="A4102" t="inlineStr">
        <is>
          <t>55d273b56003b6897fad01895ef4f482</t>
        </is>
      </c>
      <c r="B4102" t="inlineStr">
        <is>
          <t>2018-06-06</t>
        </is>
      </c>
      <c r="C4102" t="inlineStr">
        <is>
          <t>2018-06</t>
        </is>
      </c>
      <c r="D4102" t="inlineStr">
        <is>
          <t>RJ</t>
        </is>
      </c>
      <c r="E4102" t="inlineStr">
        <is>
          <t>watches_gifts</t>
        </is>
      </c>
      <c r="F4102" t="n">
        <v>1</v>
      </c>
      <c r="G4102" t="n">
        <v>95</v>
      </c>
      <c r="H4102" t="n">
        <v>15.55</v>
      </c>
      <c r="I4102" t="inlineStr">
        <is>
          <t>credit_card</t>
        </is>
      </c>
      <c r="J4102" t="n">
        <v>5</v>
      </c>
      <c r="K4102" t="inlineStr">
        <is>
          <t>On Time</t>
        </is>
      </c>
      <c r="L4102" t="n">
        <v>4</v>
      </c>
      <c r="M4102">
        <f>VLOOKUP(D4102,State_Lookup!$A$2:$B$28,2,FALSE)</f>
        <v/>
      </c>
    </row>
    <row r="4103">
      <c r="A4103" t="inlineStr">
        <is>
          <t>87afd3fd1ec1b984a228c772b5dd2a4c</t>
        </is>
      </c>
      <c r="B4103" t="inlineStr">
        <is>
          <t>2018-06-06</t>
        </is>
      </c>
      <c r="C4103" t="inlineStr">
        <is>
          <t>2018-06</t>
        </is>
      </c>
      <c r="D4103" t="inlineStr">
        <is>
          <t>PR</t>
        </is>
      </c>
      <c r="E4103" t="inlineStr">
        <is>
          <t>watches_gifts</t>
        </is>
      </c>
      <c r="F4103" t="n">
        <v>1</v>
      </c>
      <c r="G4103" t="n">
        <v>78</v>
      </c>
      <c r="H4103" t="n">
        <v>18.43</v>
      </c>
      <c r="I4103" t="inlineStr">
        <is>
          <t>credit_card</t>
        </is>
      </c>
      <c r="J4103" t="n">
        <v>6</v>
      </c>
      <c r="K4103" t="inlineStr">
        <is>
          <t>On Time</t>
        </is>
      </c>
      <c r="L4103" t="n">
        <v>4</v>
      </c>
      <c r="M4103">
        <f>VLOOKUP(D4103,State_Lookup!$A$2:$B$28,2,FALSE)</f>
        <v/>
      </c>
    </row>
    <row r="4104">
      <c r="A4104" t="inlineStr">
        <is>
          <t>80e3ea9d65b89f8cbaa3d1f08f5dbd17</t>
        </is>
      </c>
      <c r="B4104" t="inlineStr">
        <is>
          <t>2018-06-06</t>
        </is>
      </c>
      <c r="C4104" t="inlineStr">
        <is>
          <t>2018-06</t>
        </is>
      </c>
      <c r="D4104" t="inlineStr">
        <is>
          <t>RJ</t>
        </is>
      </c>
      <c r="E4104" t="inlineStr">
        <is>
          <t>bed_bath_table</t>
        </is>
      </c>
      <c r="F4104" t="n">
        <v>1</v>
      </c>
      <c r="G4104" t="n">
        <v>89.90000000000001</v>
      </c>
      <c r="H4104" t="n">
        <v>23.21</v>
      </c>
      <c r="I4104" t="inlineStr">
        <is>
          <t>credit_card</t>
        </is>
      </c>
      <c r="J4104" t="n">
        <v>13</v>
      </c>
      <c r="K4104" t="inlineStr">
        <is>
          <t>On Time</t>
        </is>
      </c>
      <c r="L4104" t="n">
        <v>4</v>
      </c>
      <c r="M4104">
        <f>VLOOKUP(D4104,State_Lookup!$A$2:$B$28,2,FALSE)</f>
        <v/>
      </c>
    </row>
    <row r="4105">
      <c r="A4105" t="inlineStr">
        <is>
          <t>605b6e2919387ca3cd0480e7d420320f</t>
        </is>
      </c>
      <c r="B4105" t="inlineStr">
        <is>
          <t>2018-06-06</t>
        </is>
      </c>
      <c r="C4105" t="inlineStr">
        <is>
          <t>2018-06</t>
        </is>
      </c>
      <c r="D4105" t="inlineStr">
        <is>
          <t>DF</t>
        </is>
      </c>
      <c r="E4105" t="inlineStr">
        <is>
          <t>toys</t>
        </is>
      </c>
      <c r="F4105" t="n">
        <v>1</v>
      </c>
      <c r="G4105" t="n">
        <v>29.9</v>
      </c>
      <c r="H4105" t="n">
        <v>15.23</v>
      </c>
      <c r="I4105" t="inlineStr">
        <is>
          <t>credit_card</t>
        </is>
      </c>
      <c r="J4105" t="n">
        <v>5</v>
      </c>
      <c r="K4105" t="inlineStr">
        <is>
          <t>On Time</t>
        </is>
      </c>
      <c r="L4105" t="n">
        <v>5</v>
      </c>
      <c r="M4105">
        <f>VLOOKUP(D4105,State_Lookup!$A$2:$B$28,2,FALSE)</f>
        <v/>
      </c>
    </row>
    <row r="4106">
      <c r="A4106" t="inlineStr">
        <is>
          <t>92ba7c89244ceee45a169b86da9fcada</t>
        </is>
      </c>
      <c r="B4106" t="inlineStr">
        <is>
          <t>2018-06-06</t>
        </is>
      </c>
      <c r="C4106" t="inlineStr">
        <is>
          <t>2018-06</t>
        </is>
      </c>
      <c r="D4106" t="inlineStr">
        <is>
          <t>MG</t>
        </is>
      </c>
      <c r="E4106" t="inlineStr">
        <is>
          <t>stationery</t>
        </is>
      </c>
      <c r="F4106" t="n">
        <v>1</v>
      </c>
      <c r="G4106" t="n">
        <v>79.90000000000001</v>
      </c>
      <c r="H4106" t="n">
        <v>16.53</v>
      </c>
      <c r="I4106" t="inlineStr">
        <is>
          <t>credit_card</t>
        </is>
      </c>
      <c r="J4106" t="n">
        <v>5</v>
      </c>
      <c r="K4106" t="inlineStr">
        <is>
          <t>On Time</t>
        </is>
      </c>
      <c r="L4106" t="n">
        <v>5</v>
      </c>
      <c r="M4106">
        <f>VLOOKUP(D4106,State_Lookup!$A$2:$B$28,2,FALSE)</f>
        <v/>
      </c>
    </row>
    <row r="4107">
      <c r="A4107" t="inlineStr">
        <is>
          <t>3dbe9476def7eceba5ab2cab07ac948e</t>
        </is>
      </c>
      <c r="B4107" t="inlineStr">
        <is>
          <t>2018-06-06</t>
        </is>
      </c>
      <c r="C4107" t="inlineStr">
        <is>
          <t>2018-06</t>
        </is>
      </c>
      <c r="D4107" t="inlineStr">
        <is>
          <t>SP</t>
        </is>
      </c>
      <c r="E4107" t="inlineStr">
        <is>
          <t>luggage_accessories</t>
        </is>
      </c>
      <c r="F4107" t="n">
        <v>1</v>
      </c>
      <c r="G4107" t="n">
        <v>39.99</v>
      </c>
      <c r="H4107" t="n">
        <v>7.71</v>
      </c>
      <c r="I4107" t="inlineStr">
        <is>
          <t>credit_card</t>
        </is>
      </c>
      <c r="J4107" t="n">
        <v>2</v>
      </c>
      <c r="K4107" t="inlineStr">
        <is>
          <t>On Time</t>
        </is>
      </c>
      <c r="L4107" t="n">
        <v>5</v>
      </c>
      <c r="M4107">
        <f>VLOOKUP(D4107,State_Lookup!$A$2:$B$28,2,FALSE)</f>
        <v/>
      </c>
    </row>
    <row r="4108">
      <c r="A4108" t="inlineStr">
        <is>
          <t>8d73d05fe1d2142179985e04712e8485</t>
        </is>
      </c>
      <c r="B4108" t="inlineStr">
        <is>
          <t>2018-06-06</t>
        </is>
      </c>
      <c r="C4108" t="inlineStr">
        <is>
          <t>2018-06</t>
        </is>
      </c>
      <c r="D4108" t="inlineStr">
        <is>
          <t>PI</t>
        </is>
      </c>
      <c r="E4108" t="inlineStr">
        <is>
          <t>health_beauty</t>
        </is>
      </c>
      <c r="F4108" t="n">
        <v>1</v>
      </c>
      <c r="G4108" t="n">
        <v>110.32</v>
      </c>
      <c r="H4108" t="n">
        <v>23.27</v>
      </c>
      <c r="I4108" t="inlineStr">
        <is>
          <t>credit_card</t>
        </is>
      </c>
      <c r="J4108" t="n">
        <v>51</v>
      </c>
      <c r="K4108" t="inlineStr">
        <is>
          <t>Late</t>
        </is>
      </c>
      <c r="L4108" t="n">
        <v>1</v>
      </c>
      <c r="M4108">
        <f>VLOOKUP(D4108,State_Lookup!$A$2:$B$28,2,FALSE)</f>
        <v/>
      </c>
    </row>
    <row r="4109">
      <c r="A4109" t="inlineStr">
        <is>
          <t>5ef687909733df8914b4723111ceb1a2</t>
        </is>
      </c>
      <c r="B4109" t="inlineStr">
        <is>
          <t>2018-06-06</t>
        </is>
      </c>
      <c r="C4109" t="inlineStr">
        <is>
          <t>2018-06</t>
        </is>
      </c>
      <c r="D4109" t="inlineStr">
        <is>
          <t>SP</t>
        </is>
      </c>
      <c r="E4109" t="inlineStr">
        <is>
          <t>unknown</t>
        </is>
      </c>
      <c r="F4109" t="n">
        <v>1</v>
      </c>
      <c r="G4109" t="n">
        <v>86</v>
      </c>
      <c r="H4109" t="n">
        <v>8.9</v>
      </c>
      <c r="I4109" t="inlineStr">
        <is>
          <t>credit_card</t>
        </is>
      </c>
      <c r="J4109" t="n">
        <v>4</v>
      </c>
      <c r="K4109" t="inlineStr">
        <is>
          <t>On Time</t>
        </is>
      </c>
      <c r="L4109" t="n">
        <v>5</v>
      </c>
      <c r="M4109">
        <f>VLOOKUP(D4109,State_Lookup!$A$2:$B$28,2,FALSE)</f>
        <v/>
      </c>
    </row>
    <row r="4110">
      <c r="A4110" t="inlineStr">
        <is>
          <t>ac5cedb0f5d816dd6ac33929fcfd1f00</t>
        </is>
      </c>
      <c r="B4110" t="inlineStr">
        <is>
          <t>2018-06-07</t>
        </is>
      </c>
      <c r="C4110" t="inlineStr">
        <is>
          <t>2018-06</t>
        </is>
      </c>
      <c r="D4110" t="inlineStr">
        <is>
          <t>MS</t>
        </is>
      </c>
      <c r="E4110" t="inlineStr">
        <is>
          <t>health_beauty</t>
        </is>
      </c>
      <c r="F4110" t="n">
        <v>1</v>
      </c>
      <c r="G4110" t="n">
        <v>66.98999999999999</v>
      </c>
      <c r="H4110" t="n">
        <v>60.53</v>
      </c>
      <c r="I4110" t="inlineStr">
        <is>
          <t>boleto</t>
        </is>
      </c>
      <c r="J4110" t="n">
        <v>12</v>
      </c>
      <c r="K4110" t="inlineStr">
        <is>
          <t>On Time</t>
        </is>
      </c>
      <c r="L4110" t="n">
        <v>5</v>
      </c>
      <c r="M4110">
        <f>VLOOKUP(D4110,State_Lookup!$A$2:$B$28,2,FALSE)</f>
        <v/>
      </c>
    </row>
    <row r="4111">
      <c r="A4111" t="inlineStr">
        <is>
          <t>d931b40ce94a288787de6e568f9a76b3</t>
        </is>
      </c>
      <c r="B4111" t="inlineStr">
        <is>
          <t>2018-06-07</t>
        </is>
      </c>
      <c r="C4111" t="inlineStr">
        <is>
          <t>2018-06</t>
        </is>
      </c>
      <c r="D4111" t="inlineStr">
        <is>
          <t>PE</t>
        </is>
      </c>
      <c r="E4111" t="inlineStr">
        <is>
          <t>bed_bath_table</t>
        </is>
      </c>
      <c r="F4111" t="n">
        <v>1</v>
      </c>
      <c r="G4111" t="n">
        <v>52.9</v>
      </c>
      <c r="H4111" t="n">
        <v>42.43</v>
      </c>
      <c r="I4111" t="inlineStr">
        <is>
          <t>credit_card</t>
        </is>
      </c>
      <c r="J4111" t="n">
        <v>18</v>
      </c>
      <c r="K4111" t="inlineStr">
        <is>
          <t>On Time</t>
        </is>
      </c>
      <c r="L4111" t="n">
        <v>4</v>
      </c>
      <c r="M4111">
        <f>VLOOKUP(D4111,State_Lookup!$A$2:$B$28,2,FALSE)</f>
        <v/>
      </c>
    </row>
    <row r="4112">
      <c r="A4112" t="inlineStr">
        <is>
          <t>2f1134015ad299ec4f3ae950c5761e69</t>
        </is>
      </c>
      <c r="B4112" t="inlineStr">
        <is>
          <t>2018-06-07</t>
        </is>
      </c>
      <c r="C4112" t="inlineStr">
        <is>
          <t>2018-06</t>
        </is>
      </c>
      <c r="D4112" t="inlineStr">
        <is>
          <t>SP</t>
        </is>
      </c>
      <c r="E4112" t="inlineStr">
        <is>
          <t>bed_bath_table</t>
        </is>
      </c>
      <c r="F4112" t="n">
        <v>2</v>
      </c>
      <c r="G4112" t="n">
        <v>164.8</v>
      </c>
      <c r="H4112" t="n">
        <v>29.33</v>
      </c>
      <c r="I4112" t="inlineStr">
        <is>
          <t>credit_card</t>
        </is>
      </c>
      <c r="J4112" t="n">
        <v>7</v>
      </c>
      <c r="K4112" t="inlineStr">
        <is>
          <t>On Time</t>
        </is>
      </c>
      <c r="L4112" t="n">
        <v>1</v>
      </c>
      <c r="M4112">
        <f>VLOOKUP(D4112,State_Lookup!$A$2:$B$28,2,FALSE)</f>
        <v/>
      </c>
    </row>
    <row r="4113">
      <c r="A4113" t="inlineStr">
        <is>
          <t>cd9a4a2f34981d431266156f950ce0ef</t>
        </is>
      </c>
      <c r="B4113" t="inlineStr">
        <is>
          <t>2018-06-07</t>
        </is>
      </c>
      <c r="C4113" t="inlineStr">
        <is>
          <t>2018-06</t>
        </is>
      </c>
      <c r="D4113" t="inlineStr">
        <is>
          <t>PE</t>
        </is>
      </c>
      <c r="E4113" t="inlineStr">
        <is>
          <t>sports_leisure</t>
        </is>
      </c>
      <c r="F4113" t="n">
        <v>1</v>
      </c>
      <c r="G4113" t="n">
        <v>65.90000000000001</v>
      </c>
      <c r="H4113" t="n">
        <v>22.96</v>
      </c>
      <c r="I4113" t="inlineStr">
        <is>
          <t>credit_card</t>
        </is>
      </c>
      <c r="J4113" t="n">
        <v>20</v>
      </c>
      <c r="K4113" t="inlineStr">
        <is>
          <t>On Time</t>
        </is>
      </c>
      <c r="L4113" t="n">
        <v>5</v>
      </c>
      <c r="M4113">
        <f>VLOOKUP(D4113,State_Lookup!$A$2:$B$28,2,FALSE)</f>
        <v/>
      </c>
    </row>
    <row r="4114">
      <c r="A4114" t="inlineStr">
        <is>
          <t>8881dc280b8de23e6913aaee6bf61bb5</t>
        </is>
      </c>
      <c r="B4114" t="inlineStr">
        <is>
          <t>2018-06-07</t>
        </is>
      </c>
      <c r="C4114" t="inlineStr">
        <is>
          <t>2018-06</t>
        </is>
      </c>
      <c r="D4114" t="inlineStr">
        <is>
          <t>PR</t>
        </is>
      </c>
      <c r="E4114" t="inlineStr">
        <is>
          <t>computers_accessories</t>
        </is>
      </c>
      <c r="F4114" t="n">
        <v>1</v>
      </c>
      <c r="G4114" t="n">
        <v>109.99</v>
      </c>
      <c r="H4114" t="n">
        <v>63.92</v>
      </c>
      <c r="I4114" t="inlineStr">
        <is>
          <t>credit_card</t>
        </is>
      </c>
      <c r="J4114" t="n">
        <v>8</v>
      </c>
      <c r="K4114" t="inlineStr">
        <is>
          <t>On Time</t>
        </is>
      </c>
      <c r="L4114" t="n">
        <v>5</v>
      </c>
      <c r="M4114">
        <f>VLOOKUP(D4114,State_Lookup!$A$2:$B$28,2,FALSE)</f>
        <v/>
      </c>
    </row>
    <row r="4115">
      <c r="A4115" t="inlineStr">
        <is>
          <t>0eeaf3619d35e90b2430da57d351dd01</t>
        </is>
      </c>
      <c r="B4115" t="inlineStr">
        <is>
          <t>2018-06-07</t>
        </is>
      </c>
      <c r="C4115" t="inlineStr">
        <is>
          <t>2018-06</t>
        </is>
      </c>
      <c r="D4115" t="inlineStr">
        <is>
          <t>SP</t>
        </is>
      </c>
      <c r="E4115" t="inlineStr">
        <is>
          <t>bed_bath_table</t>
        </is>
      </c>
      <c r="F4115" t="n">
        <v>1</v>
      </c>
      <c r="G4115" t="n">
        <v>129</v>
      </c>
      <c r="H4115" t="n">
        <v>18.78</v>
      </c>
      <c r="I4115" t="inlineStr">
        <is>
          <t>credit_card</t>
        </is>
      </c>
      <c r="J4115" t="n">
        <v>7</v>
      </c>
      <c r="K4115" t="inlineStr">
        <is>
          <t>On Time</t>
        </is>
      </c>
      <c r="L4115" t="n">
        <v>4</v>
      </c>
      <c r="M4115">
        <f>VLOOKUP(D4115,State_Lookup!$A$2:$B$28,2,FALSE)</f>
        <v/>
      </c>
    </row>
    <row r="4116">
      <c r="A4116" t="inlineStr">
        <is>
          <t>73563e5cad2305f7972626384efdd8a1</t>
        </is>
      </c>
      <c r="B4116" t="inlineStr">
        <is>
          <t>2018-06-07</t>
        </is>
      </c>
      <c r="C4116" t="inlineStr">
        <is>
          <t>2018-06</t>
        </is>
      </c>
      <c r="D4116" t="inlineStr">
        <is>
          <t>RJ</t>
        </is>
      </c>
      <c r="E4116" t="inlineStr">
        <is>
          <t>watches_gifts</t>
        </is>
      </c>
      <c r="F4116" t="n">
        <v>1</v>
      </c>
      <c r="G4116" t="n">
        <v>359.9</v>
      </c>
      <c r="H4116" t="n">
        <v>20.4</v>
      </c>
      <c r="I4116" t="inlineStr">
        <is>
          <t>credit_card</t>
        </is>
      </c>
      <c r="J4116" t="n">
        <v>7</v>
      </c>
      <c r="K4116" t="inlineStr">
        <is>
          <t>On Time</t>
        </is>
      </c>
      <c r="L4116" t="n">
        <v>3</v>
      </c>
      <c r="M4116">
        <f>VLOOKUP(D4116,State_Lookup!$A$2:$B$28,2,FALSE)</f>
        <v/>
      </c>
    </row>
    <row r="4117">
      <c r="A4117" t="inlineStr">
        <is>
          <t>87366ca73707125ffa59204926a728cb</t>
        </is>
      </c>
      <c r="B4117" t="inlineStr">
        <is>
          <t>2018-06-07</t>
        </is>
      </c>
      <c r="C4117" t="inlineStr">
        <is>
          <t>2018-06</t>
        </is>
      </c>
      <c r="D4117" t="inlineStr">
        <is>
          <t>SP</t>
        </is>
      </c>
      <c r="E4117" t="inlineStr">
        <is>
          <t>bed_bath_table</t>
        </is>
      </c>
      <c r="F4117" t="n">
        <v>1</v>
      </c>
      <c r="G4117" t="n">
        <v>51.99</v>
      </c>
      <c r="H4117" t="n">
        <v>8.880000000000001</v>
      </c>
      <c r="I4117" t="inlineStr">
        <is>
          <t>credit_card</t>
        </is>
      </c>
      <c r="J4117" t="n">
        <v>1</v>
      </c>
      <c r="K4117" t="inlineStr">
        <is>
          <t>On Time</t>
        </is>
      </c>
      <c r="L4117" t="n">
        <v>5</v>
      </c>
      <c r="M4117">
        <f>VLOOKUP(D4117,State_Lookup!$A$2:$B$28,2,FALSE)</f>
        <v/>
      </c>
    </row>
    <row r="4118">
      <c r="A4118" t="inlineStr">
        <is>
          <t>c79d89949e9c0c15257737ad928cd954</t>
        </is>
      </c>
      <c r="B4118" t="inlineStr">
        <is>
          <t>2018-06-07</t>
        </is>
      </c>
      <c r="C4118" t="inlineStr">
        <is>
          <t>2018-06</t>
        </is>
      </c>
      <c r="D4118" t="inlineStr">
        <is>
          <t>SP</t>
        </is>
      </c>
      <c r="E4118" t="inlineStr">
        <is>
          <t>electronics</t>
        </is>
      </c>
      <c r="F4118" t="n">
        <v>1</v>
      </c>
      <c r="G4118" t="n">
        <v>60.9</v>
      </c>
      <c r="H4118" t="n">
        <v>11.15</v>
      </c>
      <c r="I4118" t="inlineStr">
        <is>
          <t>boleto</t>
        </is>
      </c>
      <c r="J4118" t="n">
        <v>3</v>
      </c>
      <c r="K4118" t="inlineStr">
        <is>
          <t>On Time</t>
        </is>
      </c>
      <c r="L4118" t="n">
        <v>5</v>
      </c>
      <c r="M4118">
        <f>VLOOKUP(D4118,State_Lookup!$A$2:$B$28,2,FALSE)</f>
        <v/>
      </c>
    </row>
    <row r="4119">
      <c r="A4119" t="inlineStr">
        <is>
          <t>23d4f61b839ef6570d6bc7210be91d8b</t>
        </is>
      </c>
      <c r="B4119" t="inlineStr">
        <is>
          <t>2018-06-07</t>
        </is>
      </c>
      <c r="C4119" t="inlineStr">
        <is>
          <t>2018-06</t>
        </is>
      </c>
      <c r="D4119" t="inlineStr">
        <is>
          <t>BA</t>
        </is>
      </c>
      <c r="E4119" t="inlineStr">
        <is>
          <t>computers_accessories</t>
        </is>
      </c>
      <c r="F4119" t="n">
        <v>1</v>
      </c>
      <c r="G4119" t="n">
        <v>99.98999999999999</v>
      </c>
      <c r="H4119" t="n">
        <v>7.88</v>
      </c>
      <c r="I4119" t="inlineStr">
        <is>
          <t>credit_card</t>
        </is>
      </c>
      <c r="J4119" t="n">
        <v>14</v>
      </c>
      <c r="K4119" t="inlineStr">
        <is>
          <t>On Time</t>
        </is>
      </c>
      <c r="L4119" t="n">
        <v>2</v>
      </c>
      <c r="M4119">
        <f>VLOOKUP(D4119,State_Lookup!$A$2:$B$28,2,FALSE)</f>
        <v/>
      </c>
    </row>
    <row r="4120">
      <c r="A4120" t="inlineStr">
        <is>
          <t>2536e0f8936553b5d7c7de59d0dc4b0e</t>
        </is>
      </c>
      <c r="B4120" t="inlineStr">
        <is>
          <t>2018-06-08</t>
        </is>
      </c>
      <c r="C4120" t="inlineStr">
        <is>
          <t>2018-06</t>
        </is>
      </c>
      <c r="D4120" t="inlineStr">
        <is>
          <t>RJ</t>
        </is>
      </c>
      <c r="E4120" t="inlineStr">
        <is>
          <t>baby</t>
        </is>
      </c>
      <c r="F4120" t="n">
        <v>1</v>
      </c>
      <c r="G4120" t="n">
        <v>89.98999999999999</v>
      </c>
      <c r="H4120" t="n">
        <v>18.21</v>
      </c>
      <c r="I4120" t="inlineStr">
        <is>
          <t>credit_card</t>
        </is>
      </c>
      <c r="J4120" t="n">
        <v>17</v>
      </c>
      <c r="K4120" t="inlineStr">
        <is>
          <t>On Time</t>
        </is>
      </c>
      <c r="L4120" t="n">
        <v>3</v>
      </c>
      <c r="M4120">
        <f>VLOOKUP(D4120,State_Lookup!$A$2:$B$28,2,FALSE)</f>
        <v/>
      </c>
    </row>
    <row r="4121">
      <c r="A4121" t="inlineStr">
        <is>
          <t>4ec19b697aade053fdce351d848f2a01</t>
        </is>
      </c>
      <c r="B4121" t="inlineStr">
        <is>
          <t>2018-06-08</t>
        </is>
      </c>
      <c r="C4121" t="inlineStr">
        <is>
          <t>2018-06</t>
        </is>
      </c>
      <c r="D4121" t="inlineStr">
        <is>
          <t>SP</t>
        </is>
      </c>
      <c r="E4121" t="inlineStr">
        <is>
          <t>housewares</t>
        </is>
      </c>
      <c r="F4121" t="n">
        <v>1</v>
      </c>
      <c r="G4121" t="n">
        <v>75</v>
      </c>
      <c r="H4121" t="n">
        <v>18.41</v>
      </c>
      <c r="I4121" t="inlineStr">
        <is>
          <t>credit_card</t>
        </is>
      </c>
      <c r="J4121" t="n">
        <v>18</v>
      </c>
      <c r="K4121" t="inlineStr">
        <is>
          <t>On Time</t>
        </is>
      </c>
      <c r="L4121" t="n">
        <v>5</v>
      </c>
      <c r="M4121">
        <f>VLOOKUP(D4121,State_Lookup!$A$2:$B$28,2,FALSE)</f>
        <v/>
      </c>
    </row>
    <row r="4122">
      <c r="A4122" t="inlineStr">
        <is>
          <t>b17d1971fecd03b2f511cbf6cfab681e</t>
        </is>
      </c>
      <c r="B4122" t="inlineStr">
        <is>
          <t>2018-06-08</t>
        </is>
      </c>
      <c r="C4122" t="inlineStr">
        <is>
          <t>2018-06</t>
        </is>
      </c>
      <c r="D4122" t="inlineStr">
        <is>
          <t>SC</t>
        </is>
      </c>
      <c r="E4122" t="inlineStr">
        <is>
          <t>garden_tools</t>
        </is>
      </c>
      <c r="F4122" t="n">
        <v>1</v>
      </c>
      <c r="G4122" t="n">
        <v>174.99</v>
      </c>
      <c r="H4122" t="n">
        <v>23.8</v>
      </c>
      <c r="I4122" t="inlineStr">
        <is>
          <t>credit_card</t>
        </is>
      </c>
      <c r="J4122" t="n">
        <v>21</v>
      </c>
      <c r="K4122" t="inlineStr">
        <is>
          <t>On Time</t>
        </is>
      </c>
      <c r="L4122" t="n">
        <v>4</v>
      </c>
      <c r="M4122">
        <f>VLOOKUP(D4122,State_Lookup!$A$2:$B$28,2,FALSE)</f>
        <v/>
      </c>
    </row>
    <row r="4123">
      <c r="A4123" t="inlineStr">
        <is>
          <t>df7cf69b92e5ffc5ff57038ee4990f00</t>
        </is>
      </c>
      <c r="B4123" t="inlineStr">
        <is>
          <t>2018-06-08</t>
        </is>
      </c>
      <c r="C4123" t="inlineStr">
        <is>
          <t>2018-06</t>
        </is>
      </c>
      <c r="D4123" t="inlineStr">
        <is>
          <t>SP</t>
        </is>
      </c>
      <c r="E4123" t="inlineStr">
        <is>
          <t>electronics</t>
        </is>
      </c>
      <c r="F4123" t="n">
        <v>1</v>
      </c>
      <c r="G4123" t="n">
        <v>11.89</v>
      </c>
      <c r="H4123" t="n">
        <v>17.06</v>
      </c>
      <c r="I4123" t="inlineStr">
        <is>
          <t>boleto</t>
        </is>
      </c>
      <c r="J4123" t="n">
        <v>10</v>
      </c>
      <c r="K4123" t="inlineStr">
        <is>
          <t>On Time</t>
        </is>
      </c>
      <c r="L4123" t="n">
        <v>4</v>
      </c>
      <c r="M4123">
        <f>VLOOKUP(D4123,State_Lookup!$A$2:$B$28,2,FALSE)</f>
        <v/>
      </c>
    </row>
    <row r="4124">
      <c r="A4124" t="inlineStr">
        <is>
          <t>425fcc243ccff35a28b40a54a506487b</t>
        </is>
      </c>
      <c r="B4124" t="inlineStr">
        <is>
          <t>2018-06-08</t>
        </is>
      </c>
      <c r="C4124" t="inlineStr">
        <is>
          <t>2018-06</t>
        </is>
      </c>
      <c r="D4124" t="inlineStr">
        <is>
          <t>SP</t>
        </is>
      </c>
      <c r="E4124" t="inlineStr">
        <is>
          <t>health_beauty</t>
        </is>
      </c>
      <c r="F4124" t="n">
        <v>1</v>
      </c>
      <c r="G4124" t="n">
        <v>54</v>
      </c>
      <c r="H4124" t="n">
        <v>13.74</v>
      </c>
      <c r="I4124" t="inlineStr">
        <is>
          <t>credit_card</t>
        </is>
      </c>
      <c r="J4124" t="n">
        <v>6</v>
      </c>
      <c r="K4124" t="inlineStr">
        <is>
          <t>On Time</t>
        </is>
      </c>
      <c r="L4124" t="n">
        <v>3</v>
      </c>
      <c r="M4124">
        <f>VLOOKUP(D4124,State_Lookup!$A$2:$B$28,2,FALSE)</f>
        <v/>
      </c>
    </row>
    <row r="4125">
      <c r="A4125" t="inlineStr">
        <is>
          <t>a506cff68ad939f030138d38c2350dd0</t>
        </is>
      </c>
      <c r="B4125" t="inlineStr">
        <is>
          <t>2018-06-08</t>
        </is>
      </c>
      <c r="C4125" t="inlineStr">
        <is>
          <t>2018-06</t>
        </is>
      </c>
      <c r="D4125" t="inlineStr">
        <is>
          <t>SP</t>
        </is>
      </c>
      <c r="E4125" t="inlineStr">
        <is>
          <t>toys</t>
        </is>
      </c>
      <c r="F4125" t="n">
        <v>2</v>
      </c>
      <c r="G4125" t="n">
        <v>123.8</v>
      </c>
      <c r="H4125" t="n">
        <v>23.38</v>
      </c>
      <c r="I4125" t="inlineStr">
        <is>
          <t>credit_card</t>
        </is>
      </c>
      <c r="J4125" t="n">
        <v>3</v>
      </c>
      <c r="K4125" t="inlineStr">
        <is>
          <t>On Time</t>
        </is>
      </c>
      <c r="L4125" t="n">
        <v>5</v>
      </c>
      <c r="M4125">
        <f>VLOOKUP(D4125,State_Lookup!$A$2:$B$28,2,FALSE)</f>
        <v/>
      </c>
    </row>
    <row r="4126">
      <c r="A4126" t="inlineStr">
        <is>
          <t>aaddf267c922a9dd81dd0d1ba5d0459a</t>
        </is>
      </c>
      <c r="B4126" t="inlineStr">
        <is>
          <t>2018-06-08</t>
        </is>
      </c>
      <c r="C4126" t="inlineStr">
        <is>
          <t>2018-06</t>
        </is>
      </c>
      <c r="D4126" t="inlineStr">
        <is>
          <t>CE</t>
        </is>
      </c>
      <c r="E4126" t="inlineStr">
        <is>
          <t>musical_instruments</t>
        </is>
      </c>
      <c r="F4126" t="n">
        <v>1</v>
      </c>
      <c r="G4126" t="n">
        <v>164.9</v>
      </c>
      <c r="H4126" t="n">
        <v>82.31</v>
      </c>
      <c r="I4126" t="inlineStr">
        <is>
          <t>debit_card</t>
        </is>
      </c>
      <c r="J4126" t="n">
        <v>14</v>
      </c>
      <c r="K4126" t="inlineStr">
        <is>
          <t>On Time</t>
        </is>
      </c>
      <c r="L4126" t="n">
        <v>5</v>
      </c>
      <c r="M4126">
        <f>VLOOKUP(D4126,State_Lookup!$A$2:$B$28,2,FALSE)</f>
        <v/>
      </c>
    </row>
    <row r="4127">
      <c r="A4127" t="inlineStr">
        <is>
          <t>6902f0d9d7309f56f50b8713c3b6a4de</t>
        </is>
      </c>
      <c r="B4127" t="inlineStr">
        <is>
          <t>2018-06-08</t>
        </is>
      </c>
      <c r="C4127" t="inlineStr">
        <is>
          <t>2018-06</t>
        </is>
      </c>
      <c r="D4127" t="inlineStr">
        <is>
          <t>SP</t>
        </is>
      </c>
      <c r="E4127" t="inlineStr">
        <is>
          <t>drinks</t>
        </is>
      </c>
      <c r="F4127" t="n">
        <v>1</v>
      </c>
      <c r="G4127" t="n">
        <v>59.3</v>
      </c>
      <c r="H4127" t="n">
        <v>7.39</v>
      </c>
      <c r="I4127" t="inlineStr">
        <is>
          <t>boleto</t>
        </is>
      </c>
      <c r="J4127" t="n">
        <v>18</v>
      </c>
      <c r="K4127" t="inlineStr">
        <is>
          <t>Late</t>
        </is>
      </c>
      <c r="L4127" t="n">
        <v>1</v>
      </c>
      <c r="M4127">
        <f>VLOOKUP(D4127,State_Lookup!$A$2:$B$28,2,FALSE)</f>
        <v/>
      </c>
    </row>
    <row r="4128">
      <c r="A4128" t="inlineStr">
        <is>
          <t>8512c3651a6750c25e333aebff60ca57</t>
        </is>
      </c>
      <c r="B4128" t="inlineStr">
        <is>
          <t>2018-06-08</t>
        </is>
      </c>
      <c r="C4128" t="inlineStr">
        <is>
          <t>2018-06</t>
        </is>
      </c>
      <c r="D4128" t="inlineStr">
        <is>
          <t>MS</t>
        </is>
      </c>
      <c r="E4128" t="inlineStr">
        <is>
          <t>watches_gifts</t>
        </is>
      </c>
      <c r="F4128" t="n">
        <v>1</v>
      </c>
      <c r="G4128" t="n">
        <v>178.9</v>
      </c>
      <c r="H4128" t="n">
        <v>19.13</v>
      </c>
      <c r="I4128" t="inlineStr">
        <is>
          <t>credit_card</t>
        </is>
      </c>
      <c r="J4128" t="n">
        <v>17</v>
      </c>
      <c r="K4128" t="inlineStr">
        <is>
          <t>On Time</t>
        </is>
      </c>
      <c r="L4128" t="n">
        <v>3</v>
      </c>
      <c r="M4128">
        <f>VLOOKUP(D4128,State_Lookup!$A$2:$B$28,2,FALSE)</f>
        <v/>
      </c>
    </row>
    <row r="4129">
      <c r="A4129" t="inlineStr">
        <is>
          <t>00c4f17dcb94448f27a2cbaa83f10a4b</t>
        </is>
      </c>
      <c r="B4129" t="inlineStr">
        <is>
          <t>2018-06-08</t>
        </is>
      </c>
      <c r="C4129" t="inlineStr">
        <is>
          <t>2018-06</t>
        </is>
      </c>
      <c r="D4129" t="inlineStr">
        <is>
          <t>SP</t>
        </is>
      </c>
      <c r="E4129" t="inlineStr">
        <is>
          <t>health_beauty</t>
        </is>
      </c>
      <c r="F4129" t="n">
        <v>1</v>
      </c>
      <c r="G4129" t="n">
        <v>32</v>
      </c>
      <c r="H4129" t="n">
        <v>7.39</v>
      </c>
      <c r="I4129" t="inlineStr">
        <is>
          <t>credit_card</t>
        </is>
      </c>
      <c r="J4129" t="n">
        <v>3</v>
      </c>
      <c r="K4129" t="inlineStr">
        <is>
          <t>On Time</t>
        </is>
      </c>
      <c r="L4129" t="n">
        <v>5</v>
      </c>
      <c r="M4129">
        <f>VLOOKUP(D4129,State_Lookup!$A$2:$B$28,2,FALSE)</f>
        <v/>
      </c>
    </row>
    <row r="4130">
      <c r="A4130" t="inlineStr">
        <is>
          <t>d522ea055ceb7a828b6a82e266837784</t>
        </is>
      </c>
      <c r="B4130" t="inlineStr">
        <is>
          <t>2018-06-09</t>
        </is>
      </c>
      <c r="C4130" t="inlineStr">
        <is>
          <t>2018-06</t>
        </is>
      </c>
      <c r="D4130" t="inlineStr">
        <is>
          <t>SP</t>
        </is>
      </c>
      <c r="E4130" t="inlineStr">
        <is>
          <t>furniture_decor</t>
        </is>
      </c>
      <c r="F4130" t="n">
        <v>1</v>
      </c>
      <c r="G4130" t="n">
        <v>65</v>
      </c>
      <c r="H4130" t="n">
        <v>8.880000000000001</v>
      </c>
      <c r="I4130" t="inlineStr">
        <is>
          <t>credit_card</t>
        </is>
      </c>
      <c r="J4130" t="n">
        <v>5</v>
      </c>
      <c r="K4130" t="inlineStr">
        <is>
          <t>On Time</t>
        </is>
      </c>
      <c r="L4130" t="n">
        <v>5</v>
      </c>
      <c r="M4130">
        <f>VLOOKUP(D4130,State_Lookup!$A$2:$B$28,2,FALSE)</f>
        <v/>
      </c>
    </row>
    <row r="4131">
      <c r="A4131" t="inlineStr">
        <is>
          <t>88ec70d10d0a2e45b46dc7fc335b56fb</t>
        </is>
      </c>
      <c r="B4131" t="inlineStr">
        <is>
          <t>2018-06-09</t>
        </is>
      </c>
      <c r="C4131" t="inlineStr">
        <is>
          <t>2018-06</t>
        </is>
      </c>
      <c r="D4131" t="inlineStr">
        <is>
          <t>RJ</t>
        </is>
      </c>
      <c r="E4131" t="inlineStr">
        <is>
          <t>office_furniture</t>
        </is>
      </c>
      <c r="F4131" t="n">
        <v>1</v>
      </c>
      <c r="G4131" t="n">
        <v>119.99</v>
      </c>
      <c r="H4131" t="n">
        <v>33.1</v>
      </c>
      <c r="I4131" t="inlineStr">
        <is>
          <t>credit_card</t>
        </is>
      </c>
      <c r="J4131" t="n">
        <v>30</v>
      </c>
      <c r="K4131" t="inlineStr">
        <is>
          <t>On Time</t>
        </is>
      </c>
      <c r="L4131" t="n">
        <v>5</v>
      </c>
      <c r="M4131">
        <f>VLOOKUP(D4131,State_Lookup!$A$2:$B$28,2,FALSE)</f>
        <v/>
      </c>
    </row>
    <row r="4132">
      <c r="A4132" t="inlineStr">
        <is>
          <t>c0fc9ab7bf56d900f1456a75b2cb5ab9</t>
        </is>
      </c>
      <c r="B4132" t="inlineStr">
        <is>
          <t>2018-06-09</t>
        </is>
      </c>
      <c r="C4132" t="inlineStr">
        <is>
          <t>2018-06</t>
        </is>
      </c>
      <c r="D4132" t="inlineStr">
        <is>
          <t>PB</t>
        </is>
      </c>
      <c r="E4132" t="inlineStr">
        <is>
          <t>health_beauty</t>
        </is>
      </c>
      <c r="F4132" t="n">
        <v>1</v>
      </c>
      <c r="G4132" t="n">
        <v>168.48</v>
      </c>
      <c r="H4132" t="n">
        <v>23.68</v>
      </c>
      <c r="I4132" t="inlineStr">
        <is>
          <t>credit_card</t>
        </is>
      </c>
      <c r="J4132" t="n">
        <v>8</v>
      </c>
      <c r="K4132" t="inlineStr">
        <is>
          <t>On Time</t>
        </is>
      </c>
      <c r="L4132" t="n">
        <v>5</v>
      </c>
      <c r="M4132">
        <f>VLOOKUP(D4132,State_Lookup!$A$2:$B$28,2,FALSE)</f>
        <v/>
      </c>
    </row>
    <row r="4133">
      <c r="A4133" t="inlineStr">
        <is>
          <t>fffe41c64501cc87c801fd61db3f6244</t>
        </is>
      </c>
      <c r="B4133" t="inlineStr">
        <is>
          <t>2018-06-09</t>
        </is>
      </c>
      <c r="C4133" t="inlineStr">
        <is>
          <t>2018-06</t>
        </is>
      </c>
      <c r="D4133" t="inlineStr">
        <is>
          <t>SP</t>
        </is>
      </c>
      <c r="E4133" t="inlineStr">
        <is>
          <t>bed_bath_table</t>
        </is>
      </c>
      <c r="F4133" t="n">
        <v>1</v>
      </c>
      <c r="G4133" t="n">
        <v>43</v>
      </c>
      <c r="H4133" t="n">
        <v>12.79</v>
      </c>
      <c r="I4133" t="inlineStr">
        <is>
          <t>credit_card</t>
        </is>
      </c>
      <c r="J4133" t="n">
        <v>5</v>
      </c>
      <c r="K4133" t="inlineStr">
        <is>
          <t>On Time</t>
        </is>
      </c>
      <c r="L4133" t="n">
        <v>5</v>
      </c>
      <c r="M4133">
        <f>VLOOKUP(D4133,State_Lookup!$A$2:$B$28,2,FALSE)</f>
        <v/>
      </c>
    </row>
    <row r="4134">
      <c r="A4134" t="inlineStr">
        <is>
          <t>7f2309408220014301685cdf123b4067</t>
        </is>
      </c>
      <c r="B4134" t="inlineStr">
        <is>
          <t>2018-06-09</t>
        </is>
      </c>
      <c r="C4134" t="inlineStr">
        <is>
          <t>2018-06</t>
        </is>
      </c>
      <c r="D4134" t="inlineStr">
        <is>
          <t>SP</t>
        </is>
      </c>
      <c r="E4134" t="inlineStr">
        <is>
          <t>furniture_decor</t>
        </is>
      </c>
      <c r="F4134" t="n">
        <v>1</v>
      </c>
      <c r="G4134" t="n">
        <v>78.8</v>
      </c>
      <c r="H4134" t="n">
        <v>12.99</v>
      </c>
      <c r="I4134" t="inlineStr">
        <is>
          <t>credit_card</t>
        </is>
      </c>
      <c r="J4134" t="n">
        <v>5</v>
      </c>
      <c r="K4134" t="inlineStr">
        <is>
          <t>On Time</t>
        </is>
      </c>
      <c r="L4134" t="n">
        <v>3</v>
      </c>
      <c r="M4134">
        <f>VLOOKUP(D4134,State_Lookup!$A$2:$B$28,2,FALSE)</f>
        <v/>
      </c>
    </row>
    <row r="4135">
      <c r="A4135" t="inlineStr">
        <is>
          <t>5765cf3a5fe5d5d74cfac532f9d48939</t>
        </is>
      </c>
      <c r="B4135" t="inlineStr">
        <is>
          <t>2018-06-09</t>
        </is>
      </c>
      <c r="C4135" t="inlineStr">
        <is>
          <t>2018-06</t>
        </is>
      </c>
      <c r="D4135" t="inlineStr">
        <is>
          <t>SC</t>
        </is>
      </c>
      <c r="E4135" t="inlineStr">
        <is>
          <t>perfumery</t>
        </is>
      </c>
      <c r="F4135" t="n">
        <v>1</v>
      </c>
      <c r="G4135" t="n">
        <v>309.9</v>
      </c>
      <c r="H4135" t="n">
        <v>23.88</v>
      </c>
      <c r="I4135" t="inlineStr">
        <is>
          <t>credit_card</t>
        </is>
      </c>
      <c r="J4135" t="n">
        <v>5</v>
      </c>
      <c r="K4135" t="inlineStr">
        <is>
          <t>On Time</t>
        </is>
      </c>
      <c r="L4135" t="n">
        <v>5</v>
      </c>
      <c r="M4135">
        <f>VLOOKUP(D4135,State_Lookup!$A$2:$B$28,2,FALSE)</f>
        <v/>
      </c>
    </row>
    <row r="4136">
      <c r="A4136" t="inlineStr">
        <is>
          <t>aa99487411b30032936831e56c42da2f</t>
        </is>
      </c>
      <c r="B4136" t="inlineStr">
        <is>
          <t>2018-06-09</t>
        </is>
      </c>
      <c r="C4136" t="inlineStr">
        <is>
          <t>2018-06</t>
        </is>
      </c>
      <c r="D4136" t="inlineStr">
        <is>
          <t>PE</t>
        </is>
      </c>
      <c r="E4136" t="inlineStr">
        <is>
          <t>musical_instruments</t>
        </is>
      </c>
      <c r="F4136" t="n">
        <v>1</v>
      </c>
      <c r="G4136" t="n">
        <v>890</v>
      </c>
      <c r="H4136" t="n">
        <v>101.09</v>
      </c>
      <c r="I4136" t="inlineStr">
        <is>
          <t>credit_card</t>
        </is>
      </c>
      <c r="J4136" t="n">
        <v>12</v>
      </c>
      <c r="K4136" t="inlineStr">
        <is>
          <t>On Time</t>
        </is>
      </c>
      <c r="L4136" t="n">
        <v>5</v>
      </c>
      <c r="M4136">
        <f>VLOOKUP(D4136,State_Lookup!$A$2:$B$28,2,FALSE)</f>
        <v/>
      </c>
    </row>
    <row r="4137">
      <c r="A4137" t="inlineStr">
        <is>
          <t>85bc57a3e811daa04557aabba27f535c</t>
        </is>
      </c>
      <c r="B4137" t="inlineStr">
        <is>
          <t>2018-06-09</t>
        </is>
      </c>
      <c r="C4137" t="inlineStr">
        <is>
          <t>2018-06</t>
        </is>
      </c>
      <c r="D4137" t="inlineStr">
        <is>
          <t>RS</t>
        </is>
      </c>
      <c r="E4137" t="inlineStr">
        <is>
          <t>perfumery</t>
        </is>
      </c>
      <c r="F4137" t="n">
        <v>1</v>
      </c>
      <c r="G4137" t="n">
        <v>154</v>
      </c>
      <c r="H4137" t="n">
        <v>20.05</v>
      </c>
      <c r="I4137" t="inlineStr">
        <is>
          <t>credit_card</t>
        </is>
      </c>
      <c r="J4137" t="n">
        <v>11</v>
      </c>
      <c r="K4137" t="inlineStr">
        <is>
          <t>On Time</t>
        </is>
      </c>
      <c r="L4137" t="n">
        <v>5</v>
      </c>
      <c r="M4137">
        <f>VLOOKUP(D4137,State_Lookup!$A$2:$B$28,2,FALSE)</f>
        <v/>
      </c>
    </row>
    <row r="4138">
      <c r="A4138" t="inlineStr">
        <is>
          <t>4d830da4d207262a3965ac4429084d52</t>
        </is>
      </c>
      <c r="B4138" t="inlineStr">
        <is>
          <t>2018-06-09</t>
        </is>
      </c>
      <c r="C4138" t="inlineStr">
        <is>
          <t>2018-06</t>
        </is>
      </c>
      <c r="D4138" t="inlineStr">
        <is>
          <t>AM</t>
        </is>
      </c>
      <c r="E4138" t="inlineStr">
        <is>
          <t>tablets_printing_image</t>
        </is>
      </c>
      <c r="F4138" t="n">
        <v>1</v>
      </c>
      <c r="G4138" t="n">
        <v>50</v>
      </c>
      <c r="H4138" t="n">
        <v>22.85</v>
      </c>
      <c r="I4138" t="inlineStr">
        <is>
          <t>credit_card</t>
        </is>
      </c>
      <c r="J4138" t="n">
        <v>24</v>
      </c>
      <c r="K4138" t="inlineStr">
        <is>
          <t>On Time</t>
        </is>
      </c>
      <c r="L4138" t="n">
        <v>4</v>
      </c>
      <c r="M4138">
        <f>VLOOKUP(D4138,State_Lookup!$A$2:$B$28,2,FALSE)</f>
        <v/>
      </c>
    </row>
    <row r="4139">
      <c r="A4139" t="inlineStr">
        <is>
          <t>3b45c3fa7862deec90565c3dbf6e9e8c</t>
        </is>
      </c>
      <c r="B4139" t="inlineStr">
        <is>
          <t>2018-06-10</t>
        </is>
      </c>
      <c r="C4139" t="inlineStr">
        <is>
          <t>2018-06</t>
        </is>
      </c>
      <c r="D4139" t="inlineStr">
        <is>
          <t>SP</t>
        </is>
      </c>
      <c r="E4139" t="inlineStr">
        <is>
          <t>bed_bath_table</t>
        </is>
      </c>
      <c r="F4139" t="n">
        <v>1</v>
      </c>
      <c r="G4139" t="n">
        <v>129</v>
      </c>
      <c r="H4139" t="n">
        <v>18.78</v>
      </c>
      <c r="I4139" t="inlineStr">
        <is>
          <t>voucher</t>
        </is>
      </c>
      <c r="J4139" t="n">
        <v>8</v>
      </c>
      <c r="K4139" t="inlineStr">
        <is>
          <t>On Time</t>
        </is>
      </c>
      <c r="L4139" t="n">
        <v>4</v>
      </c>
      <c r="M4139">
        <f>VLOOKUP(D4139,State_Lookup!$A$2:$B$28,2,FALSE)</f>
        <v/>
      </c>
    </row>
    <row r="4140">
      <c r="A4140" t="inlineStr">
        <is>
          <t>80288d8ccb8b1899f5377f27feebb1f0</t>
        </is>
      </c>
      <c r="B4140" t="inlineStr">
        <is>
          <t>2018-06-10</t>
        </is>
      </c>
      <c r="C4140" t="inlineStr">
        <is>
          <t>2018-06</t>
        </is>
      </c>
      <c r="D4140" t="inlineStr">
        <is>
          <t>SP</t>
        </is>
      </c>
      <c r="E4140" t="inlineStr">
        <is>
          <t>watches_gifts</t>
        </is>
      </c>
      <c r="F4140" t="n">
        <v>1</v>
      </c>
      <c r="G4140" t="n">
        <v>178.99</v>
      </c>
      <c r="H4140" t="n">
        <v>13.69</v>
      </c>
      <c r="I4140" t="inlineStr">
        <is>
          <t>credit_card</t>
        </is>
      </c>
      <c r="J4140" t="n">
        <v>9</v>
      </c>
      <c r="K4140" t="inlineStr">
        <is>
          <t>On Time</t>
        </is>
      </c>
      <c r="L4140" t="n">
        <v>5</v>
      </c>
      <c r="M4140">
        <f>VLOOKUP(D4140,State_Lookup!$A$2:$B$28,2,FALSE)</f>
        <v/>
      </c>
    </row>
    <row r="4141">
      <c r="A4141" t="inlineStr">
        <is>
          <t>ea0295dc22e609716e19683e24874c1c</t>
        </is>
      </c>
      <c r="B4141" t="inlineStr">
        <is>
          <t>2018-06-10</t>
        </is>
      </c>
      <c r="C4141" t="inlineStr">
        <is>
          <t>2018-06</t>
        </is>
      </c>
      <c r="D4141" t="inlineStr">
        <is>
          <t>SP</t>
        </is>
      </c>
      <c r="E4141" t="inlineStr">
        <is>
          <t>pet_shop</t>
        </is>
      </c>
      <c r="F4141" t="n">
        <v>3</v>
      </c>
      <c r="G4141" t="n">
        <v>89.69999999999999</v>
      </c>
      <c r="H4141" t="n">
        <v>39.69</v>
      </c>
      <c r="I4141" t="inlineStr">
        <is>
          <t>credit_card</t>
        </is>
      </c>
      <c r="J4141" t="n">
        <v>3</v>
      </c>
      <c r="K4141" t="inlineStr">
        <is>
          <t>On Time</t>
        </is>
      </c>
      <c r="L4141" t="n">
        <v>5</v>
      </c>
      <c r="M4141">
        <f>VLOOKUP(D4141,State_Lookup!$A$2:$B$28,2,FALSE)</f>
        <v/>
      </c>
    </row>
    <row r="4142">
      <c r="A4142" t="inlineStr">
        <is>
          <t>997428ea645e3cced2ab880385654112</t>
        </is>
      </c>
      <c r="B4142" t="inlineStr">
        <is>
          <t>2018-06-10</t>
        </is>
      </c>
      <c r="C4142" t="inlineStr">
        <is>
          <t>2018-06</t>
        </is>
      </c>
      <c r="D4142" t="inlineStr">
        <is>
          <t>SP</t>
        </is>
      </c>
      <c r="E4142" t="inlineStr">
        <is>
          <t>fashion_bags_accessories</t>
        </is>
      </c>
      <c r="F4142" t="n">
        <v>1</v>
      </c>
      <c r="G4142" t="n">
        <v>39.9</v>
      </c>
      <c r="H4142" t="n">
        <v>7.39</v>
      </c>
      <c r="I4142" t="inlineStr">
        <is>
          <t>credit_card</t>
        </is>
      </c>
      <c r="J4142" t="n">
        <v>3</v>
      </c>
      <c r="K4142" t="inlineStr">
        <is>
          <t>On Time</t>
        </is>
      </c>
      <c r="L4142" t="n">
        <v>4</v>
      </c>
      <c r="M4142">
        <f>VLOOKUP(D4142,State_Lookup!$A$2:$B$28,2,FALSE)</f>
        <v/>
      </c>
    </row>
    <row r="4143">
      <c r="A4143" t="inlineStr">
        <is>
          <t>4879204a6b45d7ba10b3d703ba460778</t>
        </is>
      </c>
      <c r="B4143" t="inlineStr">
        <is>
          <t>2018-06-10</t>
        </is>
      </c>
      <c r="C4143" t="inlineStr">
        <is>
          <t>2018-06</t>
        </is>
      </c>
      <c r="D4143" t="inlineStr">
        <is>
          <t>RJ</t>
        </is>
      </c>
      <c r="E4143" t="inlineStr">
        <is>
          <t>furniture_living_room</t>
        </is>
      </c>
      <c r="F4143" t="n">
        <v>1</v>
      </c>
      <c r="G4143" t="n">
        <v>179.9</v>
      </c>
      <c r="H4143" t="n">
        <v>36.39</v>
      </c>
      <c r="I4143" t="inlineStr">
        <is>
          <t>credit_card</t>
        </is>
      </c>
      <c r="J4143" t="n">
        <v>2</v>
      </c>
      <c r="K4143" t="inlineStr">
        <is>
          <t>On Time</t>
        </is>
      </c>
      <c r="L4143" t="n">
        <v>5</v>
      </c>
      <c r="M4143">
        <f>VLOOKUP(D4143,State_Lookup!$A$2:$B$28,2,FALSE)</f>
        <v/>
      </c>
    </row>
    <row r="4144">
      <c r="A4144" t="inlineStr">
        <is>
          <t>9400d8dac20b5beae1c2833bf7dc440f</t>
        </is>
      </c>
      <c r="B4144" t="inlineStr">
        <is>
          <t>2018-06-10</t>
        </is>
      </c>
      <c r="C4144" t="inlineStr">
        <is>
          <t>2018-06</t>
        </is>
      </c>
      <c r="D4144" t="inlineStr">
        <is>
          <t>SP</t>
        </is>
      </c>
      <c r="E4144" t="inlineStr">
        <is>
          <t>bed_bath_table</t>
        </is>
      </c>
      <c r="F4144" t="n">
        <v>1</v>
      </c>
      <c r="G4144" t="n">
        <v>39.99</v>
      </c>
      <c r="H4144" t="n">
        <v>13.71</v>
      </c>
      <c r="I4144" t="inlineStr">
        <is>
          <t>credit_card</t>
        </is>
      </c>
      <c r="J4144" t="n">
        <v>8</v>
      </c>
      <c r="K4144" t="inlineStr">
        <is>
          <t>On Time</t>
        </is>
      </c>
      <c r="L4144" t="n">
        <v>5</v>
      </c>
      <c r="M4144">
        <f>VLOOKUP(D4144,State_Lookup!$A$2:$B$28,2,FALSE)</f>
        <v/>
      </c>
    </row>
    <row r="4145">
      <c r="A4145" t="inlineStr">
        <is>
          <t>852d24d230e0038f83e1337c4ab06147</t>
        </is>
      </c>
      <c r="B4145" t="inlineStr">
        <is>
          <t>2018-06-10</t>
        </is>
      </c>
      <c r="C4145" t="inlineStr">
        <is>
          <t>2018-06</t>
        </is>
      </c>
      <c r="D4145" t="inlineStr">
        <is>
          <t>SP</t>
        </is>
      </c>
      <c r="E4145" t="inlineStr">
        <is>
          <t>pet_shop</t>
        </is>
      </c>
      <c r="F4145" t="n">
        <v>1</v>
      </c>
      <c r="G4145" t="n">
        <v>102.62</v>
      </c>
      <c r="H4145" t="n">
        <v>24.11</v>
      </c>
      <c r="I4145" t="inlineStr">
        <is>
          <t>credit_card</t>
        </is>
      </c>
      <c r="J4145" t="n">
        <v>15</v>
      </c>
      <c r="K4145" t="inlineStr">
        <is>
          <t>On Time</t>
        </is>
      </c>
      <c r="L4145" t="n">
        <v>4</v>
      </c>
      <c r="M4145">
        <f>VLOOKUP(D4145,State_Lookup!$A$2:$B$28,2,FALSE)</f>
        <v/>
      </c>
    </row>
    <row r="4146">
      <c r="A4146" t="inlineStr">
        <is>
          <t>9682e213157788365257ba787969f33b</t>
        </is>
      </c>
      <c r="B4146" t="inlineStr">
        <is>
          <t>2018-06-10</t>
        </is>
      </c>
      <c r="C4146" t="inlineStr">
        <is>
          <t>2018-06</t>
        </is>
      </c>
      <c r="D4146" t="inlineStr">
        <is>
          <t>SP</t>
        </is>
      </c>
      <c r="E4146" t="inlineStr">
        <is>
          <t>pet_shop</t>
        </is>
      </c>
      <c r="F4146" t="n">
        <v>1</v>
      </c>
      <c r="G4146" t="n">
        <v>29.9</v>
      </c>
      <c r="H4146" t="n">
        <v>13.23</v>
      </c>
      <c r="I4146" t="inlineStr">
        <is>
          <t>credit_card</t>
        </is>
      </c>
      <c r="J4146" t="n">
        <v>2</v>
      </c>
      <c r="K4146" t="inlineStr">
        <is>
          <t>On Time</t>
        </is>
      </c>
      <c r="L4146" t="n">
        <v>5</v>
      </c>
      <c r="M4146">
        <f>VLOOKUP(D4146,State_Lookup!$A$2:$B$28,2,FALSE)</f>
        <v/>
      </c>
    </row>
    <row r="4147">
      <c r="A4147" t="inlineStr">
        <is>
          <t>0505a29e827a4c609b3fd250c0313bef</t>
        </is>
      </c>
      <c r="B4147" t="inlineStr">
        <is>
          <t>2018-06-10</t>
        </is>
      </c>
      <c r="C4147" t="inlineStr">
        <is>
          <t>2018-06</t>
        </is>
      </c>
      <c r="D4147" t="inlineStr">
        <is>
          <t>CE</t>
        </is>
      </c>
      <c r="E4147" t="inlineStr">
        <is>
          <t>health_beauty</t>
        </is>
      </c>
      <c r="F4147" t="n">
        <v>1</v>
      </c>
      <c r="G4147" t="n">
        <v>99.90000000000001</v>
      </c>
      <c r="H4147" t="n">
        <v>42.76</v>
      </c>
      <c r="I4147" t="inlineStr">
        <is>
          <t>boleto</t>
        </is>
      </c>
      <c r="J4147" t="n">
        <v>19</v>
      </c>
      <c r="K4147" t="inlineStr">
        <is>
          <t>On Time</t>
        </is>
      </c>
      <c r="L4147" t="n">
        <v>4</v>
      </c>
      <c r="M4147">
        <f>VLOOKUP(D4147,State_Lookup!$A$2:$B$28,2,FALSE)</f>
        <v/>
      </c>
    </row>
    <row r="4148">
      <c r="A4148" t="inlineStr">
        <is>
          <t>78fe61feb61fcd8421082ee8888cd93f</t>
        </is>
      </c>
      <c r="B4148" t="inlineStr">
        <is>
          <t>2018-06-10</t>
        </is>
      </c>
      <c r="C4148" t="inlineStr">
        <is>
          <t>2018-06</t>
        </is>
      </c>
      <c r="D4148" t="inlineStr">
        <is>
          <t>SP</t>
        </is>
      </c>
      <c r="E4148" t="inlineStr">
        <is>
          <t>luggage_accessories</t>
        </is>
      </c>
      <c r="F4148" t="n">
        <v>1</v>
      </c>
      <c r="G4148" t="n">
        <v>58</v>
      </c>
      <c r="H4148" t="n">
        <v>15.26</v>
      </c>
      <c r="I4148" t="inlineStr">
        <is>
          <t>credit_card</t>
        </is>
      </c>
      <c r="J4148" t="n">
        <v>8</v>
      </c>
      <c r="K4148" t="inlineStr">
        <is>
          <t>On Time</t>
        </is>
      </c>
      <c r="L4148" t="n">
        <v>5</v>
      </c>
      <c r="M4148">
        <f>VLOOKUP(D4148,State_Lookup!$A$2:$B$28,2,FALSE)</f>
        <v/>
      </c>
    </row>
    <row r="4149">
      <c r="A4149" t="inlineStr">
        <is>
          <t>5380e1df2075d96eee6f72be7d0a0b7e</t>
        </is>
      </c>
      <c r="B4149" t="inlineStr">
        <is>
          <t>2018-06-10</t>
        </is>
      </c>
      <c r="C4149" t="inlineStr">
        <is>
          <t>2018-06</t>
        </is>
      </c>
      <c r="D4149" t="inlineStr">
        <is>
          <t>SP</t>
        </is>
      </c>
      <c r="E4149" t="inlineStr">
        <is>
          <t>fashion_shoes</t>
        </is>
      </c>
      <c r="F4149" t="n">
        <v>1</v>
      </c>
      <c r="G4149" t="n">
        <v>109.9</v>
      </c>
      <c r="H4149" t="n">
        <v>14.86</v>
      </c>
      <c r="I4149" t="inlineStr">
        <is>
          <t>credit_card</t>
        </is>
      </c>
      <c r="J4149" t="n">
        <v>8</v>
      </c>
      <c r="K4149" t="inlineStr">
        <is>
          <t>On Time</t>
        </is>
      </c>
      <c r="L4149" t="n">
        <v>4</v>
      </c>
      <c r="M4149">
        <f>VLOOKUP(D4149,State_Lookup!$A$2:$B$28,2,FALSE)</f>
        <v/>
      </c>
    </row>
    <row r="4150">
      <c r="A4150" t="inlineStr">
        <is>
          <t>49afa8bc01b5b6aa01e875a0785cc7bf</t>
        </is>
      </c>
      <c r="B4150" t="inlineStr">
        <is>
          <t>2018-06-10</t>
        </is>
      </c>
      <c r="C4150" t="inlineStr">
        <is>
          <t>2018-06</t>
        </is>
      </c>
      <c r="D4150" t="inlineStr">
        <is>
          <t>CE</t>
        </is>
      </c>
      <c r="E4150" t="inlineStr">
        <is>
          <t>computers_accessories</t>
        </is>
      </c>
      <c r="F4150" t="n">
        <v>1</v>
      </c>
      <c r="G4150" t="n">
        <v>22.49</v>
      </c>
      <c r="H4150" t="n">
        <v>19.04</v>
      </c>
      <c r="I4150" t="inlineStr">
        <is>
          <t>credit_card</t>
        </is>
      </c>
      <c r="J4150" t="n">
        <v>11</v>
      </c>
      <c r="K4150" t="inlineStr">
        <is>
          <t>On Time</t>
        </is>
      </c>
      <c r="L4150" t="n">
        <v>5</v>
      </c>
      <c r="M4150">
        <f>VLOOKUP(D4150,State_Lookup!$A$2:$B$28,2,FALSE)</f>
        <v/>
      </c>
    </row>
    <row r="4151">
      <c r="A4151" t="inlineStr">
        <is>
          <t>5551af3c5c287246cc239e923963ef6c</t>
        </is>
      </c>
      <c r="B4151" t="inlineStr">
        <is>
          <t>2018-06-10</t>
        </is>
      </c>
      <c r="C4151" t="inlineStr">
        <is>
          <t>2018-06</t>
        </is>
      </c>
      <c r="D4151" t="inlineStr">
        <is>
          <t>GO</t>
        </is>
      </c>
      <c r="E4151" t="inlineStr">
        <is>
          <t>watches_gifts</t>
        </is>
      </c>
      <c r="F4151" t="n">
        <v>1</v>
      </c>
      <c r="G4151" t="n">
        <v>733</v>
      </c>
      <c r="H4151" t="n">
        <v>23.01</v>
      </c>
      <c r="I4151" t="inlineStr">
        <is>
          <t>credit_card</t>
        </is>
      </c>
      <c r="J4151" t="n">
        <v>10</v>
      </c>
      <c r="K4151" t="inlineStr">
        <is>
          <t>On Time</t>
        </is>
      </c>
      <c r="L4151" t="n">
        <v>5</v>
      </c>
      <c r="M4151">
        <f>VLOOKUP(D4151,State_Lookup!$A$2:$B$28,2,FALSE)</f>
        <v/>
      </c>
    </row>
    <row r="4152">
      <c r="A4152" t="inlineStr">
        <is>
          <t>4a6f0e75398881152007f6ab2d3f5159</t>
        </is>
      </c>
      <c r="B4152" t="inlineStr">
        <is>
          <t>2018-06-10</t>
        </is>
      </c>
      <c r="C4152" t="inlineStr">
        <is>
          <t>2018-06</t>
        </is>
      </c>
      <c r="D4152" t="inlineStr">
        <is>
          <t>SP</t>
        </is>
      </c>
      <c r="E4152" t="inlineStr">
        <is>
          <t>bed_bath_table</t>
        </is>
      </c>
      <c r="F4152" t="n">
        <v>1</v>
      </c>
      <c r="G4152" t="n">
        <v>19.9</v>
      </c>
      <c r="H4152" t="n">
        <v>12.79</v>
      </c>
      <c r="I4152" t="inlineStr">
        <is>
          <t>credit_card</t>
        </is>
      </c>
      <c r="J4152" t="inlineStr"/>
      <c r="K4152" t="inlineStr">
        <is>
          <t>Not Delivered</t>
        </is>
      </c>
      <c r="L4152" t="n">
        <v>3</v>
      </c>
      <c r="M4152">
        <f>VLOOKUP(D4152,State_Lookup!$A$2:$B$28,2,FALSE)</f>
        <v/>
      </c>
    </row>
    <row r="4153">
      <c r="A4153" t="inlineStr">
        <is>
          <t>e6c7749520fc49e6ede435a6996d5f0e</t>
        </is>
      </c>
      <c r="B4153" t="inlineStr">
        <is>
          <t>2018-06-10</t>
        </is>
      </c>
      <c r="C4153" t="inlineStr">
        <is>
          <t>2018-06</t>
        </is>
      </c>
      <c r="D4153" t="inlineStr">
        <is>
          <t>MG</t>
        </is>
      </c>
      <c r="E4153" t="inlineStr">
        <is>
          <t>small_appliances</t>
        </is>
      </c>
      <c r="F4153" t="n">
        <v>1</v>
      </c>
      <c r="G4153" t="n">
        <v>1199</v>
      </c>
      <c r="H4153" t="n">
        <v>35.15</v>
      </c>
      <c r="I4153" t="inlineStr">
        <is>
          <t>credit_card</t>
        </is>
      </c>
      <c r="J4153" t="n">
        <v>3</v>
      </c>
      <c r="K4153" t="inlineStr">
        <is>
          <t>On Time</t>
        </is>
      </c>
      <c r="L4153" t="n">
        <v>5</v>
      </c>
      <c r="M4153">
        <f>VLOOKUP(D4153,State_Lookup!$A$2:$B$28,2,FALSE)</f>
        <v/>
      </c>
    </row>
    <row r="4154">
      <c r="A4154" t="inlineStr">
        <is>
          <t>4c5e883786df8d555be4dc12f11d3fe7</t>
        </is>
      </c>
      <c r="B4154" t="inlineStr">
        <is>
          <t>2018-06-10</t>
        </is>
      </c>
      <c r="C4154" t="inlineStr">
        <is>
          <t>2018-06</t>
        </is>
      </c>
      <c r="D4154" t="inlineStr">
        <is>
          <t>SP</t>
        </is>
      </c>
      <c r="E4154" t="inlineStr">
        <is>
          <t>health_beauty</t>
        </is>
      </c>
      <c r="F4154" t="n">
        <v>1</v>
      </c>
      <c r="G4154" t="n">
        <v>112.83</v>
      </c>
      <c r="H4154" t="n">
        <v>9.140000000000001</v>
      </c>
      <c r="I4154" t="inlineStr">
        <is>
          <t>boleto</t>
        </is>
      </c>
      <c r="J4154" t="inlineStr"/>
      <c r="K4154" t="inlineStr">
        <is>
          <t>Not Delivered</t>
        </is>
      </c>
      <c r="L4154" t="n">
        <v>3</v>
      </c>
      <c r="M4154">
        <f>VLOOKUP(D4154,State_Lookup!$A$2:$B$28,2,FALSE)</f>
        <v/>
      </c>
    </row>
    <row r="4155">
      <c r="A4155" t="inlineStr">
        <is>
          <t>2c70f2b99096bd1c7b05eede8e860fc8</t>
        </is>
      </c>
      <c r="B4155" t="inlineStr">
        <is>
          <t>2018-06-11</t>
        </is>
      </c>
      <c r="C4155" t="inlineStr">
        <is>
          <t>2018-06</t>
        </is>
      </c>
      <c r="D4155" t="inlineStr">
        <is>
          <t>PA</t>
        </is>
      </c>
      <c r="E4155" t="inlineStr">
        <is>
          <t>watches_gifts</t>
        </is>
      </c>
      <c r="F4155" t="n">
        <v>1</v>
      </c>
      <c r="G4155" t="n">
        <v>29</v>
      </c>
      <c r="H4155" t="n">
        <v>37.11</v>
      </c>
      <c r="I4155" t="inlineStr">
        <is>
          <t>credit_card</t>
        </is>
      </c>
      <c r="J4155" t="n">
        <v>13</v>
      </c>
      <c r="K4155" t="inlineStr">
        <is>
          <t>On Time</t>
        </is>
      </c>
      <c r="L4155" t="n">
        <v>5</v>
      </c>
      <c r="M4155">
        <f>VLOOKUP(D4155,State_Lookup!$A$2:$B$28,2,FALSE)</f>
        <v/>
      </c>
    </row>
    <row r="4156">
      <c r="A4156" t="inlineStr">
        <is>
          <t>a5c523f7f14f85ee88f26643f9a99e66</t>
        </is>
      </c>
      <c r="B4156" t="inlineStr">
        <is>
          <t>2018-06-11</t>
        </is>
      </c>
      <c r="C4156" t="inlineStr">
        <is>
          <t>2018-06</t>
        </is>
      </c>
      <c r="D4156" t="inlineStr">
        <is>
          <t>MG</t>
        </is>
      </c>
      <c r="E4156" t="inlineStr">
        <is>
          <t>housewares</t>
        </is>
      </c>
      <c r="F4156" t="n">
        <v>1</v>
      </c>
      <c r="G4156" t="n">
        <v>129</v>
      </c>
      <c r="H4156" t="n">
        <v>26.05</v>
      </c>
      <c r="I4156" t="inlineStr">
        <is>
          <t>credit_card</t>
        </is>
      </c>
      <c r="J4156" t="n">
        <v>4</v>
      </c>
      <c r="K4156" t="inlineStr">
        <is>
          <t>On Time</t>
        </is>
      </c>
      <c r="L4156" t="n">
        <v>5</v>
      </c>
      <c r="M4156">
        <f>VLOOKUP(D4156,State_Lookup!$A$2:$B$28,2,FALSE)</f>
        <v/>
      </c>
    </row>
    <row r="4157">
      <c r="A4157" t="inlineStr">
        <is>
          <t>b49fb5d1cf86975cf5a295431c278a33</t>
        </is>
      </c>
      <c r="B4157" t="inlineStr">
        <is>
          <t>2018-06-11</t>
        </is>
      </c>
      <c r="C4157" t="inlineStr">
        <is>
          <t>2018-06</t>
        </is>
      </c>
      <c r="D4157" t="inlineStr">
        <is>
          <t>SP</t>
        </is>
      </c>
      <c r="E4157" t="inlineStr">
        <is>
          <t>perfumery</t>
        </is>
      </c>
      <c r="F4157" t="n">
        <v>2</v>
      </c>
      <c r="G4157" t="n">
        <v>378</v>
      </c>
      <c r="H4157" t="n">
        <v>29.8</v>
      </c>
      <c r="I4157" t="inlineStr">
        <is>
          <t>credit_card</t>
        </is>
      </c>
      <c r="J4157" t="n">
        <v>8</v>
      </c>
      <c r="K4157" t="inlineStr">
        <is>
          <t>On Time</t>
        </is>
      </c>
      <c r="L4157" t="n">
        <v>5</v>
      </c>
      <c r="M4157">
        <f>VLOOKUP(D4157,State_Lookup!$A$2:$B$28,2,FALSE)</f>
        <v/>
      </c>
    </row>
    <row r="4158">
      <c r="A4158" t="inlineStr">
        <is>
          <t>616105c9352a9668c38303ad44e056cd</t>
        </is>
      </c>
      <c r="B4158" t="inlineStr">
        <is>
          <t>2018-06-11</t>
        </is>
      </c>
      <c r="C4158" t="inlineStr">
        <is>
          <t>2018-06</t>
        </is>
      </c>
      <c r="D4158" t="inlineStr">
        <is>
          <t>MG</t>
        </is>
      </c>
      <c r="E4158" t="inlineStr">
        <is>
          <t>electronics</t>
        </is>
      </c>
      <c r="F4158" t="n">
        <v>2</v>
      </c>
      <c r="G4158" t="n">
        <v>39.3</v>
      </c>
      <c r="H4158" t="n">
        <v>36.48</v>
      </c>
      <c r="I4158" t="inlineStr">
        <is>
          <t>credit_card</t>
        </is>
      </c>
      <c r="J4158" t="n">
        <v>9</v>
      </c>
      <c r="K4158" t="inlineStr">
        <is>
          <t>On Time</t>
        </is>
      </c>
      <c r="L4158" t="n">
        <v>2</v>
      </c>
      <c r="M4158">
        <f>VLOOKUP(D4158,State_Lookup!$A$2:$B$28,2,FALSE)</f>
        <v/>
      </c>
    </row>
    <row r="4159">
      <c r="A4159" t="inlineStr">
        <is>
          <t>464fa85d33903ce6bbc98bc18223dfe2</t>
        </is>
      </c>
      <c r="B4159" t="inlineStr">
        <is>
          <t>2018-06-11</t>
        </is>
      </c>
      <c r="C4159" t="inlineStr">
        <is>
          <t>2018-06</t>
        </is>
      </c>
      <c r="D4159" t="inlineStr">
        <is>
          <t>SP</t>
        </is>
      </c>
      <c r="E4159" t="inlineStr">
        <is>
          <t>watches_gifts</t>
        </is>
      </c>
      <c r="F4159" t="n">
        <v>2</v>
      </c>
      <c r="G4159" t="n">
        <v>210</v>
      </c>
      <c r="H4159" t="n">
        <v>33.86</v>
      </c>
      <c r="I4159" t="inlineStr">
        <is>
          <t>credit_card</t>
        </is>
      </c>
      <c r="J4159" t="n">
        <v>6</v>
      </c>
      <c r="K4159" t="inlineStr">
        <is>
          <t>On Time</t>
        </is>
      </c>
      <c r="L4159" t="n">
        <v>4</v>
      </c>
      <c r="M4159">
        <f>VLOOKUP(D4159,State_Lookup!$A$2:$B$28,2,FALSE)</f>
        <v/>
      </c>
    </row>
    <row r="4160">
      <c r="A4160" t="inlineStr">
        <is>
          <t>d30523a4766e8ea7e59ce35203bb73e4</t>
        </is>
      </c>
      <c r="B4160" t="inlineStr">
        <is>
          <t>2018-06-11</t>
        </is>
      </c>
      <c r="C4160" t="inlineStr">
        <is>
          <t>2018-06</t>
        </is>
      </c>
      <c r="D4160" t="inlineStr">
        <is>
          <t>RS</t>
        </is>
      </c>
      <c r="E4160" t="inlineStr">
        <is>
          <t>books_technical</t>
        </is>
      </c>
      <c r="F4160" t="n">
        <v>1</v>
      </c>
      <c r="G4160" t="n">
        <v>17.45</v>
      </c>
      <c r="H4160" t="n">
        <v>18.23</v>
      </c>
      <c r="I4160" t="inlineStr">
        <is>
          <t>credit_card</t>
        </is>
      </c>
      <c r="J4160" t="n">
        <v>10</v>
      </c>
      <c r="K4160" t="inlineStr">
        <is>
          <t>On Time</t>
        </is>
      </c>
      <c r="L4160" t="n">
        <v>5</v>
      </c>
      <c r="M4160">
        <f>VLOOKUP(D4160,State_Lookup!$A$2:$B$28,2,FALSE)</f>
        <v/>
      </c>
    </row>
    <row r="4161">
      <c r="A4161" t="inlineStr">
        <is>
          <t>1b68a09aef174135ac2b4a138c3a1eda</t>
        </is>
      </c>
      <c r="B4161" t="inlineStr">
        <is>
          <t>2018-06-11</t>
        </is>
      </c>
      <c r="C4161" t="inlineStr">
        <is>
          <t>2018-06</t>
        </is>
      </c>
      <c r="D4161" t="inlineStr">
        <is>
          <t>BA</t>
        </is>
      </c>
      <c r="E4161" t="inlineStr">
        <is>
          <t>computers_accessories</t>
        </is>
      </c>
      <c r="F4161" t="n">
        <v>1</v>
      </c>
      <c r="G4161" t="n">
        <v>46</v>
      </c>
      <c r="H4161" t="n">
        <v>22.25</v>
      </c>
      <c r="I4161" t="inlineStr">
        <is>
          <t>voucher</t>
        </is>
      </c>
      <c r="J4161" t="n">
        <v>9</v>
      </c>
      <c r="K4161" t="inlineStr">
        <is>
          <t>On Time</t>
        </is>
      </c>
      <c r="L4161" t="n">
        <v>5</v>
      </c>
      <c r="M4161">
        <f>VLOOKUP(D4161,State_Lookup!$A$2:$B$28,2,FALSE)</f>
        <v/>
      </c>
    </row>
    <row r="4162">
      <c r="A4162" t="inlineStr">
        <is>
          <t>d9e882686a56edc2560a4983f10daddb</t>
        </is>
      </c>
      <c r="B4162" t="inlineStr">
        <is>
          <t>2018-06-11</t>
        </is>
      </c>
      <c r="C4162" t="inlineStr">
        <is>
          <t>2018-06</t>
        </is>
      </c>
      <c r="D4162" t="inlineStr">
        <is>
          <t>RJ</t>
        </is>
      </c>
      <c r="E4162" t="inlineStr">
        <is>
          <t>fashion_shoes</t>
        </is>
      </c>
      <c r="F4162" t="n">
        <v>1</v>
      </c>
      <c r="G4162" t="n">
        <v>220.7</v>
      </c>
      <c r="H4162" t="n">
        <v>24.12</v>
      </c>
      <c r="I4162" t="inlineStr">
        <is>
          <t>credit_card</t>
        </is>
      </c>
      <c r="J4162" t="n">
        <v>10</v>
      </c>
      <c r="K4162" t="inlineStr">
        <is>
          <t>On Time</t>
        </is>
      </c>
      <c r="L4162" t="n">
        <v>5</v>
      </c>
      <c r="M4162">
        <f>VLOOKUP(D4162,State_Lookup!$A$2:$B$28,2,FALSE)</f>
        <v/>
      </c>
    </row>
    <row r="4163">
      <c r="A4163" t="inlineStr">
        <is>
          <t>f7f52d7843e579d62167f8afb3d1d946</t>
        </is>
      </c>
      <c r="B4163" t="inlineStr">
        <is>
          <t>2018-06-11</t>
        </is>
      </c>
      <c r="C4163" t="inlineStr">
        <is>
          <t>2018-06</t>
        </is>
      </c>
      <c r="D4163" t="inlineStr">
        <is>
          <t>PE</t>
        </is>
      </c>
      <c r="E4163" t="inlineStr">
        <is>
          <t>electronics</t>
        </is>
      </c>
      <c r="F4163" t="n">
        <v>1</v>
      </c>
      <c r="G4163" t="n">
        <v>9.5</v>
      </c>
      <c r="H4163" t="n">
        <v>37.04</v>
      </c>
      <c r="I4163" t="inlineStr">
        <is>
          <t>credit_card</t>
        </is>
      </c>
      <c r="J4163" t="n">
        <v>9</v>
      </c>
      <c r="K4163" t="inlineStr">
        <is>
          <t>On Time</t>
        </is>
      </c>
      <c r="L4163" t="n">
        <v>5</v>
      </c>
      <c r="M4163">
        <f>VLOOKUP(D4163,State_Lookup!$A$2:$B$28,2,FALSE)</f>
        <v/>
      </c>
    </row>
    <row r="4164">
      <c r="A4164" t="inlineStr">
        <is>
          <t>511ec73b8104809938ca0ee00706c0ca</t>
        </is>
      </c>
      <c r="B4164" t="inlineStr">
        <is>
          <t>2018-06-11</t>
        </is>
      </c>
      <c r="C4164" t="inlineStr">
        <is>
          <t>2018-06</t>
        </is>
      </c>
      <c r="D4164" t="inlineStr">
        <is>
          <t>SP</t>
        </is>
      </c>
      <c r="E4164" t="inlineStr">
        <is>
          <t>food</t>
        </is>
      </c>
      <c r="F4164" t="n">
        <v>1</v>
      </c>
      <c r="G4164" t="n">
        <v>27.9</v>
      </c>
      <c r="H4164" t="n">
        <v>7.87</v>
      </c>
      <c r="I4164" t="inlineStr">
        <is>
          <t>credit_card</t>
        </is>
      </c>
      <c r="J4164" t="n">
        <v>2</v>
      </c>
      <c r="K4164" t="inlineStr">
        <is>
          <t>On Time</t>
        </is>
      </c>
      <c r="L4164" t="n">
        <v>4</v>
      </c>
      <c r="M4164">
        <f>VLOOKUP(D4164,State_Lookup!$A$2:$B$28,2,FALSE)</f>
        <v/>
      </c>
    </row>
    <row r="4165">
      <c r="A4165" t="inlineStr">
        <is>
          <t>a54f14e8c617edc690ea2b56276d6743</t>
        </is>
      </c>
      <c r="B4165" t="inlineStr">
        <is>
          <t>2018-06-11</t>
        </is>
      </c>
      <c r="C4165" t="inlineStr">
        <is>
          <t>2018-06</t>
        </is>
      </c>
      <c r="D4165" t="inlineStr">
        <is>
          <t>SP</t>
        </is>
      </c>
      <c r="E4165" t="inlineStr">
        <is>
          <t>computers_accessories</t>
        </is>
      </c>
      <c r="F4165" t="n">
        <v>1</v>
      </c>
      <c r="G4165" t="n">
        <v>63.9</v>
      </c>
      <c r="H4165" t="n">
        <v>13.79</v>
      </c>
      <c r="I4165" t="inlineStr">
        <is>
          <t>credit_card</t>
        </is>
      </c>
      <c r="J4165" t="n">
        <v>8</v>
      </c>
      <c r="K4165" t="inlineStr">
        <is>
          <t>On Time</t>
        </is>
      </c>
      <c r="L4165" t="n">
        <v>5</v>
      </c>
      <c r="M4165">
        <f>VLOOKUP(D4165,State_Lookup!$A$2:$B$28,2,FALSE)</f>
        <v/>
      </c>
    </row>
    <row r="4166">
      <c r="A4166" t="inlineStr">
        <is>
          <t>20a97330a091c74984f7cd0018cd15e4</t>
        </is>
      </c>
      <c r="B4166" t="inlineStr">
        <is>
          <t>2018-06-11</t>
        </is>
      </c>
      <c r="C4166" t="inlineStr">
        <is>
          <t>2018-06</t>
        </is>
      </c>
      <c r="D4166" t="inlineStr">
        <is>
          <t>SP</t>
        </is>
      </c>
      <c r="E4166" t="inlineStr">
        <is>
          <t>stationery</t>
        </is>
      </c>
      <c r="F4166" t="n">
        <v>1</v>
      </c>
      <c r="G4166" t="n">
        <v>25</v>
      </c>
      <c r="H4166" t="n">
        <v>7.39</v>
      </c>
      <c r="I4166" t="inlineStr">
        <is>
          <t>credit_card</t>
        </is>
      </c>
      <c r="J4166" t="n">
        <v>1</v>
      </c>
      <c r="K4166" t="inlineStr">
        <is>
          <t>On Time</t>
        </is>
      </c>
      <c r="L4166" t="n">
        <v>5</v>
      </c>
      <c r="M4166">
        <f>VLOOKUP(D4166,State_Lookup!$A$2:$B$28,2,FALSE)</f>
        <v/>
      </c>
    </row>
    <row r="4167">
      <c r="A4167" t="inlineStr">
        <is>
          <t>eabdb3245b41ac12ad9302904538202c</t>
        </is>
      </c>
      <c r="B4167" t="inlineStr">
        <is>
          <t>2018-06-11</t>
        </is>
      </c>
      <c r="C4167" t="inlineStr">
        <is>
          <t>2018-06</t>
        </is>
      </c>
      <c r="D4167" t="inlineStr">
        <is>
          <t>SP</t>
        </is>
      </c>
      <c r="E4167" t="inlineStr">
        <is>
          <t>bed_bath_table</t>
        </is>
      </c>
      <c r="F4167" t="n">
        <v>1</v>
      </c>
      <c r="G4167" t="n">
        <v>179.9</v>
      </c>
      <c r="H4167" t="n">
        <v>10.01</v>
      </c>
      <c r="I4167" t="inlineStr">
        <is>
          <t>credit_card</t>
        </is>
      </c>
      <c r="J4167" t="n">
        <v>4</v>
      </c>
      <c r="K4167" t="inlineStr">
        <is>
          <t>On Time</t>
        </is>
      </c>
      <c r="L4167" t="n">
        <v>1</v>
      </c>
      <c r="M4167">
        <f>VLOOKUP(D4167,State_Lookup!$A$2:$B$28,2,FALSE)</f>
        <v/>
      </c>
    </row>
    <row r="4168">
      <c r="A4168" t="inlineStr">
        <is>
          <t>03ecec245220b63fd7f68c1737ba99ba</t>
        </is>
      </c>
      <c r="B4168" t="inlineStr">
        <is>
          <t>2018-06-11</t>
        </is>
      </c>
      <c r="C4168" t="inlineStr">
        <is>
          <t>2018-06</t>
        </is>
      </c>
      <c r="D4168" t="inlineStr">
        <is>
          <t>TO</t>
        </is>
      </c>
      <c r="E4168" t="inlineStr">
        <is>
          <t>perfumery</t>
        </is>
      </c>
      <c r="F4168" t="n">
        <v>2</v>
      </c>
      <c r="G4168" t="n">
        <v>298.9</v>
      </c>
      <c r="H4168" t="n">
        <v>76.83</v>
      </c>
      <c r="I4168" t="inlineStr">
        <is>
          <t>credit_card</t>
        </is>
      </c>
      <c r="J4168" t="n">
        <v>9</v>
      </c>
      <c r="K4168" t="inlineStr">
        <is>
          <t>On Time</t>
        </is>
      </c>
      <c r="L4168" t="n">
        <v>3</v>
      </c>
      <c r="M4168">
        <f>VLOOKUP(D4168,State_Lookup!$A$2:$B$28,2,FALSE)</f>
        <v/>
      </c>
    </row>
    <row r="4169">
      <c r="A4169" t="inlineStr">
        <is>
          <t>9a142fefa71ded6bdc21817299f5ab7c</t>
        </is>
      </c>
      <c r="B4169" t="inlineStr">
        <is>
          <t>2018-06-11</t>
        </is>
      </c>
      <c r="C4169" t="inlineStr">
        <is>
          <t>2018-06</t>
        </is>
      </c>
      <c r="D4169" t="inlineStr">
        <is>
          <t>TO</t>
        </is>
      </c>
      <c r="E4169" t="inlineStr">
        <is>
          <t>sports_leisure</t>
        </is>
      </c>
      <c r="F4169" t="n">
        <v>1</v>
      </c>
      <c r="G4169" t="n">
        <v>349.9</v>
      </c>
      <c r="H4169" t="n">
        <v>85.37</v>
      </c>
      <c r="I4169" t="inlineStr">
        <is>
          <t>credit_card</t>
        </is>
      </c>
      <c r="J4169" t="n">
        <v>10</v>
      </c>
      <c r="K4169" t="inlineStr">
        <is>
          <t>On Time</t>
        </is>
      </c>
      <c r="L4169" t="n">
        <v>4</v>
      </c>
      <c r="M4169">
        <f>VLOOKUP(D4169,State_Lookup!$A$2:$B$28,2,FALSE)</f>
        <v/>
      </c>
    </row>
    <row r="4170">
      <c r="A4170" t="inlineStr">
        <is>
          <t>c5da9ed3db42d9ae4e1938ebd9f77a5d</t>
        </is>
      </c>
      <c r="B4170" t="inlineStr">
        <is>
          <t>2018-06-11</t>
        </is>
      </c>
      <c r="C4170" t="inlineStr">
        <is>
          <t>2018-06</t>
        </is>
      </c>
      <c r="D4170" t="inlineStr">
        <is>
          <t>SP</t>
        </is>
      </c>
      <c r="E4170" t="inlineStr">
        <is>
          <t>drinks</t>
        </is>
      </c>
      <c r="F4170" t="n">
        <v>1</v>
      </c>
      <c r="G4170" t="n">
        <v>29.49</v>
      </c>
      <c r="H4170" t="n">
        <v>9.44</v>
      </c>
      <c r="I4170" t="inlineStr">
        <is>
          <t>credit_card</t>
        </is>
      </c>
      <c r="J4170" t="n">
        <v>3</v>
      </c>
      <c r="K4170" t="inlineStr">
        <is>
          <t>On Time</t>
        </is>
      </c>
      <c r="L4170" t="n">
        <v>5</v>
      </c>
      <c r="M4170">
        <f>VLOOKUP(D4170,State_Lookup!$A$2:$B$28,2,FALSE)</f>
        <v/>
      </c>
    </row>
    <row r="4171">
      <c r="A4171" t="inlineStr">
        <is>
          <t>71e99de0514a59f2e5ac80e89773802a</t>
        </is>
      </c>
      <c r="B4171" t="inlineStr">
        <is>
          <t>2018-06-12</t>
        </is>
      </c>
      <c r="C4171" t="inlineStr">
        <is>
          <t>2018-06</t>
        </is>
      </c>
      <c r="D4171" t="inlineStr">
        <is>
          <t>MG</t>
        </is>
      </c>
      <c r="E4171" t="inlineStr">
        <is>
          <t>watches_gifts</t>
        </is>
      </c>
      <c r="F4171" t="n">
        <v>1</v>
      </c>
      <c r="G4171" t="n">
        <v>95</v>
      </c>
      <c r="H4171" t="n">
        <v>15.77</v>
      </c>
      <c r="I4171" t="inlineStr">
        <is>
          <t>credit_card</t>
        </is>
      </c>
      <c r="J4171" t="n">
        <v>5</v>
      </c>
      <c r="K4171" t="inlineStr">
        <is>
          <t>On Time</t>
        </is>
      </c>
      <c r="L4171" t="n">
        <v>3</v>
      </c>
      <c r="M4171">
        <f>VLOOKUP(D4171,State_Lookup!$A$2:$B$28,2,FALSE)</f>
        <v/>
      </c>
    </row>
    <row r="4172">
      <c r="A4172" t="inlineStr">
        <is>
          <t>5c6716058d09c774a733e192b5573e96</t>
        </is>
      </c>
      <c r="B4172" t="inlineStr">
        <is>
          <t>2018-06-12</t>
        </is>
      </c>
      <c r="C4172" t="inlineStr">
        <is>
          <t>2018-06</t>
        </is>
      </c>
      <c r="D4172" t="inlineStr">
        <is>
          <t>SP</t>
        </is>
      </c>
      <c r="E4172" t="inlineStr">
        <is>
          <t>industry_commerce_and_business</t>
        </is>
      </c>
      <c r="F4172" t="n">
        <v>1</v>
      </c>
      <c r="G4172" t="n">
        <v>69</v>
      </c>
      <c r="H4172" t="n">
        <v>36.75</v>
      </c>
      <c r="I4172" t="inlineStr">
        <is>
          <t>credit_card</t>
        </is>
      </c>
      <c r="J4172" t="n">
        <v>8</v>
      </c>
      <c r="K4172" t="inlineStr">
        <is>
          <t>On Time</t>
        </is>
      </c>
      <c r="L4172" t="n">
        <v>5</v>
      </c>
      <c r="M4172">
        <f>VLOOKUP(D4172,State_Lookup!$A$2:$B$28,2,FALSE)</f>
        <v/>
      </c>
    </row>
    <row r="4173">
      <c r="A4173" t="inlineStr">
        <is>
          <t>549d30fc0378a3645167a900c9ece399</t>
        </is>
      </c>
      <c r="B4173" t="inlineStr">
        <is>
          <t>2018-06-12</t>
        </is>
      </c>
      <c r="C4173" t="inlineStr">
        <is>
          <t>2018-06</t>
        </is>
      </c>
      <c r="D4173" t="inlineStr">
        <is>
          <t>BA</t>
        </is>
      </c>
      <c r="E4173" t="inlineStr">
        <is>
          <t>perfumery</t>
        </is>
      </c>
      <c r="F4173" t="n">
        <v>1</v>
      </c>
      <c r="G4173" t="n">
        <v>118.9</v>
      </c>
      <c r="H4173" t="n">
        <v>22.76</v>
      </c>
      <c r="I4173" t="inlineStr">
        <is>
          <t>credit_card</t>
        </is>
      </c>
      <c r="J4173" t="n">
        <v>7</v>
      </c>
      <c r="K4173" t="inlineStr">
        <is>
          <t>On Time</t>
        </is>
      </c>
      <c r="L4173" t="n">
        <v>5</v>
      </c>
      <c r="M4173">
        <f>VLOOKUP(D4173,State_Lookup!$A$2:$B$28,2,FALSE)</f>
        <v/>
      </c>
    </row>
    <row r="4174">
      <c r="A4174" t="inlineStr">
        <is>
          <t>1b764528e41e55c86cae49fca1d5bf18</t>
        </is>
      </c>
      <c r="B4174" t="inlineStr">
        <is>
          <t>2018-06-12</t>
        </is>
      </c>
      <c r="C4174" t="inlineStr">
        <is>
          <t>2018-06</t>
        </is>
      </c>
      <c r="D4174" t="inlineStr">
        <is>
          <t>SC</t>
        </is>
      </c>
      <c r="E4174" t="inlineStr">
        <is>
          <t>pet_shop</t>
        </is>
      </c>
      <c r="F4174" t="n">
        <v>1</v>
      </c>
      <c r="G4174" t="n">
        <v>179.9</v>
      </c>
      <c r="H4174" t="n">
        <v>24.48</v>
      </c>
      <c r="I4174" t="inlineStr">
        <is>
          <t>credit_card</t>
        </is>
      </c>
      <c r="J4174" t="n">
        <v>3</v>
      </c>
      <c r="K4174" t="inlineStr">
        <is>
          <t>On Time</t>
        </is>
      </c>
      <c r="L4174" t="n">
        <v>5</v>
      </c>
      <c r="M4174">
        <f>VLOOKUP(D4174,State_Lookup!$A$2:$B$28,2,FALSE)</f>
        <v/>
      </c>
    </row>
    <row r="4175">
      <c r="A4175" t="inlineStr">
        <is>
          <t>4433add7ec1811cbdb34a289d636f1f3</t>
        </is>
      </c>
      <c r="B4175" t="inlineStr">
        <is>
          <t>2018-06-12</t>
        </is>
      </c>
      <c r="C4175" t="inlineStr">
        <is>
          <t>2018-06</t>
        </is>
      </c>
      <c r="D4175" t="inlineStr">
        <is>
          <t>AL</t>
        </is>
      </c>
      <c r="E4175" t="inlineStr">
        <is>
          <t>cool_stuff</t>
        </is>
      </c>
      <c r="F4175" t="n">
        <v>1</v>
      </c>
      <c r="G4175" t="n">
        <v>209.99</v>
      </c>
      <c r="H4175" t="n">
        <v>35.68</v>
      </c>
      <c r="I4175" t="inlineStr">
        <is>
          <t>credit_card</t>
        </is>
      </c>
      <c r="J4175" t="n">
        <v>16</v>
      </c>
      <c r="K4175" t="inlineStr">
        <is>
          <t>On Time</t>
        </is>
      </c>
      <c r="L4175" t="n">
        <v>4</v>
      </c>
      <c r="M4175">
        <f>VLOOKUP(D4175,State_Lookup!$A$2:$B$28,2,FALSE)</f>
        <v/>
      </c>
    </row>
    <row r="4176">
      <c r="A4176" t="inlineStr">
        <is>
          <t>3a5fc5a4374b66b42bae2135cfcdf9e2</t>
        </is>
      </c>
      <c r="B4176" t="inlineStr">
        <is>
          <t>2018-06-12</t>
        </is>
      </c>
      <c r="C4176" t="inlineStr">
        <is>
          <t>2018-06</t>
        </is>
      </c>
      <c r="D4176" t="inlineStr">
        <is>
          <t>MG</t>
        </is>
      </c>
      <c r="E4176" t="inlineStr">
        <is>
          <t>housewares</t>
        </is>
      </c>
      <c r="F4176" t="n">
        <v>1</v>
      </c>
      <c r="G4176" t="n">
        <v>159.9</v>
      </c>
      <c r="H4176" t="n">
        <v>16.19</v>
      </c>
      <c r="I4176" t="inlineStr">
        <is>
          <t>credit_card</t>
        </is>
      </c>
      <c r="J4176" t="n">
        <v>6</v>
      </c>
      <c r="K4176" t="inlineStr">
        <is>
          <t>On Time</t>
        </is>
      </c>
      <c r="L4176" t="n">
        <v>5</v>
      </c>
      <c r="M4176">
        <f>VLOOKUP(D4176,State_Lookup!$A$2:$B$28,2,FALSE)</f>
        <v/>
      </c>
    </row>
    <row r="4177">
      <c r="A4177" t="inlineStr">
        <is>
          <t>f2e7c5a142f10116a1e657090e50e83a</t>
        </is>
      </c>
      <c r="B4177" t="inlineStr">
        <is>
          <t>2018-06-12</t>
        </is>
      </c>
      <c r="C4177" t="inlineStr">
        <is>
          <t>2018-06</t>
        </is>
      </c>
      <c r="D4177" t="inlineStr">
        <is>
          <t>PA</t>
        </is>
      </c>
      <c r="E4177" t="inlineStr">
        <is>
          <t>construction_tools_construction</t>
        </is>
      </c>
      <c r="F4177" t="n">
        <v>1</v>
      </c>
      <c r="G4177" t="n">
        <v>299.99</v>
      </c>
      <c r="H4177" t="n">
        <v>28.76</v>
      </c>
      <c r="I4177" t="inlineStr">
        <is>
          <t>debit_card</t>
        </is>
      </c>
      <c r="J4177" t="n">
        <v>21</v>
      </c>
      <c r="K4177" t="inlineStr">
        <is>
          <t>On Time</t>
        </is>
      </c>
      <c r="L4177" t="n">
        <v>4</v>
      </c>
      <c r="M4177">
        <f>VLOOKUP(D4177,State_Lookup!$A$2:$B$28,2,FALSE)</f>
        <v/>
      </c>
    </row>
    <row r="4178">
      <c r="A4178" t="inlineStr">
        <is>
          <t>609fe250465553b45a01fc8de7109383</t>
        </is>
      </c>
      <c r="B4178" t="inlineStr">
        <is>
          <t>2018-06-12</t>
        </is>
      </c>
      <c r="C4178" t="inlineStr">
        <is>
          <t>2018-06</t>
        </is>
      </c>
      <c r="D4178" t="inlineStr">
        <is>
          <t>SP</t>
        </is>
      </c>
      <c r="E4178" t="inlineStr">
        <is>
          <t>health_beauty</t>
        </is>
      </c>
      <c r="F4178" t="n">
        <v>1</v>
      </c>
      <c r="G4178" t="n">
        <v>28.9</v>
      </c>
      <c r="H4178" t="n">
        <v>9.51</v>
      </c>
      <c r="I4178" t="inlineStr">
        <is>
          <t>boleto</t>
        </is>
      </c>
      <c r="J4178" t="n">
        <v>2</v>
      </c>
      <c r="K4178" t="inlineStr">
        <is>
          <t>On Time</t>
        </is>
      </c>
      <c r="L4178" t="n">
        <v>5</v>
      </c>
      <c r="M4178">
        <f>VLOOKUP(D4178,State_Lookup!$A$2:$B$28,2,FALSE)</f>
        <v/>
      </c>
    </row>
    <row r="4179">
      <c r="A4179" t="inlineStr">
        <is>
          <t>8f702483ec7aee668f059ef71fc07a5c</t>
        </is>
      </c>
      <c r="B4179" t="inlineStr">
        <is>
          <t>2018-06-12</t>
        </is>
      </c>
      <c r="C4179" t="inlineStr">
        <is>
          <t>2018-06</t>
        </is>
      </c>
      <c r="D4179" t="inlineStr">
        <is>
          <t>SP</t>
        </is>
      </c>
      <c r="E4179" t="inlineStr">
        <is>
          <t>bed_bath_table</t>
        </is>
      </c>
      <c r="F4179" t="n">
        <v>1</v>
      </c>
      <c r="G4179" t="n">
        <v>129</v>
      </c>
      <c r="H4179" t="n">
        <v>19</v>
      </c>
      <c r="I4179" t="inlineStr">
        <is>
          <t>boleto</t>
        </is>
      </c>
      <c r="J4179" t="n">
        <v>6</v>
      </c>
      <c r="K4179" t="inlineStr">
        <is>
          <t>On Time</t>
        </is>
      </c>
      <c r="L4179" t="n">
        <v>5</v>
      </c>
      <c r="M4179">
        <f>VLOOKUP(D4179,State_Lookup!$A$2:$B$28,2,FALSE)</f>
        <v/>
      </c>
    </row>
    <row r="4180">
      <c r="A4180" t="inlineStr">
        <is>
          <t>471a20066d4855e0de2359824437be13</t>
        </is>
      </c>
      <c r="B4180" t="inlineStr">
        <is>
          <t>2018-06-13</t>
        </is>
      </c>
      <c r="C4180" t="inlineStr">
        <is>
          <t>2018-06</t>
        </is>
      </c>
      <c r="D4180" t="inlineStr">
        <is>
          <t>PR</t>
        </is>
      </c>
      <c r="E4180" t="inlineStr">
        <is>
          <t>watches_gifts</t>
        </is>
      </c>
      <c r="F4180" t="n">
        <v>1</v>
      </c>
      <c r="G4180" t="n">
        <v>79</v>
      </c>
      <c r="H4180" t="n">
        <v>18.65</v>
      </c>
      <c r="I4180" t="inlineStr">
        <is>
          <t>boleto</t>
        </is>
      </c>
      <c r="J4180" t="n">
        <v>6</v>
      </c>
      <c r="K4180" t="inlineStr">
        <is>
          <t>On Time</t>
        </is>
      </c>
      <c r="L4180" t="n">
        <v>5</v>
      </c>
      <c r="M4180">
        <f>VLOOKUP(D4180,State_Lookup!$A$2:$B$28,2,FALSE)</f>
        <v/>
      </c>
    </row>
    <row r="4181">
      <c r="A4181" t="inlineStr">
        <is>
          <t>42c9e271e2d5ac7698d3061451576d42</t>
        </is>
      </c>
      <c r="B4181" t="inlineStr">
        <is>
          <t>2018-06-13</t>
        </is>
      </c>
      <c r="C4181" t="inlineStr">
        <is>
          <t>2018-06</t>
        </is>
      </c>
      <c r="D4181" t="inlineStr">
        <is>
          <t>MG</t>
        </is>
      </c>
      <c r="E4181" t="inlineStr">
        <is>
          <t>toys</t>
        </is>
      </c>
      <c r="F4181" t="n">
        <v>1</v>
      </c>
      <c r="G4181" t="n">
        <v>25</v>
      </c>
      <c r="H4181" t="n">
        <v>19.37</v>
      </c>
      <c r="I4181" t="inlineStr">
        <is>
          <t>debit_card</t>
        </is>
      </c>
      <c r="J4181" t="n">
        <v>7</v>
      </c>
      <c r="K4181" t="inlineStr">
        <is>
          <t>On Time</t>
        </is>
      </c>
      <c r="L4181" t="n">
        <v>5</v>
      </c>
      <c r="M4181">
        <f>VLOOKUP(D4181,State_Lookup!$A$2:$B$28,2,FALSE)</f>
        <v/>
      </c>
    </row>
    <row r="4182">
      <c r="A4182" t="inlineStr">
        <is>
          <t>ae1b14b57f98fbf9a364b91093c93e40</t>
        </is>
      </c>
      <c r="B4182" t="inlineStr">
        <is>
          <t>2018-06-13</t>
        </is>
      </c>
      <c r="C4182" t="inlineStr">
        <is>
          <t>2018-06</t>
        </is>
      </c>
      <c r="D4182" t="inlineStr">
        <is>
          <t>PR</t>
        </is>
      </c>
      <c r="E4182" t="inlineStr">
        <is>
          <t>housewares</t>
        </is>
      </c>
      <c r="F4182" t="n">
        <v>1</v>
      </c>
      <c r="G4182" t="n">
        <v>29.9</v>
      </c>
      <c r="H4182" t="n">
        <v>16.4</v>
      </c>
      <c r="I4182" t="inlineStr">
        <is>
          <t>credit_card</t>
        </is>
      </c>
      <c r="J4182" t="n">
        <v>8</v>
      </c>
      <c r="K4182" t="inlineStr">
        <is>
          <t>On Time</t>
        </is>
      </c>
      <c r="L4182" t="n">
        <v>1</v>
      </c>
      <c r="M4182">
        <f>VLOOKUP(D4182,State_Lookup!$A$2:$B$28,2,FALSE)</f>
        <v/>
      </c>
    </row>
    <row r="4183">
      <c r="A4183" t="inlineStr">
        <is>
          <t>5bca61e411c4fcce08327a8efc371911</t>
        </is>
      </c>
      <c r="B4183" t="inlineStr">
        <is>
          <t>2018-06-13</t>
        </is>
      </c>
      <c r="C4183" t="inlineStr">
        <is>
          <t>2018-06</t>
        </is>
      </c>
      <c r="D4183" t="inlineStr">
        <is>
          <t>SP</t>
        </is>
      </c>
      <c r="E4183" t="inlineStr">
        <is>
          <t>housewares</t>
        </is>
      </c>
      <c r="F4183" t="n">
        <v>1</v>
      </c>
      <c r="G4183" t="n">
        <v>388.16</v>
      </c>
      <c r="H4183" t="n">
        <v>106.11</v>
      </c>
      <c r="I4183" t="inlineStr">
        <is>
          <t>credit_card</t>
        </is>
      </c>
      <c r="J4183" t="inlineStr"/>
      <c r="K4183" t="inlineStr">
        <is>
          <t>Not Delivered</t>
        </is>
      </c>
      <c r="L4183" t="n">
        <v>1</v>
      </c>
      <c r="M4183">
        <f>VLOOKUP(D4183,State_Lookup!$A$2:$B$28,2,FALSE)</f>
        <v/>
      </c>
    </row>
    <row r="4184">
      <c r="A4184" t="inlineStr">
        <is>
          <t>3eee7c93497d482e7a3c335e325ea0ec</t>
        </is>
      </c>
      <c r="B4184" t="inlineStr">
        <is>
          <t>2018-06-13</t>
        </is>
      </c>
      <c r="C4184" t="inlineStr">
        <is>
          <t>2018-06</t>
        </is>
      </c>
      <c r="D4184" t="inlineStr">
        <is>
          <t>SC</t>
        </is>
      </c>
      <c r="E4184" t="inlineStr">
        <is>
          <t>sports_leisure</t>
        </is>
      </c>
      <c r="F4184" t="n">
        <v>2</v>
      </c>
      <c r="G4184" t="n">
        <v>89.8</v>
      </c>
      <c r="H4184" t="n">
        <v>36.82</v>
      </c>
      <c r="I4184" t="inlineStr">
        <is>
          <t>credit_card</t>
        </is>
      </c>
      <c r="J4184" t="n">
        <v>7</v>
      </c>
      <c r="K4184" t="inlineStr">
        <is>
          <t>On Time</t>
        </is>
      </c>
      <c r="L4184" t="n">
        <v>5</v>
      </c>
      <c r="M4184">
        <f>VLOOKUP(D4184,State_Lookup!$A$2:$B$28,2,FALSE)</f>
        <v/>
      </c>
    </row>
    <row r="4185">
      <c r="A4185" t="inlineStr">
        <is>
          <t>e50fcda6d7d9a1e22b4d9d1d65ae8224</t>
        </is>
      </c>
      <c r="B4185" t="inlineStr">
        <is>
          <t>2018-06-13</t>
        </is>
      </c>
      <c r="C4185" t="inlineStr">
        <is>
          <t>2018-06</t>
        </is>
      </c>
      <c r="D4185" t="inlineStr">
        <is>
          <t>SP</t>
        </is>
      </c>
      <c r="E4185" t="inlineStr">
        <is>
          <t>furniture_decor</t>
        </is>
      </c>
      <c r="F4185" t="n">
        <v>1</v>
      </c>
      <c r="G4185" t="n">
        <v>39.9</v>
      </c>
      <c r="H4185" t="n">
        <v>12.01</v>
      </c>
      <c r="I4185" t="inlineStr">
        <is>
          <t>boleto</t>
        </is>
      </c>
      <c r="J4185" t="n">
        <v>9</v>
      </c>
      <c r="K4185" t="inlineStr">
        <is>
          <t>On Time</t>
        </is>
      </c>
      <c r="L4185" t="n">
        <v>5</v>
      </c>
      <c r="M4185">
        <f>VLOOKUP(D4185,State_Lookup!$A$2:$B$28,2,FALSE)</f>
        <v/>
      </c>
    </row>
    <row r="4186">
      <c r="A4186" t="inlineStr">
        <is>
          <t>9711d975b961355b4b5d636857e48498</t>
        </is>
      </c>
      <c r="B4186" t="inlineStr">
        <is>
          <t>2018-06-13</t>
        </is>
      </c>
      <c r="C4186" t="inlineStr">
        <is>
          <t>2018-06</t>
        </is>
      </c>
      <c r="D4186" t="inlineStr">
        <is>
          <t>RJ</t>
        </is>
      </c>
      <c r="E4186" t="inlineStr">
        <is>
          <t>small_appliances</t>
        </is>
      </c>
      <c r="F4186" t="n">
        <v>1</v>
      </c>
      <c r="G4186" t="n">
        <v>50</v>
      </c>
      <c r="H4186" t="n">
        <v>9.279999999999999</v>
      </c>
      <c r="I4186" t="inlineStr">
        <is>
          <t>credit_card</t>
        </is>
      </c>
      <c r="J4186" t="n">
        <v>12</v>
      </c>
      <c r="K4186" t="inlineStr">
        <is>
          <t>On Time</t>
        </is>
      </c>
      <c r="L4186" t="n">
        <v>1</v>
      </c>
      <c r="M4186">
        <f>VLOOKUP(D4186,State_Lookup!$A$2:$B$28,2,FALSE)</f>
        <v/>
      </c>
    </row>
    <row r="4187">
      <c r="A4187" t="inlineStr">
        <is>
          <t>e2ae500f28aab47adcb9f215fac99b5b</t>
        </is>
      </c>
      <c r="B4187" t="inlineStr">
        <is>
          <t>2018-06-13</t>
        </is>
      </c>
      <c r="C4187" t="inlineStr">
        <is>
          <t>2018-06</t>
        </is>
      </c>
      <c r="D4187" t="inlineStr">
        <is>
          <t>MG</t>
        </is>
      </c>
      <c r="E4187" t="inlineStr">
        <is>
          <t>watches_gifts</t>
        </is>
      </c>
      <c r="F4187" t="n">
        <v>1</v>
      </c>
      <c r="G4187" t="n">
        <v>78</v>
      </c>
      <c r="H4187" t="n">
        <v>18.65</v>
      </c>
      <c r="I4187" t="inlineStr">
        <is>
          <t>credit_card</t>
        </is>
      </c>
      <c r="J4187" t="n">
        <v>6</v>
      </c>
      <c r="K4187" t="inlineStr">
        <is>
          <t>On Time</t>
        </is>
      </c>
      <c r="L4187" t="n">
        <v>5</v>
      </c>
      <c r="M4187">
        <f>VLOOKUP(D4187,State_Lookup!$A$2:$B$28,2,FALSE)</f>
        <v/>
      </c>
    </row>
    <row r="4188">
      <c r="A4188" t="inlineStr">
        <is>
          <t>dbd8e1a6d62bae210e6a42ed8bcf8d39</t>
        </is>
      </c>
      <c r="B4188" t="inlineStr">
        <is>
          <t>2018-06-13</t>
        </is>
      </c>
      <c r="C4188" t="inlineStr">
        <is>
          <t>2018-06</t>
        </is>
      </c>
      <c r="D4188" t="inlineStr">
        <is>
          <t>RJ</t>
        </is>
      </c>
      <c r="E4188" t="inlineStr">
        <is>
          <t>watches_gifts</t>
        </is>
      </c>
      <c r="F4188" t="n">
        <v>1</v>
      </c>
      <c r="G4188" t="n">
        <v>55</v>
      </c>
      <c r="H4188" t="n">
        <v>15.49</v>
      </c>
      <c r="I4188" t="inlineStr">
        <is>
          <t>credit_card</t>
        </is>
      </c>
      <c r="J4188" t="n">
        <v>4</v>
      </c>
      <c r="K4188" t="inlineStr">
        <is>
          <t>On Time</t>
        </is>
      </c>
      <c r="L4188" t="n">
        <v>5</v>
      </c>
      <c r="M4188">
        <f>VLOOKUP(D4188,State_Lookup!$A$2:$B$28,2,FALSE)</f>
        <v/>
      </c>
    </row>
    <row r="4189">
      <c r="A4189" t="inlineStr">
        <is>
          <t>f52952f4c900a5c0295a392769f7538e</t>
        </is>
      </c>
      <c r="B4189" t="inlineStr">
        <is>
          <t>2018-06-13</t>
        </is>
      </c>
      <c r="C4189" t="inlineStr">
        <is>
          <t>2018-06</t>
        </is>
      </c>
      <c r="D4189" t="inlineStr">
        <is>
          <t>SP</t>
        </is>
      </c>
      <c r="E4189" t="inlineStr">
        <is>
          <t>health_beauty</t>
        </is>
      </c>
      <c r="F4189" t="n">
        <v>1</v>
      </c>
      <c r="G4189" t="n">
        <v>99</v>
      </c>
      <c r="H4189" t="n">
        <v>13.99</v>
      </c>
      <c r="I4189" t="inlineStr">
        <is>
          <t>credit_card</t>
        </is>
      </c>
      <c r="J4189" t="n">
        <v>5</v>
      </c>
      <c r="K4189" t="inlineStr">
        <is>
          <t>On Time</t>
        </is>
      </c>
      <c r="L4189" t="n">
        <v>2</v>
      </c>
      <c r="M4189">
        <f>VLOOKUP(D4189,State_Lookup!$A$2:$B$28,2,FALSE)</f>
        <v/>
      </c>
    </row>
    <row r="4190">
      <c r="A4190" t="inlineStr">
        <is>
          <t>59c85bd55f3914b2f9b2d5a4d1309b51</t>
        </is>
      </c>
      <c r="B4190" t="inlineStr">
        <is>
          <t>2018-06-13</t>
        </is>
      </c>
      <c r="C4190" t="inlineStr">
        <is>
          <t>2018-06</t>
        </is>
      </c>
      <c r="D4190" t="inlineStr">
        <is>
          <t>SP</t>
        </is>
      </c>
      <c r="E4190" t="inlineStr">
        <is>
          <t>bed_bath_table</t>
        </is>
      </c>
      <c r="F4190" t="n">
        <v>1</v>
      </c>
      <c r="G4190" t="n">
        <v>39.97</v>
      </c>
      <c r="H4190" t="n">
        <v>15.38</v>
      </c>
      <c r="I4190" t="inlineStr">
        <is>
          <t>boleto</t>
        </is>
      </c>
      <c r="J4190" t="n">
        <v>6</v>
      </c>
      <c r="K4190" t="inlineStr">
        <is>
          <t>On Time</t>
        </is>
      </c>
      <c r="L4190" t="n">
        <v>5</v>
      </c>
      <c r="M4190">
        <f>VLOOKUP(D4190,State_Lookup!$A$2:$B$28,2,FALSE)</f>
        <v/>
      </c>
    </row>
    <row r="4191">
      <c r="A4191" t="inlineStr">
        <is>
          <t>e58ac2a3d13a940b460ccc4299264f37</t>
        </is>
      </c>
      <c r="B4191" t="inlineStr">
        <is>
          <t>2018-06-13</t>
        </is>
      </c>
      <c r="C4191" t="inlineStr">
        <is>
          <t>2018-06</t>
        </is>
      </c>
      <c r="D4191" t="inlineStr">
        <is>
          <t>RS</t>
        </is>
      </c>
      <c r="E4191" t="inlineStr">
        <is>
          <t>housewares</t>
        </is>
      </c>
      <c r="F4191" t="n">
        <v>1</v>
      </c>
      <c r="G4191" t="n">
        <v>85.90000000000001</v>
      </c>
      <c r="H4191" t="n">
        <v>23.4</v>
      </c>
      <c r="I4191" t="inlineStr">
        <is>
          <t>credit_card</t>
        </is>
      </c>
      <c r="J4191" t="n">
        <v>14</v>
      </c>
      <c r="K4191" t="inlineStr">
        <is>
          <t>On Time</t>
        </is>
      </c>
      <c r="L4191" t="n">
        <v>5</v>
      </c>
      <c r="M4191">
        <f>VLOOKUP(D4191,State_Lookup!$A$2:$B$28,2,FALSE)</f>
        <v/>
      </c>
    </row>
    <row r="4192">
      <c r="A4192" t="inlineStr">
        <is>
          <t>2353c3b67536350ec12490aaa0b01c39</t>
        </is>
      </c>
      <c r="B4192" t="inlineStr">
        <is>
          <t>2018-06-13</t>
        </is>
      </c>
      <c r="C4192" t="inlineStr">
        <is>
          <t>2018-06</t>
        </is>
      </c>
      <c r="D4192" t="inlineStr">
        <is>
          <t>SP</t>
        </is>
      </c>
      <c r="E4192" t="inlineStr">
        <is>
          <t>health_beauty</t>
        </is>
      </c>
      <c r="F4192" t="n">
        <v>1</v>
      </c>
      <c r="G4192" t="n">
        <v>95</v>
      </c>
      <c r="H4192" t="n">
        <v>7.93</v>
      </c>
      <c r="I4192" t="inlineStr">
        <is>
          <t>credit_card</t>
        </is>
      </c>
      <c r="J4192" t="n">
        <v>2</v>
      </c>
      <c r="K4192" t="inlineStr">
        <is>
          <t>On Time</t>
        </is>
      </c>
      <c r="L4192" t="n">
        <v>5</v>
      </c>
      <c r="M4192">
        <f>VLOOKUP(D4192,State_Lookup!$A$2:$B$28,2,FALSE)</f>
        <v/>
      </c>
    </row>
    <row r="4193">
      <c r="A4193" t="inlineStr">
        <is>
          <t>4c17c523dc7daa9cfdfb327f119179a4</t>
        </is>
      </c>
      <c r="B4193" t="inlineStr">
        <is>
          <t>2018-06-13</t>
        </is>
      </c>
      <c r="C4193" t="inlineStr">
        <is>
          <t>2018-06</t>
        </is>
      </c>
      <c r="D4193" t="inlineStr">
        <is>
          <t>SP</t>
        </is>
      </c>
      <c r="E4193" t="inlineStr">
        <is>
          <t>drinks</t>
        </is>
      </c>
      <c r="F4193" t="n">
        <v>1</v>
      </c>
      <c r="G4193" t="n">
        <v>29.49</v>
      </c>
      <c r="H4193" t="n">
        <v>13.79</v>
      </c>
      <c r="I4193" t="inlineStr">
        <is>
          <t>boleto</t>
        </is>
      </c>
      <c r="J4193" t="n">
        <v>7</v>
      </c>
      <c r="K4193" t="inlineStr">
        <is>
          <t>On Time</t>
        </is>
      </c>
      <c r="L4193" t="n">
        <v>3</v>
      </c>
      <c r="M4193">
        <f>VLOOKUP(D4193,State_Lookup!$A$2:$B$28,2,FALSE)</f>
        <v/>
      </c>
    </row>
    <row r="4194">
      <c r="A4194" t="inlineStr">
        <is>
          <t>cad2acef57f845758b7d0da4ee76a3e1</t>
        </is>
      </c>
      <c r="B4194" t="inlineStr">
        <is>
          <t>2018-06-13</t>
        </is>
      </c>
      <c r="C4194" t="inlineStr">
        <is>
          <t>2018-06</t>
        </is>
      </c>
      <c r="D4194" t="inlineStr">
        <is>
          <t>PR</t>
        </is>
      </c>
      <c r="E4194" t="inlineStr">
        <is>
          <t>furniture_decor</t>
        </is>
      </c>
      <c r="F4194" t="n">
        <v>1</v>
      </c>
      <c r="G4194" t="n">
        <v>189.9</v>
      </c>
      <c r="H4194" t="n">
        <v>86.54000000000001</v>
      </c>
      <c r="I4194" t="inlineStr">
        <is>
          <t>credit_card</t>
        </is>
      </c>
      <c r="J4194" t="n">
        <v>8</v>
      </c>
      <c r="K4194" t="inlineStr">
        <is>
          <t>On Time</t>
        </is>
      </c>
      <c r="L4194" t="n">
        <v>5</v>
      </c>
      <c r="M4194">
        <f>VLOOKUP(D4194,State_Lookup!$A$2:$B$28,2,FALSE)</f>
        <v/>
      </c>
    </row>
    <row r="4195">
      <c r="A4195" t="inlineStr">
        <is>
          <t>0b61dd71ead1e65e9d50db5b89cb5cc4</t>
        </is>
      </c>
      <c r="B4195" t="inlineStr">
        <is>
          <t>2018-06-13</t>
        </is>
      </c>
      <c r="C4195" t="inlineStr">
        <is>
          <t>2018-06</t>
        </is>
      </c>
      <c r="D4195" t="inlineStr">
        <is>
          <t>MG</t>
        </is>
      </c>
      <c r="E4195" t="inlineStr">
        <is>
          <t>health_beauty</t>
        </is>
      </c>
      <c r="F4195" t="n">
        <v>1</v>
      </c>
      <c r="G4195" t="n">
        <v>110.32</v>
      </c>
      <c r="H4195" t="n">
        <v>18.87</v>
      </c>
      <c r="I4195" t="inlineStr">
        <is>
          <t>credit_card</t>
        </is>
      </c>
      <c r="J4195" t="n">
        <v>6</v>
      </c>
      <c r="K4195" t="inlineStr">
        <is>
          <t>On Time</t>
        </is>
      </c>
      <c r="L4195" t="n">
        <v>4</v>
      </c>
      <c r="M4195">
        <f>VLOOKUP(D4195,State_Lookup!$A$2:$B$28,2,FALSE)</f>
        <v/>
      </c>
    </row>
    <row r="4196">
      <c r="A4196" t="inlineStr">
        <is>
          <t>9f625a3ed898cbfe30b9f9ef44897889</t>
        </is>
      </c>
      <c r="B4196" t="inlineStr">
        <is>
          <t>2018-06-13</t>
        </is>
      </c>
      <c r="C4196" t="inlineStr">
        <is>
          <t>2018-06</t>
        </is>
      </c>
      <c r="D4196" t="inlineStr">
        <is>
          <t>SP</t>
        </is>
      </c>
      <c r="E4196" t="inlineStr">
        <is>
          <t>housewares</t>
        </is>
      </c>
      <c r="F4196" t="n">
        <v>2</v>
      </c>
      <c r="G4196" t="n">
        <v>35.98</v>
      </c>
      <c r="H4196" t="n">
        <v>14.78</v>
      </c>
      <c r="I4196" t="inlineStr">
        <is>
          <t>boleto</t>
        </is>
      </c>
      <c r="J4196" t="n">
        <v>2</v>
      </c>
      <c r="K4196" t="inlineStr">
        <is>
          <t>On Time</t>
        </is>
      </c>
      <c r="L4196" t="n">
        <v>5</v>
      </c>
      <c r="M4196">
        <f>VLOOKUP(D4196,State_Lookup!$A$2:$B$28,2,FALSE)</f>
        <v/>
      </c>
    </row>
    <row r="4197">
      <c r="A4197" t="inlineStr">
        <is>
          <t>9c70e1f41efa94eecfbeeb5f13217760</t>
        </is>
      </c>
      <c r="B4197" t="inlineStr">
        <is>
          <t>2018-06-13</t>
        </is>
      </c>
      <c r="C4197" t="inlineStr">
        <is>
          <t>2018-06</t>
        </is>
      </c>
      <c r="D4197" t="inlineStr">
        <is>
          <t>SP</t>
        </is>
      </c>
      <c r="E4197" t="inlineStr">
        <is>
          <t>furniture_decor</t>
        </is>
      </c>
      <c r="F4197" t="n">
        <v>1</v>
      </c>
      <c r="G4197" t="n">
        <v>196.8</v>
      </c>
      <c r="H4197" t="n">
        <v>13.68</v>
      </c>
      <c r="I4197" t="inlineStr">
        <is>
          <t>credit_card</t>
        </is>
      </c>
      <c r="J4197" t="n">
        <v>6</v>
      </c>
      <c r="K4197" t="inlineStr">
        <is>
          <t>On Time</t>
        </is>
      </c>
      <c r="L4197" t="n">
        <v>5</v>
      </c>
      <c r="M4197">
        <f>VLOOKUP(D4197,State_Lookup!$A$2:$B$28,2,FALSE)</f>
        <v/>
      </c>
    </row>
    <row r="4198">
      <c r="A4198" t="inlineStr">
        <is>
          <t>c8567e9b03f16c9c4efdc8f8bf423204</t>
        </is>
      </c>
      <c r="B4198" t="inlineStr">
        <is>
          <t>2018-06-14</t>
        </is>
      </c>
      <c r="C4198" t="inlineStr">
        <is>
          <t>2018-06</t>
        </is>
      </c>
      <c r="D4198" t="inlineStr">
        <is>
          <t>BA</t>
        </is>
      </c>
      <c r="E4198" t="inlineStr">
        <is>
          <t>signaling_and_security</t>
        </is>
      </c>
      <c r="F4198" t="n">
        <v>1</v>
      </c>
      <c r="G4198" t="n">
        <v>319.9</v>
      </c>
      <c r="H4198" t="n">
        <v>24.17</v>
      </c>
      <c r="I4198" t="inlineStr">
        <is>
          <t>credit_card</t>
        </is>
      </c>
      <c r="J4198" t="n">
        <v>13</v>
      </c>
      <c r="K4198" t="inlineStr">
        <is>
          <t>On Time</t>
        </is>
      </c>
      <c r="L4198" t="n">
        <v>5</v>
      </c>
      <c r="M4198">
        <f>VLOOKUP(D4198,State_Lookup!$A$2:$B$28,2,FALSE)</f>
        <v/>
      </c>
    </row>
    <row r="4199">
      <c r="A4199" t="inlineStr">
        <is>
          <t>7c204785100c09c72acb28ef9a1f2fe2</t>
        </is>
      </c>
      <c r="B4199" t="inlineStr">
        <is>
          <t>2018-06-14</t>
        </is>
      </c>
      <c r="C4199" t="inlineStr">
        <is>
          <t>2018-06</t>
        </is>
      </c>
      <c r="D4199" t="inlineStr">
        <is>
          <t>SP</t>
        </is>
      </c>
      <c r="E4199" t="inlineStr">
        <is>
          <t>market_place</t>
        </is>
      </c>
      <c r="F4199" t="n">
        <v>1</v>
      </c>
      <c r="G4199" t="n">
        <v>27.93</v>
      </c>
      <c r="H4199" t="n">
        <v>8.359999999999999</v>
      </c>
      <c r="I4199" t="inlineStr">
        <is>
          <t>credit_card</t>
        </is>
      </c>
      <c r="J4199" t="n">
        <v>7</v>
      </c>
      <c r="K4199" t="inlineStr">
        <is>
          <t>On Time</t>
        </is>
      </c>
      <c r="L4199" t="n">
        <v>4</v>
      </c>
      <c r="M4199">
        <f>VLOOKUP(D4199,State_Lookup!$A$2:$B$28,2,FALSE)</f>
        <v/>
      </c>
    </row>
    <row r="4200">
      <c r="A4200" t="inlineStr">
        <is>
          <t>5cd1e199b5a1a3c27407766b2788851c</t>
        </is>
      </c>
      <c r="B4200" t="inlineStr">
        <is>
          <t>2018-06-14</t>
        </is>
      </c>
      <c r="C4200" t="inlineStr">
        <is>
          <t>2018-06</t>
        </is>
      </c>
      <c r="D4200" t="inlineStr">
        <is>
          <t>SP</t>
        </is>
      </c>
      <c r="E4200" t="inlineStr">
        <is>
          <t>bed_bath_table</t>
        </is>
      </c>
      <c r="F4200" t="n">
        <v>1</v>
      </c>
      <c r="G4200" t="n">
        <v>91.3</v>
      </c>
      <c r="H4200" t="n">
        <v>23.44</v>
      </c>
      <c r="I4200" t="inlineStr">
        <is>
          <t>credit_card</t>
        </is>
      </c>
      <c r="J4200" t="n">
        <v>12</v>
      </c>
      <c r="K4200" t="inlineStr">
        <is>
          <t>On Time</t>
        </is>
      </c>
      <c r="L4200" t="n">
        <v>5</v>
      </c>
      <c r="M4200">
        <f>VLOOKUP(D4200,State_Lookup!$A$2:$B$28,2,FALSE)</f>
        <v/>
      </c>
    </row>
    <row r="4201">
      <c r="A4201" t="inlineStr">
        <is>
          <t>a297f2735d1c57d50a70246794d12c3f</t>
        </is>
      </c>
      <c r="B4201" t="inlineStr">
        <is>
          <t>2018-06-14</t>
        </is>
      </c>
      <c r="C4201" t="inlineStr">
        <is>
          <t>2018-06</t>
        </is>
      </c>
      <c r="D4201" t="inlineStr">
        <is>
          <t>ES</t>
        </is>
      </c>
      <c r="E4201" t="inlineStr">
        <is>
          <t>sports_leisure</t>
        </is>
      </c>
      <c r="F4201" t="n">
        <v>1</v>
      </c>
      <c r="G4201" t="n">
        <v>26</v>
      </c>
      <c r="H4201" t="n">
        <v>18.28</v>
      </c>
      <c r="I4201" t="inlineStr">
        <is>
          <t>credit_card</t>
        </is>
      </c>
      <c r="J4201" t="n">
        <v>14</v>
      </c>
      <c r="K4201" t="inlineStr">
        <is>
          <t>On Time</t>
        </is>
      </c>
      <c r="L4201" t="n">
        <v>5</v>
      </c>
      <c r="M4201">
        <f>VLOOKUP(D4201,State_Lookup!$A$2:$B$28,2,FALSE)</f>
        <v/>
      </c>
    </row>
    <row r="4202">
      <c r="A4202" t="inlineStr">
        <is>
          <t>df545fca1d6c9f96b0eeeb751a6f2650</t>
        </is>
      </c>
      <c r="B4202" t="inlineStr">
        <is>
          <t>2018-06-14</t>
        </is>
      </c>
      <c r="C4202" t="inlineStr">
        <is>
          <t>2018-06</t>
        </is>
      </c>
      <c r="D4202" t="inlineStr">
        <is>
          <t>DF</t>
        </is>
      </c>
      <c r="E4202" t="inlineStr">
        <is>
          <t>watches_gifts</t>
        </is>
      </c>
      <c r="F4202" t="n">
        <v>1</v>
      </c>
      <c r="G4202" t="n">
        <v>99.98999999999999</v>
      </c>
      <c r="H4202" t="n">
        <v>15.8</v>
      </c>
      <c r="I4202" t="inlineStr">
        <is>
          <t>boleto</t>
        </is>
      </c>
      <c r="J4202" t="n">
        <v>15</v>
      </c>
      <c r="K4202" t="inlineStr">
        <is>
          <t>On Time</t>
        </is>
      </c>
      <c r="L4202" t="n">
        <v>4</v>
      </c>
      <c r="M4202">
        <f>VLOOKUP(D4202,State_Lookup!$A$2:$B$28,2,FALSE)</f>
        <v/>
      </c>
    </row>
    <row r="4203">
      <c r="A4203" t="inlineStr">
        <is>
          <t>21068b8eb0d85fa340b2cfaecaec42a8</t>
        </is>
      </c>
      <c r="B4203" t="inlineStr">
        <is>
          <t>2018-06-14</t>
        </is>
      </c>
      <c r="C4203" t="inlineStr">
        <is>
          <t>2018-06</t>
        </is>
      </c>
      <c r="D4203" t="inlineStr">
        <is>
          <t>RO</t>
        </is>
      </c>
      <c r="E4203" t="inlineStr">
        <is>
          <t>luggage_accessories</t>
        </is>
      </c>
      <c r="F4203" t="n">
        <v>1</v>
      </c>
      <c r="G4203" t="n">
        <v>169.9</v>
      </c>
      <c r="H4203" t="n">
        <v>61.47</v>
      </c>
      <c r="I4203" t="inlineStr">
        <is>
          <t>credit_card</t>
        </is>
      </c>
      <c r="J4203" t="n">
        <v>12</v>
      </c>
      <c r="K4203" t="inlineStr">
        <is>
          <t>On Time</t>
        </is>
      </c>
      <c r="L4203" t="n">
        <v>5</v>
      </c>
      <c r="M4203">
        <f>VLOOKUP(D4203,State_Lookup!$A$2:$B$28,2,FALSE)</f>
        <v/>
      </c>
    </row>
    <row r="4204">
      <c r="A4204" t="inlineStr">
        <is>
          <t>ee1a60d0930166de412a27e2af280f9c</t>
        </is>
      </c>
      <c r="B4204" t="inlineStr">
        <is>
          <t>2018-06-14</t>
        </is>
      </c>
      <c r="C4204" t="inlineStr">
        <is>
          <t>2018-06</t>
        </is>
      </c>
      <c r="D4204" t="inlineStr">
        <is>
          <t>SP</t>
        </is>
      </c>
      <c r="E4204" t="inlineStr">
        <is>
          <t>bed_bath_table</t>
        </is>
      </c>
      <c r="F4204" t="n">
        <v>1</v>
      </c>
      <c r="G4204" t="n">
        <v>47.9</v>
      </c>
      <c r="H4204" t="n">
        <v>9.09</v>
      </c>
      <c r="I4204" t="inlineStr">
        <is>
          <t>credit_card</t>
        </is>
      </c>
      <c r="J4204" t="n">
        <v>7</v>
      </c>
      <c r="K4204" t="inlineStr">
        <is>
          <t>On Time</t>
        </is>
      </c>
      <c r="L4204" t="n">
        <v>5</v>
      </c>
      <c r="M4204">
        <f>VLOOKUP(D4204,State_Lookup!$A$2:$B$28,2,FALSE)</f>
        <v/>
      </c>
    </row>
    <row r="4205">
      <c r="A4205" t="inlineStr">
        <is>
          <t>ae0b67266fec287e49a6bfa534e52d8c</t>
        </is>
      </c>
      <c r="B4205" t="inlineStr">
        <is>
          <t>2018-06-14</t>
        </is>
      </c>
      <c r="C4205" t="inlineStr">
        <is>
          <t>2018-06</t>
        </is>
      </c>
      <c r="D4205" t="inlineStr">
        <is>
          <t>SP</t>
        </is>
      </c>
      <c r="E4205" t="inlineStr">
        <is>
          <t>watches_gifts</t>
        </is>
      </c>
      <c r="F4205" t="n">
        <v>1</v>
      </c>
      <c r="G4205" t="n">
        <v>299.9</v>
      </c>
      <c r="H4205" t="n">
        <v>14.76</v>
      </c>
      <c r="I4205" t="inlineStr">
        <is>
          <t>boleto</t>
        </is>
      </c>
      <c r="J4205" t="n">
        <v>5</v>
      </c>
      <c r="K4205" t="inlineStr">
        <is>
          <t>On Time</t>
        </is>
      </c>
      <c r="L4205" t="n">
        <v>5</v>
      </c>
      <c r="M4205">
        <f>VLOOKUP(D4205,State_Lookup!$A$2:$B$28,2,FALSE)</f>
        <v/>
      </c>
    </row>
    <row r="4206">
      <c r="A4206" t="inlineStr">
        <is>
          <t>057889a9d468c179e39e9a6cdb5f4f8e</t>
        </is>
      </c>
      <c r="B4206" t="inlineStr">
        <is>
          <t>2018-06-15</t>
        </is>
      </c>
      <c r="C4206" t="inlineStr">
        <is>
          <t>2018-06</t>
        </is>
      </c>
      <c r="D4206" t="inlineStr">
        <is>
          <t>SP</t>
        </is>
      </c>
      <c r="E4206" t="inlineStr">
        <is>
          <t>furniture_decor</t>
        </is>
      </c>
      <c r="F4206" t="n">
        <v>1</v>
      </c>
      <c r="G4206" t="n">
        <v>69.90000000000001</v>
      </c>
      <c r="H4206" t="n">
        <v>35.34</v>
      </c>
      <c r="I4206" t="inlineStr">
        <is>
          <t>boleto</t>
        </is>
      </c>
      <c r="J4206" t="n">
        <v>11</v>
      </c>
      <c r="K4206" t="inlineStr">
        <is>
          <t>On Time</t>
        </is>
      </c>
      <c r="L4206" t="n">
        <v>4</v>
      </c>
      <c r="M4206">
        <f>VLOOKUP(D4206,State_Lookup!$A$2:$B$28,2,FALSE)</f>
        <v/>
      </c>
    </row>
    <row r="4207">
      <c r="A4207" t="inlineStr">
        <is>
          <t>b9e021cd678385c5fe5e9ef35d5bae49</t>
        </is>
      </c>
      <c r="B4207" t="inlineStr">
        <is>
          <t>2018-06-15</t>
        </is>
      </c>
      <c r="C4207" t="inlineStr">
        <is>
          <t>2018-06</t>
        </is>
      </c>
      <c r="D4207" t="inlineStr">
        <is>
          <t>RJ</t>
        </is>
      </c>
      <c r="E4207" t="inlineStr">
        <is>
          <t>furniture_decor</t>
        </is>
      </c>
      <c r="F4207" t="n">
        <v>1</v>
      </c>
      <c r="G4207" t="n">
        <v>18.9</v>
      </c>
      <c r="H4207" t="n">
        <v>7.55</v>
      </c>
      <c r="I4207" t="inlineStr">
        <is>
          <t>credit_card</t>
        </is>
      </c>
      <c r="J4207" t="n">
        <v>3</v>
      </c>
      <c r="K4207" t="inlineStr">
        <is>
          <t>On Time</t>
        </is>
      </c>
      <c r="L4207" t="n">
        <v>5</v>
      </c>
      <c r="M4207">
        <f>VLOOKUP(D4207,State_Lookup!$A$2:$B$28,2,FALSE)</f>
        <v/>
      </c>
    </row>
    <row r="4208">
      <c r="A4208" t="inlineStr">
        <is>
          <t>77b1fb852c170c3b7facfaf20083061c</t>
        </is>
      </c>
      <c r="B4208" t="inlineStr">
        <is>
          <t>2018-06-15</t>
        </is>
      </c>
      <c r="C4208" t="inlineStr">
        <is>
          <t>2018-06</t>
        </is>
      </c>
      <c r="D4208" t="inlineStr">
        <is>
          <t>DF</t>
        </is>
      </c>
      <c r="E4208" t="inlineStr">
        <is>
          <t>health_beauty</t>
        </is>
      </c>
      <c r="F4208" t="n">
        <v>1</v>
      </c>
      <c r="G4208" t="n">
        <v>51</v>
      </c>
      <c r="H4208" t="n">
        <v>23.16</v>
      </c>
      <c r="I4208" t="inlineStr">
        <is>
          <t>boleto</t>
        </is>
      </c>
      <c r="J4208" t="n">
        <v>10</v>
      </c>
      <c r="K4208" t="inlineStr">
        <is>
          <t>On Time</t>
        </is>
      </c>
      <c r="L4208" t="n">
        <v>5</v>
      </c>
      <c r="M4208">
        <f>VLOOKUP(D4208,State_Lookup!$A$2:$B$28,2,FALSE)</f>
        <v/>
      </c>
    </row>
    <row r="4209">
      <c r="A4209" t="inlineStr">
        <is>
          <t>ebcb12dc163784a4dad2cddb8feb64aa</t>
        </is>
      </c>
      <c r="B4209" t="inlineStr">
        <is>
          <t>2018-06-15</t>
        </is>
      </c>
      <c r="C4209" t="inlineStr">
        <is>
          <t>2018-06</t>
        </is>
      </c>
      <c r="D4209" t="inlineStr">
        <is>
          <t>RJ</t>
        </is>
      </c>
      <c r="E4209" t="inlineStr">
        <is>
          <t>computers_accessories</t>
        </is>
      </c>
      <c r="F4209" t="n">
        <v>1</v>
      </c>
      <c r="G4209" t="n">
        <v>149.9</v>
      </c>
      <c r="H4209" t="n">
        <v>21.32</v>
      </c>
      <c r="I4209" t="inlineStr">
        <is>
          <t>credit_card</t>
        </is>
      </c>
      <c r="J4209" t="n">
        <v>10</v>
      </c>
      <c r="K4209" t="inlineStr">
        <is>
          <t>On Time</t>
        </is>
      </c>
      <c r="L4209" t="n">
        <v>4</v>
      </c>
      <c r="M4209">
        <f>VLOOKUP(D4209,State_Lookup!$A$2:$B$28,2,FALSE)</f>
        <v/>
      </c>
    </row>
    <row r="4210">
      <c r="A4210" t="inlineStr">
        <is>
          <t>7a1b04571b7a200f334cf7a4ab4c918c</t>
        </is>
      </c>
      <c r="B4210" t="inlineStr">
        <is>
          <t>2018-06-15</t>
        </is>
      </c>
      <c r="C4210" t="inlineStr">
        <is>
          <t>2018-06</t>
        </is>
      </c>
      <c r="D4210" t="inlineStr">
        <is>
          <t>SP</t>
        </is>
      </c>
      <c r="E4210" t="inlineStr">
        <is>
          <t>pet_shop</t>
        </is>
      </c>
      <c r="F4210" t="n">
        <v>1</v>
      </c>
      <c r="G4210" t="n">
        <v>99.90000000000001</v>
      </c>
      <c r="H4210" t="n">
        <v>23.5</v>
      </c>
      <c r="I4210" t="inlineStr">
        <is>
          <t>credit_card</t>
        </is>
      </c>
      <c r="J4210" t="n">
        <v>6</v>
      </c>
      <c r="K4210" t="inlineStr">
        <is>
          <t>On Time</t>
        </is>
      </c>
      <c r="L4210" t="n">
        <v>5</v>
      </c>
      <c r="M4210">
        <f>VLOOKUP(D4210,State_Lookup!$A$2:$B$28,2,FALSE)</f>
        <v/>
      </c>
    </row>
    <row r="4211">
      <c r="A4211" t="inlineStr">
        <is>
          <t>ba4c51e2b3f76361019f66b1295f2593</t>
        </is>
      </c>
      <c r="B4211" t="inlineStr">
        <is>
          <t>2018-06-15</t>
        </is>
      </c>
      <c r="C4211" t="inlineStr">
        <is>
          <t>2018-06</t>
        </is>
      </c>
      <c r="D4211" t="inlineStr">
        <is>
          <t>RJ</t>
        </is>
      </c>
      <c r="E4211" t="inlineStr">
        <is>
          <t>cool_stuff</t>
        </is>
      </c>
      <c r="F4211" t="n">
        <v>1</v>
      </c>
      <c r="G4211" t="n">
        <v>219.99</v>
      </c>
      <c r="H4211" t="n">
        <v>45.46</v>
      </c>
      <c r="I4211" t="inlineStr">
        <is>
          <t>credit_card</t>
        </is>
      </c>
      <c r="J4211" t="n">
        <v>6</v>
      </c>
      <c r="K4211" t="inlineStr">
        <is>
          <t>On Time</t>
        </is>
      </c>
      <c r="L4211" t="n">
        <v>5</v>
      </c>
      <c r="M4211">
        <f>VLOOKUP(D4211,State_Lookup!$A$2:$B$28,2,FALSE)</f>
        <v/>
      </c>
    </row>
    <row r="4212">
      <c r="A4212" t="inlineStr">
        <is>
          <t>a2c31cac6514866fed16c4aa57c6f773</t>
        </is>
      </c>
      <c r="B4212" t="inlineStr">
        <is>
          <t>2018-06-15</t>
        </is>
      </c>
      <c r="C4212" t="inlineStr">
        <is>
          <t>2018-06</t>
        </is>
      </c>
      <c r="D4212" t="inlineStr">
        <is>
          <t>SP</t>
        </is>
      </c>
      <c r="E4212" t="inlineStr">
        <is>
          <t>art</t>
        </is>
      </c>
      <c r="F4212" t="n">
        <v>1</v>
      </c>
      <c r="G4212" t="n">
        <v>99.98999999999999</v>
      </c>
      <c r="H4212" t="n">
        <v>12.43</v>
      </c>
      <c r="I4212" t="inlineStr">
        <is>
          <t>boleto</t>
        </is>
      </c>
      <c r="J4212" t="n">
        <v>5</v>
      </c>
      <c r="K4212" t="inlineStr">
        <is>
          <t>On Time</t>
        </is>
      </c>
      <c r="L4212" t="n">
        <v>4</v>
      </c>
      <c r="M4212">
        <f>VLOOKUP(D4212,State_Lookup!$A$2:$B$28,2,FALSE)</f>
        <v/>
      </c>
    </row>
    <row r="4213">
      <c r="A4213" t="inlineStr">
        <is>
          <t>04f94352a3c9730205d3fa72cb014eb4</t>
        </is>
      </c>
      <c r="B4213" t="inlineStr">
        <is>
          <t>2018-06-15</t>
        </is>
      </c>
      <c r="C4213" t="inlineStr">
        <is>
          <t>2018-06</t>
        </is>
      </c>
      <c r="D4213" t="inlineStr">
        <is>
          <t>MG</t>
        </is>
      </c>
      <c r="E4213" t="inlineStr">
        <is>
          <t>furniture_decor</t>
        </is>
      </c>
      <c r="F4213" t="n">
        <v>2</v>
      </c>
      <c r="G4213" t="n">
        <v>430</v>
      </c>
      <c r="H4213" t="n">
        <v>84.98</v>
      </c>
      <c r="I4213" t="inlineStr">
        <is>
          <t>credit_card</t>
        </is>
      </c>
      <c r="J4213" t="n">
        <v>10</v>
      </c>
      <c r="K4213" t="inlineStr">
        <is>
          <t>On Time</t>
        </is>
      </c>
      <c r="L4213" t="n">
        <v>4</v>
      </c>
      <c r="M4213">
        <f>VLOOKUP(D4213,State_Lookup!$A$2:$B$28,2,FALSE)</f>
        <v/>
      </c>
    </row>
    <row r="4214">
      <c r="A4214" t="inlineStr">
        <is>
          <t>28cf0d3a2917f031ecf4715669a2dfad</t>
        </is>
      </c>
      <c r="B4214" t="inlineStr">
        <is>
          <t>2018-06-15</t>
        </is>
      </c>
      <c r="C4214" t="inlineStr">
        <is>
          <t>2018-06</t>
        </is>
      </c>
      <c r="D4214" t="inlineStr">
        <is>
          <t>SP</t>
        </is>
      </c>
      <c r="E4214" t="inlineStr">
        <is>
          <t>auto</t>
        </is>
      </c>
      <c r="F4214" t="n">
        <v>1</v>
      </c>
      <c r="G4214" t="n">
        <v>58.9</v>
      </c>
      <c r="H4214" t="n">
        <v>19.97</v>
      </c>
      <c r="I4214" t="inlineStr">
        <is>
          <t>boleto</t>
        </is>
      </c>
      <c r="J4214" t="n">
        <v>6</v>
      </c>
      <c r="K4214" t="inlineStr">
        <is>
          <t>On Time</t>
        </is>
      </c>
      <c r="L4214" t="n">
        <v>5</v>
      </c>
      <c r="M4214">
        <f>VLOOKUP(D4214,State_Lookup!$A$2:$B$28,2,FALSE)</f>
        <v/>
      </c>
    </row>
    <row r="4215">
      <c r="A4215" t="inlineStr">
        <is>
          <t>77831afddf2a5ebdda899a6adc91f88f</t>
        </is>
      </c>
      <c r="B4215" t="inlineStr">
        <is>
          <t>2018-06-15</t>
        </is>
      </c>
      <c r="C4215" t="inlineStr">
        <is>
          <t>2018-06</t>
        </is>
      </c>
      <c r="D4215" t="inlineStr">
        <is>
          <t>SP</t>
        </is>
      </c>
      <c r="E4215" t="inlineStr">
        <is>
          <t>toys</t>
        </is>
      </c>
      <c r="F4215" t="n">
        <v>1</v>
      </c>
      <c r="G4215" t="n">
        <v>89.90000000000001</v>
      </c>
      <c r="H4215" t="n">
        <v>9.380000000000001</v>
      </c>
      <c r="I4215" t="inlineStr">
        <is>
          <t>credit_card</t>
        </is>
      </c>
      <c r="J4215" t="n">
        <v>3</v>
      </c>
      <c r="K4215" t="inlineStr">
        <is>
          <t>On Time</t>
        </is>
      </c>
      <c r="L4215" t="n">
        <v>5</v>
      </c>
      <c r="M4215">
        <f>VLOOKUP(D4215,State_Lookup!$A$2:$B$28,2,FALSE)</f>
        <v/>
      </c>
    </row>
    <row r="4216">
      <c r="A4216" t="inlineStr">
        <is>
          <t>3d4b51e124185cb134ebc4fad365dc85</t>
        </is>
      </c>
      <c r="B4216" t="inlineStr">
        <is>
          <t>2018-06-16</t>
        </is>
      </c>
      <c r="C4216" t="inlineStr">
        <is>
          <t>2018-06</t>
        </is>
      </c>
      <c r="D4216" t="inlineStr">
        <is>
          <t>SP</t>
        </is>
      </c>
      <c r="E4216" t="inlineStr">
        <is>
          <t>pet_shop</t>
        </is>
      </c>
      <c r="F4216" t="n">
        <v>1</v>
      </c>
      <c r="G4216" t="n">
        <v>102</v>
      </c>
      <c r="H4216" t="n">
        <v>10.02</v>
      </c>
      <c r="I4216" t="inlineStr">
        <is>
          <t>credit_card</t>
        </is>
      </c>
      <c r="J4216" t="n">
        <v>9</v>
      </c>
      <c r="K4216" t="inlineStr">
        <is>
          <t>On Time</t>
        </is>
      </c>
      <c r="L4216" t="n">
        <v>5</v>
      </c>
      <c r="M4216">
        <f>VLOOKUP(D4216,State_Lookup!$A$2:$B$28,2,FALSE)</f>
        <v/>
      </c>
    </row>
    <row r="4217">
      <c r="A4217" t="inlineStr">
        <is>
          <t>3c01ff78a2f337f911274be0d0338656</t>
        </is>
      </c>
      <c r="B4217" t="inlineStr">
        <is>
          <t>2018-06-16</t>
        </is>
      </c>
      <c r="C4217" t="inlineStr">
        <is>
          <t>2018-06</t>
        </is>
      </c>
      <c r="D4217" t="inlineStr">
        <is>
          <t>PA</t>
        </is>
      </c>
      <c r="E4217" t="inlineStr">
        <is>
          <t>health_beauty</t>
        </is>
      </c>
      <c r="F4217" t="n">
        <v>1</v>
      </c>
      <c r="G4217" t="n">
        <v>140</v>
      </c>
      <c r="H4217" t="n">
        <v>68.12</v>
      </c>
      <c r="I4217" t="inlineStr">
        <is>
          <t>credit_card</t>
        </is>
      </c>
      <c r="J4217" t="n">
        <v>18</v>
      </c>
      <c r="K4217" t="inlineStr">
        <is>
          <t>On Time</t>
        </is>
      </c>
      <c r="L4217" t="n">
        <v>4</v>
      </c>
      <c r="M4217">
        <f>VLOOKUP(D4217,State_Lookup!$A$2:$B$28,2,FALSE)</f>
        <v/>
      </c>
    </row>
    <row r="4218">
      <c r="A4218" t="inlineStr">
        <is>
          <t>7427527f5f871c1681b4729ca7f38b59</t>
        </is>
      </c>
      <c r="B4218" t="inlineStr">
        <is>
          <t>2018-06-16</t>
        </is>
      </c>
      <c r="C4218" t="inlineStr">
        <is>
          <t>2018-06</t>
        </is>
      </c>
      <c r="D4218" t="inlineStr">
        <is>
          <t>SP</t>
        </is>
      </c>
      <c r="E4218" t="inlineStr">
        <is>
          <t>computers_accessories</t>
        </is>
      </c>
      <c r="F4218" t="n">
        <v>1</v>
      </c>
      <c r="G4218" t="n">
        <v>109.99</v>
      </c>
      <c r="H4218" t="n">
        <v>57.25</v>
      </c>
      <c r="I4218" t="inlineStr">
        <is>
          <t>credit_card</t>
        </is>
      </c>
      <c r="J4218" t="n">
        <v>11</v>
      </c>
      <c r="K4218" t="inlineStr">
        <is>
          <t>On Time</t>
        </is>
      </c>
      <c r="L4218" t="n">
        <v>5</v>
      </c>
      <c r="M4218">
        <f>VLOOKUP(D4218,State_Lookup!$A$2:$B$28,2,FALSE)</f>
        <v/>
      </c>
    </row>
    <row r="4219">
      <c r="A4219" t="inlineStr">
        <is>
          <t>3794637715d8b081505b74d3274f9c4c</t>
        </is>
      </c>
      <c r="B4219" t="inlineStr">
        <is>
          <t>2018-06-16</t>
        </is>
      </c>
      <c r="C4219" t="inlineStr">
        <is>
          <t>2018-06</t>
        </is>
      </c>
      <c r="D4219" t="inlineStr">
        <is>
          <t>PR</t>
        </is>
      </c>
      <c r="E4219" t="inlineStr">
        <is>
          <t>home_construction</t>
        </is>
      </c>
      <c r="F4219" t="n">
        <v>1</v>
      </c>
      <c r="G4219" t="n">
        <v>78</v>
      </c>
      <c r="H4219" t="n">
        <v>16.74</v>
      </c>
      <c r="I4219" t="inlineStr">
        <is>
          <t>credit_card</t>
        </is>
      </c>
      <c r="J4219" t="n">
        <v>10</v>
      </c>
      <c r="K4219" t="inlineStr">
        <is>
          <t>On Time</t>
        </is>
      </c>
      <c r="L4219" t="n">
        <v>2</v>
      </c>
      <c r="M4219">
        <f>VLOOKUP(D4219,State_Lookup!$A$2:$B$28,2,FALSE)</f>
        <v/>
      </c>
    </row>
    <row r="4220">
      <c r="A4220" t="inlineStr">
        <is>
          <t>a57d4debabea8a2d143b3d78e224d774</t>
        </is>
      </c>
      <c r="B4220" t="inlineStr">
        <is>
          <t>2018-06-16</t>
        </is>
      </c>
      <c r="C4220" t="inlineStr">
        <is>
          <t>2018-06</t>
        </is>
      </c>
      <c r="D4220" t="inlineStr">
        <is>
          <t>MG</t>
        </is>
      </c>
      <c r="E4220" t="inlineStr">
        <is>
          <t>computers_accessories</t>
        </is>
      </c>
      <c r="F4220" t="n">
        <v>1</v>
      </c>
      <c r="G4220" t="n">
        <v>22.32</v>
      </c>
      <c r="H4220" t="n">
        <v>7.74</v>
      </c>
      <c r="I4220" t="inlineStr">
        <is>
          <t>credit_card</t>
        </is>
      </c>
      <c r="J4220" t="n">
        <v>9</v>
      </c>
      <c r="K4220" t="inlineStr">
        <is>
          <t>On Time</t>
        </is>
      </c>
      <c r="L4220" t="n">
        <v>5</v>
      </c>
      <c r="M4220">
        <f>VLOOKUP(D4220,State_Lookup!$A$2:$B$28,2,FALSE)</f>
        <v/>
      </c>
    </row>
    <row r="4221">
      <c r="A4221" t="inlineStr">
        <is>
          <t>97be7604e2c6e1cbccaa1103dbac25ca</t>
        </is>
      </c>
      <c r="B4221" t="inlineStr">
        <is>
          <t>2018-06-16</t>
        </is>
      </c>
      <c r="C4221" t="inlineStr">
        <is>
          <t>2018-06</t>
        </is>
      </c>
      <c r="D4221" t="inlineStr">
        <is>
          <t>SP</t>
        </is>
      </c>
      <c r="E4221" t="inlineStr">
        <is>
          <t>housewares</t>
        </is>
      </c>
      <c r="F4221" t="n">
        <v>1</v>
      </c>
      <c r="G4221" t="n">
        <v>39</v>
      </c>
      <c r="H4221" t="n">
        <v>14.58</v>
      </c>
      <c r="I4221" t="inlineStr">
        <is>
          <t>boleto</t>
        </is>
      </c>
      <c r="J4221" t="n">
        <v>6</v>
      </c>
      <c r="K4221" t="inlineStr">
        <is>
          <t>On Time</t>
        </is>
      </c>
      <c r="L4221" t="n">
        <v>5</v>
      </c>
      <c r="M4221">
        <f>VLOOKUP(D4221,State_Lookup!$A$2:$B$28,2,FALSE)</f>
        <v/>
      </c>
    </row>
    <row r="4222">
      <c r="A4222" t="inlineStr">
        <is>
          <t>6e3224c4911f8c73424e7c2c7678c01e</t>
        </is>
      </c>
      <c r="B4222" t="inlineStr">
        <is>
          <t>2018-06-17</t>
        </is>
      </c>
      <c r="C4222" t="inlineStr">
        <is>
          <t>2018-06</t>
        </is>
      </c>
      <c r="D4222" t="inlineStr">
        <is>
          <t>MG</t>
        </is>
      </c>
      <c r="E4222" t="inlineStr">
        <is>
          <t>health_beauty</t>
        </is>
      </c>
      <c r="F4222" t="n">
        <v>1</v>
      </c>
      <c r="G4222" t="n">
        <v>39.99</v>
      </c>
      <c r="H4222" t="n">
        <v>18.38</v>
      </c>
      <c r="I4222" t="inlineStr">
        <is>
          <t>voucher</t>
        </is>
      </c>
      <c r="J4222" t="n">
        <v>5</v>
      </c>
      <c r="K4222" t="inlineStr">
        <is>
          <t>On Time</t>
        </is>
      </c>
      <c r="L4222" t="n">
        <v>5</v>
      </c>
      <c r="M4222">
        <f>VLOOKUP(D4222,State_Lookup!$A$2:$B$28,2,FALSE)</f>
        <v/>
      </c>
    </row>
    <row r="4223">
      <c r="A4223" t="inlineStr">
        <is>
          <t>2adb88df15a33d97f2990e59b1745820</t>
        </is>
      </c>
      <c r="B4223" t="inlineStr">
        <is>
          <t>2018-06-17</t>
        </is>
      </c>
      <c r="C4223" t="inlineStr">
        <is>
          <t>2018-06</t>
        </is>
      </c>
      <c r="D4223" t="inlineStr">
        <is>
          <t>RS</t>
        </is>
      </c>
      <c r="E4223" t="inlineStr">
        <is>
          <t>electronics</t>
        </is>
      </c>
      <c r="F4223" t="n">
        <v>1</v>
      </c>
      <c r="G4223" t="n">
        <v>12.25</v>
      </c>
      <c r="H4223" t="n">
        <v>15.23</v>
      </c>
      <c r="I4223" t="inlineStr">
        <is>
          <t>credit_card</t>
        </is>
      </c>
      <c r="J4223" t="n">
        <v>9</v>
      </c>
      <c r="K4223" t="inlineStr">
        <is>
          <t>On Time</t>
        </is>
      </c>
      <c r="L4223" t="n">
        <v>5</v>
      </c>
      <c r="M4223">
        <f>VLOOKUP(D4223,State_Lookup!$A$2:$B$28,2,FALSE)</f>
        <v/>
      </c>
    </row>
    <row r="4224">
      <c r="A4224" t="inlineStr">
        <is>
          <t>91744dee3192bc28caf20eaa3c2251ef</t>
        </is>
      </c>
      <c r="B4224" t="inlineStr">
        <is>
          <t>2018-06-17</t>
        </is>
      </c>
      <c r="C4224" t="inlineStr">
        <is>
          <t>2018-06</t>
        </is>
      </c>
      <c r="D4224" t="inlineStr">
        <is>
          <t>CE</t>
        </is>
      </c>
      <c r="E4224" t="inlineStr">
        <is>
          <t>watches_gifts</t>
        </is>
      </c>
      <c r="F4224" t="n">
        <v>1</v>
      </c>
      <c r="G4224" t="n">
        <v>55</v>
      </c>
      <c r="H4224" t="n">
        <v>19.3</v>
      </c>
      <c r="I4224" t="inlineStr">
        <is>
          <t>voucher</t>
        </is>
      </c>
      <c r="J4224" t="n">
        <v>11</v>
      </c>
      <c r="K4224" t="inlineStr">
        <is>
          <t>On Time</t>
        </is>
      </c>
      <c r="L4224" t="n">
        <v>5</v>
      </c>
      <c r="M4224">
        <f>VLOOKUP(D4224,State_Lookup!$A$2:$B$28,2,FALSE)</f>
        <v/>
      </c>
    </row>
    <row r="4225">
      <c r="A4225" t="inlineStr">
        <is>
          <t>9d465e0a985e7dbc3c4b76c71a479a1f</t>
        </is>
      </c>
      <c r="B4225" t="inlineStr">
        <is>
          <t>2018-06-17</t>
        </is>
      </c>
      <c r="C4225" t="inlineStr">
        <is>
          <t>2018-06</t>
        </is>
      </c>
      <c r="D4225" t="inlineStr">
        <is>
          <t>PR</t>
        </is>
      </c>
      <c r="E4225" t="inlineStr">
        <is>
          <t>watches_gifts</t>
        </is>
      </c>
      <c r="F4225" t="n">
        <v>1</v>
      </c>
      <c r="G4225" t="n">
        <v>119.9</v>
      </c>
      <c r="H4225" t="n">
        <v>18.94</v>
      </c>
      <c r="I4225" t="inlineStr">
        <is>
          <t>boleto</t>
        </is>
      </c>
      <c r="J4225" t="n">
        <v>8</v>
      </c>
      <c r="K4225" t="inlineStr">
        <is>
          <t>On Time</t>
        </is>
      </c>
      <c r="L4225" t="n">
        <v>5</v>
      </c>
      <c r="M4225">
        <f>VLOOKUP(D4225,State_Lookup!$A$2:$B$28,2,FALSE)</f>
        <v/>
      </c>
    </row>
    <row r="4226">
      <c r="A4226" t="inlineStr">
        <is>
          <t>e77f560df130ed0c0170ca3c556ea1d5</t>
        </is>
      </c>
      <c r="B4226" t="inlineStr">
        <is>
          <t>2018-06-17</t>
        </is>
      </c>
      <c r="C4226" t="inlineStr">
        <is>
          <t>2018-06</t>
        </is>
      </c>
      <c r="D4226" t="inlineStr">
        <is>
          <t>ES</t>
        </is>
      </c>
      <c r="E4226" t="inlineStr">
        <is>
          <t>health_beauty</t>
        </is>
      </c>
      <c r="F4226" t="n">
        <v>1</v>
      </c>
      <c r="G4226" t="n">
        <v>66.98999999999999</v>
      </c>
      <c r="H4226" t="n">
        <v>23.19</v>
      </c>
      <c r="I4226" t="inlineStr">
        <is>
          <t>credit_card</t>
        </is>
      </c>
      <c r="J4226" t="n">
        <v>11</v>
      </c>
      <c r="K4226" t="inlineStr">
        <is>
          <t>On Time</t>
        </is>
      </c>
      <c r="L4226" t="n">
        <v>5</v>
      </c>
      <c r="M4226">
        <f>VLOOKUP(D4226,State_Lookup!$A$2:$B$28,2,FALSE)</f>
        <v/>
      </c>
    </row>
    <row r="4227">
      <c r="A4227" t="inlineStr">
        <is>
          <t>8104cba0cfe32e03aa870b61f6cdbf24</t>
        </is>
      </c>
      <c r="B4227" t="inlineStr">
        <is>
          <t>2018-06-17</t>
        </is>
      </c>
      <c r="C4227" t="inlineStr">
        <is>
          <t>2018-06</t>
        </is>
      </c>
      <c r="D4227" t="inlineStr">
        <is>
          <t>SP</t>
        </is>
      </c>
      <c r="E4227" t="inlineStr">
        <is>
          <t>home_construction</t>
        </is>
      </c>
      <c r="F4227" t="n">
        <v>1</v>
      </c>
      <c r="G4227" t="n">
        <v>119.85</v>
      </c>
      <c r="H4227" t="n">
        <v>15.15</v>
      </c>
      <c r="I4227" t="inlineStr">
        <is>
          <t>credit_card</t>
        </is>
      </c>
      <c r="J4227" t="n">
        <v>12</v>
      </c>
      <c r="K4227" t="inlineStr">
        <is>
          <t>On Time</t>
        </is>
      </c>
      <c r="L4227" t="n">
        <v>2</v>
      </c>
      <c r="M4227">
        <f>VLOOKUP(D4227,State_Lookup!$A$2:$B$28,2,FALSE)</f>
        <v/>
      </c>
    </row>
    <row r="4228">
      <c r="A4228" t="inlineStr">
        <is>
          <t>74c13e4838eb5d8953b62b5f5feaf826</t>
        </is>
      </c>
      <c r="B4228" t="inlineStr">
        <is>
          <t>2018-06-17</t>
        </is>
      </c>
      <c r="C4228" t="inlineStr">
        <is>
          <t>2018-06</t>
        </is>
      </c>
      <c r="D4228" t="inlineStr">
        <is>
          <t>BA</t>
        </is>
      </c>
      <c r="E4228" t="inlineStr">
        <is>
          <t>garden_tools</t>
        </is>
      </c>
      <c r="F4228" t="n">
        <v>1</v>
      </c>
      <c r="G4228" t="n">
        <v>52.9</v>
      </c>
      <c r="H4228" t="n">
        <v>22.3</v>
      </c>
      <c r="I4228" t="inlineStr">
        <is>
          <t>credit_card</t>
        </is>
      </c>
      <c r="J4228" t="n">
        <v>10</v>
      </c>
      <c r="K4228" t="inlineStr">
        <is>
          <t>On Time</t>
        </is>
      </c>
      <c r="L4228" t="n">
        <v>4</v>
      </c>
      <c r="M4228">
        <f>VLOOKUP(D4228,State_Lookup!$A$2:$B$28,2,FALSE)</f>
        <v/>
      </c>
    </row>
    <row r="4229">
      <c r="A4229" t="inlineStr">
        <is>
          <t>08b7dbdd744f8be921b6e7f7fac199b7</t>
        </is>
      </c>
      <c r="B4229" t="inlineStr">
        <is>
          <t>2018-06-17</t>
        </is>
      </c>
      <c r="C4229" t="inlineStr">
        <is>
          <t>2018-06</t>
        </is>
      </c>
      <c r="D4229" t="inlineStr">
        <is>
          <t>SP</t>
        </is>
      </c>
      <c r="E4229" t="inlineStr">
        <is>
          <t>sports_leisure</t>
        </is>
      </c>
      <c r="F4229" t="n">
        <v>1</v>
      </c>
      <c r="G4229" t="n">
        <v>194.99</v>
      </c>
      <c r="H4229" t="n">
        <v>13.67</v>
      </c>
      <c r="I4229" t="inlineStr">
        <is>
          <t>boleto</t>
        </is>
      </c>
      <c r="J4229" t="n">
        <v>3</v>
      </c>
      <c r="K4229" t="inlineStr">
        <is>
          <t>On Time</t>
        </is>
      </c>
      <c r="L4229" t="n">
        <v>4</v>
      </c>
      <c r="M4229">
        <f>VLOOKUP(D4229,State_Lookup!$A$2:$B$28,2,FALSE)</f>
        <v/>
      </c>
    </row>
    <row r="4230">
      <c r="A4230" t="inlineStr">
        <is>
          <t>6e1fdac1871d58f1e81976be36a2634a</t>
        </is>
      </c>
      <c r="B4230" t="inlineStr">
        <is>
          <t>2018-06-17</t>
        </is>
      </c>
      <c r="C4230" t="inlineStr">
        <is>
          <t>2018-06</t>
        </is>
      </c>
      <c r="D4230" t="inlineStr">
        <is>
          <t>MG</t>
        </is>
      </c>
      <c r="E4230" t="inlineStr">
        <is>
          <t>health_beauty</t>
        </is>
      </c>
      <c r="F4230" t="n">
        <v>1</v>
      </c>
      <c r="G4230" t="n">
        <v>29.9</v>
      </c>
      <c r="H4230" t="n">
        <v>18.31</v>
      </c>
      <c r="I4230" t="inlineStr">
        <is>
          <t>credit_card</t>
        </is>
      </c>
      <c r="J4230" t="n">
        <v>4</v>
      </c>
      <c r="K4230" t="inlineStr">
        <is>
          <t>On Time</t>
        </is>
      </c>
      <c r="L4230" t="n">
        <v>5</v>
      </c>
      <c r="M4230">
        <f>VLOOKUP(D4230,State_Lookup!$A$2:$B$28,2,FALSE)</f>
        <v/>
      </c>
    </row>
    <row r="4231">
      <c r="A4231" t="inlineStr">
        <is>
          <t>10fd0add9c8dd2fc964bbd79ce10343b</t>
        </is>
      </c>
      <c r="B4231" t="inlineStr">
        <is>
          <t>2018-06-18</t>
        </is>
      </c>
      <c r="C4231" t="inlineStr">
        <is>
          <t>2018-06</t>
        </is>
      </c>
      <c r="D4231" t="inlineStr">
        <is>
          <t>SP</t>
        </is>
      </c>
      <c r="E4231" t="inlineStr">
        <is>
          <t>computers_accessories</t>
        </is>
      </c>
      <c r="F4231" t="n">
        <v>1</v>
      </c>
      <c r="G4231" t="n">
        <v>12.88</v>
      </c>
      <c r="H4231" t="n">
        <v>7.87</v>
      </c>
      <c r="I4231" t="inlineStr">
        <is>
          <t>credit_card</t>
        </is>
      </c>
      <c r="J4231" t="n">
        <v>1</v>
      </c>
      <c r="K4231" t="inlineStr">
        <is>
          <t>On Time</t>
        </is>
      </c>
      <c r="L4231" t="n">
        <v>5</v>
      </c>
      <c r="M4231">
        <f>VLOOKUP(D4231,State_Lookup!$A$2:$B$28,2,FALSE)</f>
        <v/>
      </c>
    </row>
    <row r="4232">
      <c r="A4232" t="inlineStr">
        <is>
          <t>4c4f39265955100d527fe377ac3c0f55</t>
        </is>
      </c>
      <c r="B4232" t="inlineStr">
        <is>
          <t>2018-06-18</t>
        </is>
      </c>
      <c r="C4232" t="inlineStr">
        <is>
          <t>2018-06</t>
        </is>
      </c>
      <c r="D4232" t="inlineStr">
        <is>
          <t>SP</t>
        </is>
      </c>
      <c r="E4232" t="inlineStr">
        <is>
          <t>housewares</t>
        </is>
      </c>
      <c r="F4232" t="n">
        <v>1</v>
      </c>
      <c r="G4232" t="n">
        <v>44.9</v>
      </c>
      <c r="H4232" t="n">
        <v>19.5</v>
      </c>
      <c r="I4232" t="inlineStr">
        <is>
          <t>boleto</t>
        </is>
      </c>
      <c r="J4232" t="n">
        <v>16</v>
      </c>
      <c r="K4232" t="inlineStr">
        <is>
          <t>On Time</t>
        </is>
      </c>
      <c r="L4232" t="n">
        <v>5</v>
      </c>
      <c r="M4232">
        <f>VLOOKUP(D4232,State_Lookup!$A$2:$B$28,2,FALSE)</f>
        <v/>
      </c>
    </row>
    <row r="4233">
      <c r="A4233" t="inlineStr">
        <is>
          <t>479374e6d18c89bd20eb4c80cc291fc6</t>
        </is>
      </c>
      <c r="B4233" t="inlineStr">
        <is>
          <t>2018-06-18</t>
        </is>
      </c>
      <c r="C4233" t="inlineStr">
        <is>
          <t>2018-06</t>
        </is>
      </c>
      <c r="D4233" t="inlineStr">
        <is>
          <t>SP</t>
        </is>
      </c>
      <c r="E4233" t="inlineStr">
        <is>
          <t>health_beauty</t>
        </is>
      </c>
      <c r="F4233" t="n">
        <v>1</v>
      </c>
      <c r="G4233" t="n">
        <v>79.39</v>
      </c>
      <c r="H4233" t="n">
        <v>14.14</v>
      </c>
      <c r="I4233" t="inlineStr">
        <is>
          <t>credit_card</t>
        </is>
      </c>
      <c r="J4233" t="n">
        <v>4</v>
      </c>
      <c r="K4233" t="inlineStr">
        <is>
          <t>On Time</t>
        </is>
      </c>
      <c r="L4233" t="n">
        <v>5</v>
      </c>
      <c r="M4233">
        <f>VLOOKUP(D4233,State_Lookup!$A$2:$B$28,2,FALSE)</f>
        <v/>
      </c>
    </row>
    <row r="4234">
      <c r="A4234" t="inlineStr">
        <is>
          <t>30727429f8337a76c80a10e0540ce073</t>
        </is>
      </c>
      <c r="B4234" t="inlineStr">
        <is>
          <t>2018-06-18</t>
        </is>
      </c>
      <c r="C4234" t="inlineStr">
        <is>
          <t>2018-06</t>
        </is>
      </c>
      <c r="D4234" t="inlineStr">
        <is>
          <t>SP</t>
        </is>
      </c>
      <c r="E4234" t="inlineStr">
        <is>
          <t>watches_gifts</t>
        </is>
      </c>
      <c r="F4234" t="n">
        <v>1</v>
      </c>
      <c r="G4234" t="n">
        <v>119.9</v>
      </c>
      <c r="H4234" t="n">
        <v>13.5</v>
      </c>
      <c r="I4234" t="inlineStr">
        <is>
          <t>credit_card</t>
        </is>
      </c>
      <c r="J4234" t="n">
        <v>3</v>
      </c>
      <c r="K4234" t="inlineStr">
        <is>
          <t>On Time</t>
        </is>
      </c>
      <c r="L4234" t="n">
        <v>5</v>
      </c>
      <c r="M4234">
        <f>VLOOKUP(D4234,State_Lookup!$A$2:$B$28,2,FALSE)</f>
        <v/>
      </c>
    </row>
    <row r="4235">
      <c r="A4235" t="inlineStr">
        <is>
          <t>5f6499a6a16dcde4cd6fc183a2b26046</t>
        </is>
      </c>
      <c r="B4235" t="inlineStr">
        <is>
          <t>2018-06-18</t>
        </is>
      </c>
      <c r="C4235" t="inlineStr">
        <is>
          <t>2018-06</t>
        </is>
      </c>
      <c r="D4235" t="inlineStr">
        <is>
          <t>SP</t>
        </is>
      </c>
      <c r="E4235" t="inlineStr">
        <is>
          <t>baby</t>
        </is>
      </c>
      <c r="F4235" t="n">
        <v>1</v>
      </c>
      <c r="G4235" t="n">
        <v>48.9</v>
      </c>
      <c r="H4235" t="n">
        <v>9.470000000000001</v>
      </c>
      <c r="I4235" t="inlineStr">
        <is>
          <t>voucher</t>
        </is>
      </c>
      <c r="J4235" t="n">
        <v>3</v>
      </c>
      <c r="K4235" t="inlineStr">
        <is>
          <t>On Time</t>
        </is>
      </c>
      <c r="L4235" t="n">
        <v>5</v>
      </c>
      <c r="M4235">
        <f>VLOOKUP(D4235,State_Lookup!$A$2:$B$28,2,FALSE)</f>
        <v/>
      </c>
    </row>
    <row r="4236">
      <c r="A4236" t="inlineStr">
        <is>
          <t>a4244008bc97ae9cdc3807237fa83229</t>
        </is>
      </c>
      <c r="B4236" t="inlineStr">
        <is>
          <t>2018-06-18</t>
        </is>
      </c>
      <c r="C4236" t="inlineStr">
        <is>
          <t>2018-06</t>
        </is>
      </c>
      <c r="D4236" t="inlineStr">
        <is>
          <t>PI</t>
        </is>
      </c>
      <c r="E4236" t="inlineStr">
        <is>
          <t>watches_gifts</t>
        </is>
      </c>
      <c r="F4236" t="n">
        <v>1</v>
      </c>
      <c r="G4236" t="n">
        <v>579</v>
      </c>
      <c r="H4236" t="n">
        <v>64.33</v>
      </c>
      <c r="I4236" t="inlineStr">
        <is>
          <t>credit_card</t>
        </is>
      </c>
      <c r="J4236" t="n">
        <v>15</v>
      </c>
      <c r="K4236" t="inlineStr">
        <is>
          <t>On Time</t>
        </is>
      </c>
      <c r="L4236" t="n">
        <v>5</v>
      </c>
      <c r="M4236">
        <f>VLOOKUP(D4236,State_Lookup!$A$2:$B$28,2,FALSE)</f>
        <v/>
      </c>
    </row>
    <row r="4237">
      <c r="A4237" t="inlineStr">
        <is>
          <t>f3dfda8fe064d227cee42eb21b73cc69</t>
        </is>
      </c>
      <c r="B4237" t="inlineStr">
        <is>
          <t>2018-06-18</t>
        </is>
      </c>
      <c r="C4237" t="inlineStr">
        <is>
          <t>2018-06</t>
        </is>
      </c>
      <c r="D4237" t="inlineStr">
        <is>
          <t>MG</t>
        </is>
      </c>
      <c r="E4237" t="inlineStr">
        <is>
          <t>health_beauty</t>
        </is>
      </c>
      <c r="F4237" t="n">
        <v>1</v>
      </c>
      <c r="G4237" t="n">
        <v>1189</v>
      </c>
      <c r="H4237" t="n">
        <v>26.42</v>
      </c>
      <c r="I4237" t="inlineStr">
        <is>
          <t>boleto</t>
        </is>
      </c>
      <c r="J4237" t="n">
        <v>7</v>
      </c>
      <c r="K4237" t="inlineStr">
        <is>
          <t>On Time</t>
        </is>
      </c>
      <c r="L4237" t="n">
        <v>5</v>
      </c>
      <c r="M4237">
        <f>VLOOKUP(D4237,State_Lookup!$A$2:$B$28,2,FALSE)</f>
        <v/>
      </c>
    </row>
    <row r="4238">
      <c r="A4238" t="inlineStr">
        <is>
          <t>431478a35228bb7816df8336af000672</t>
        </is>
      </c>
      <c r="B4238" t="inlineStr">
        <is>
          <t>2018-06-18</t>
        </is>
      </c>
      <c r="C4238" t="inlineStr">
        <is>
          <t>2018-06</t>
        </is>
      </c>
      <c r="D4238" t="inlineStr">
        <is>
          <t>ES</t>
        </is>
      </c>
      <c r="E4238" t="inlineStr">
        <is>
          <t>watches_gifts</t>
        </is>
      </c>
      <c r="F4238" t="n">
        <v>1</v>
      </c>
      <c r="G4238" t="n">
        <v>93.90000000000001</v>
      </c>
      <c r="H4238" t="n">
        <v>16.4</v>
      </c>
      <c r="I4238" t="inlineStr">
        <is>
          <t>credit_card</t>
        </is>
      </c>
      <c r="J4238" t="n">
        <v>9</v>
      </c>
      <c r="K4238" t="inlineStr">
        <is>
          <t>On Time</t>
        </is>
      </c>
      <c r="L4238" t="n">
        <v>5</v>
      </c>
      <c r="M4238">
        <f>VLOOKUP(D4238,State_Lookup!$A$2:$B$28,2,FALSE)</f>
        <v/>
      </c>
    </row>
    <row r="4239">
      <c r="A4239" t="inlineStr">
        <is>
          <t>1c8e780f8b1bf3054b7f2be02ea4bce4</t>
        </is>
      </c>
      <c r="B4239" t="inlineStr">
        <is>
          <t>2018-06-18</t>
        </is>
      </c>
      <c r="C4239" t="inlineStr">
        <is>
          <t>2018-06</t>
        </is>
      </c>
      <c r="D4239" t="inlineStr">
        <is>
          <t>SP</t>
        </is>
      </c>
      <c r="E4239" t="inlineStr">
        <is>
          <t>bed_bath_table</t>
        </is>
      </c>
      <c r="F4239" t="n">
        <v>1</v>
      </c>
      <c r="G4239" t="n">
        <v>179.9</v>
      </c>
      <c r="H4239" t="n">
        <v>14.09</v>
      </c>
      <c r="I4239" t="inlineStr">
        <is>
          <t>credit_card</t>
        </is>
      </c>
      <c r="J4239" t="n">
        <v>1</v>
      </c>
      <c r="K4239" t="inlineStr">
        <is>
          <t>On Time</t>
        </is>
      </c>
      <c r="L4239" t="n">
        <v>4</v>
      </c>
      <c r="M4239">
        <f>VLOOKUP(D4239,State_Lookup!$A$2:$B$28,2,FALSE)</f>
        <v/>
      </c>
    </row>
    <row r="4240">
      <c r="A4240" t="inlineStr">
        <is>
          <t>f1557b51d80a217105b6edae448b5548</t>
        </is>
      </c>
      <c r="B4240" t="inlineStr">
        <is>
          <t>2018-06-18</t>
        </is>
      </c>
      <c r="C4240" t="inlineStr">
        <is>
          <t>2018-06</t>
        </is>
      </c>
      <c r="D4240" t="inlineStr">
        <is>
          <t>SP</t>
        </is>
      </c>
      <c r="E4240" t="inlineStr">
        <is>
          <t>telephony</t>
        </is>
      </c>
      <c r="F4240" t="n">
        <v>1</v>
      </c>
      <c r="G4240" t="n">
        <v>18.49</v>
      </c>
      <c r="H4240" t="n">
        <v>7.39</v>
      </c>
      <c r="I4240" t="inlineStr">
        <is>
          <t>credit_card</t>
        </is>
      </c>
      <c r="J4240" t="n">
        <v>4</v>
      </c>
      <c r="K4240" t="inlineStr">
        <is>
          <t>On Time</t>
        </is>
      </c>
      <c r="L4240" t="n">
        <v>5</v>
      </c>
      <c r="M4240">
        <f>VLOOKUP(D4240,State_Lookup!$A$2:$B$28,2,FALSE)</f>
        <v/>
      </c>
    </row>
    <row r="4241">
      <c r="A4241" t="inlineStr">
        <is>
          <t>6ad7862e05692cc6d511bc83ee4669d9</t>
        </is>
      </c>
      <c r="B4241" t="inlineStr">
        <is>
          <t>2018-06-18</t>
        </is>
      </c>
      <c r="C4241" t="inlineStr">
        <is>
          <t>2018-06</t>
        </is>
      </c>
      <c r="D4241" t="inlineStr">
        <is>
          <t>MG</t>
        </is>
      </c>
      <c r="E4241" t="inlineStr">
        <is>
          <t>bed_bath_table</t>
        </is>
      </c>
      <c r="F4241" t="n">
        <v>1</v>
      </c>
      <c r="G4241" t="n">
        <v>52.9</v>
      </c>
      <c r="H4241" t="n">
        <v>23.17</v>
      </c>
      <c r="I4241" t="inlineStr">
        <is>
          <t>credit_card</t>
        </is>
      </c>
      <c r="J4241" t="n">
        <v>9</v>
      </c>
      <c r="K4241" t="inlineStr">
        <is>
          <t>On Time</t>
        </is>
      </c>
      <c r="L4241" t="n">
        <v>5</v>
      </c>
      <c r="M4241">
        <f>VLOOKUP(D4241,State_Lookup!$A$2:$B$28,2,FALSE)</f>
        <v/>
      </c>
    </row>
    <row r="4242">
      <c r="A4242" t="inlineStr">
        <is>
          <t>b11b5fa23629054214fa15a68c0cfe73</t>
        </is>
      </c>
      <c r="B4242" t="inlineStr">
        <is>
          <t>2018-06-18</t>
        </is>
      </c>
      <c r="C4242" t="inlineStr">
        <is>
          <t>2018-06</t>
        </is>
      </c>
      <c r="D4242" t="inlineStr">
        <is>
          <t>RS</t>
        </is>
      </c>
      <c r="E4242" t="inlineStr">
        <is>
          <t>furniture_decor</t>
        </is>
      </c>
      <c r="F4242" t="n">
        <v>1</v>
      </c>
      <c r="G4242" t="n">
        <v>249.9</v>
      </c>
      <c r="H4242" t="n">
        <v>58.23</v>
      </c>
      <c r="I4242" t="inlineStr">
        <is>
          <t>credit_card</t>
        </is>
      </c>
      <c r="J4242" t="n">
        <v>6</v>
      </c>
      <c r="K4242" t="inlineStr">
        <is>
          <t>On Time</t>
        </is>
      </c>
      <c r="L4242" t="n">
        <v>3</v>
      </c>
      <c r="M4242">
        <f>VLOOKUP(D4242,State_Lookup!$A$2:$B$28,2,FALSE)</f>
        <v/>
      </c>
    </row>
    <row r="4243">
      <c r="A4243" t="inlineStr">
        <is>
          <t>6ff68e4d7ba469f258223a389f864f25</t>
        </is>
      </c>
      <c r="B4243" t="inlineStr">
        <is>
          <t>2018-06-18</t>
        </is>
      </c>
      <c r="C4243" t="inlineStr">
        <is>
          <t>2018-06</t>
        </is>
      </c>
      <c r="D4243" t="inlineStr">
        <is>
          <t>RJ</t>
        </is>
      </c>
      <c r="E4243" t="inlineStr">
        <is>
          <t>watches_gifts</t>
        </is>
      </c>
      <c r="F4243" t="n">
        <v>1</v>
      </c>
      <c r="G4243" t="n">
        <v>129.99</v>
      </c>
      <c r="H4243" t="n">
        <v>9.25</v>
      </c>
      <c r="I4243" t="inlineStr">
        <is>
          <t>credit_card</t>
        </is>
      </c>
      <c r="J4243" t="n">
        <v>1</v>
      </c>
      <c r="K4243" t="inlineStr">
        <is>
          <t>On Time</t>
        </is>
      </c>
      <c r="L4243" t="n">
        <v>5</v>
      </c>
      <c r="M4243">
        <f>VLOOKUP(D4243,State_Lookup!$A$2:$B$28,2,FALSE)</f>
        <v/>
      </c>
    </row>
    <row r="4244">
      <c r="A4244" t="inlineStr">
        <is>
          <t>07f970754e737efe221e6349eeb5a8e7</t>
        </is>
      </c>
      <c r="B4244" t="inlineStr">
        <is>
          <t>2018-06-18</t>
        </is>
      </c>
      <c r="C4244" t="inlineStr">
        <is>
          <t>2018-06</t>
        </is>
      </c>
      <c r="D4244" t="inlineStr">
        <is>
          <t>PI</t>
        </is>
      </c>
      <c r="E4244" t="inlineStr">
        <is>
          <t>health_beauty</t>
        </is>
      </c>
      <c r="F4244" t="n">
        <v>1</v>
      </c>
      <c r="G4244" t="n">
        <v>114.9</v>
      </c>
      <c r="H4244" t="n">
        <v>83.72</v>
      </c>
      <c r="I4244" t="inlineStr">
        <is>
          <t>boleto</t>
        </is>
      </c>
      <c r="J4244" t="n">
        <v>16</v>
      </c>
      <c r="K4244" t="inlineStr">
        <is>
          <t>On Time</t>
        </is>
      </c>
      <c r="L4244" t="n">
        <v>5</v>
      </c>
      <c r="M4244">
        <f>VLOOKUP(D4244,State_Lookup!$A$2:$B$28,2,FALSE)</f>
        <v/>
      </c>
    </row>
    <row r="4245">
      <c r="A4245" t="inlineStr">
        <is>
          <t>1d67293aa79feef7aac612621d710869</t>
        </is>
      </c>
      <c r="B4245" t="inlineStr">
        <is>
          <t>2018-06-19</t>
        </is>
      </c>
      <c r="C4245" t="inlineStr">
        <is>
          <t>2018-06</t>
        </is>
      </c>
      <c r="D4245" t="inlineStr">
        <is>
          <t>DF</t>
        </is>
      </c>
      <c r="E4245" t="inlineStr">
        <is>
          <t>health_beauty</t>
        </is>
      </c>
      <c r="F4245" t="n">
        <v>1</v>
      </c>
      <c r="G4245" t="n">
        <v>82</v>
      </c>
      <c r="H4245" t="n">
        <v>18.37</v>
      </c>
      <c r="I4245" t="inlineStr">
        <is>
          <t>credit_card</t>
        </is>
      </c>
      <c r="J4245" t="n">
        <v>6</v>
      </c>
      <c r="K4245" t="inlineStr">
        <is>
          <t>On Time</t>
        </is>
      </c>
      <c r="L4245" t="n">
        <v>5</v>
      </c>
      <c r="M4245">
        <f>VLOOKUP(D4245,State_Lookup!$A$2:$B$28,2,FALSE)</f>
        <v/>
      </c>
    </row>
    <row r="4246">
      <c r="A4246" t="inlineStr">
        <is>
          <t>b378d3979dc4d1d8bd701f93e8b7ce6a</t>
        </is>
      </c>
      <c r="B4246" t="inlineStr">
        <is>
          <t>2018-06-19</t>
        </is>
      </c>
      <c r="C4246" t="inlineStr">
        <is>
          <t>2018-06</t>
        </is>
      </c>
      <c r="D4246" t="inlineStr">
        <is>
          <t>MT</t>
        </is>
      </c>
      <c r="E4246" t="inlineStr">
        <is>
          <t>telephony</t>
        </is>
      </c>
      <c r="F4246" t="n">
        <v>1</v>
      </c>
      <c r="G4246" t="n">
        <v>25</v>
      </c>
      <c r="H4246" t="n">
        <v>17.11</v>
      </c>
      <c r="I4246" t="inlineStr">
        <is>
          <t>credit_card</t>
        </is>
      </c>
      <c r="J4246" t="n">
        <v>9</v>
      </c>
      <c r="K4246" t="inlineStr">
        <is>
          <t>On Time</t>
        </is>
      </c>
      <c r="L4246" t="n">
        <v>4</v>
      </c>
      <c r="M4246">
        <f>VLOOKUP(D4246,State_Lookup!$A$2:$B$28,2,FALSE)</f>
        <v/>
      </c>
    </row>
    <row r="4247">
      <c r="A4247" t="inlineStr">
        <is>
          <t>fd46b456c10f8d438b9dcaeb69932853</t>
        </is>
      </c>
      <c r="B4247" t="inlineStr">
        <is>
          <t>2018-06-19</t>
        </is>
      </c>
      <c r="C4247" t="inlineStr">
        <is>
          <t>2018-06</t>
        </is>
      </c>
      <c r="D4247" t="inlineStr">
        <is>
          <t>SP</t>
        </is>
      </c>
      <c r="E4247" t="inlineStr">
        <is>
          <t>health_beauty</t>
        </is>
      </c>
      <c r="F4247" t="n">
        <v>1</v>
      </c>
      <c r="G4247" t="n">
        <v>224</v>
      </c>
      <c r="H4247" t="n">
        <v>16.27</v>
      </c>
      <c r="I4247" t="inlineStr">
        <is>
          <t>credit_card</t>
        </is>
      </c>
      <c r="J4247" t="n">
        <v>6</v>
      </c>
      <c r="K4247" t="inlineStr">
        <is>
          <t>On Time</t>
        </is>
      </c>
      <c r="L4247" t="n">
        <v>5</v>
      </c>
      <c r="M4247">
        <f>VLOOKUP(D4247,State_Lookup!$A$2:$B$28,2,FALSE)</f>
        <v/>
      </c>
    </row>
    <row r="4248">
      <c r="A4248" t="inlineStr">
        <is>
          <t>771a3c809e079dc89392a34a5d797651</t>
        </is>
      </c>
      <c r="B4248" t="inlineStr">
        <is>
          <t>2018-06-19</t>
        </is>
      </c>
      <c r="C4248" t="inlineStr">
        <is>
          <t>2018-06</t>
        </is>
      </c>
      <c r="D4248" t="inlineStr">
        <is>
          <t>MG</t>
        </is>
      </c>
      <c r="E4248" t="inlineStr">
        <is>
          <t>computers_accessories</t>
        </is>
      </c>
      <c r="F4248" t="n">
        <v>1</v>
      </c>
      <c r="G4248" t="n">
        <v>119.99</v>
      </c>
      <c r="H4248" t="n">
        <v>25</v>
      </c>
      <c r="I4248" t="inlineStr">
        <is>
          <t>credit_card</t>
        </is>
      </c>
      <c r="J4248" t="n">
        <v>8</v>
      </c>
      <c r="K4248" t="inlineStr">
        <is>
          <t>On Time</t>
        </is>
      </c>
      <c r="L4248" t="n">
        <v>5</v>
      </c>
      <c r="M4248">
        <f>VLOOKUP(D4248,State_Lookup!$A$2:$B$28,2,FALSE)</f>
        <v/>
      </c>
    </row>
    <row r="4249">
      <c r="A4249" t="inlineStr">
        <is>
          <t>d5b01c154bfa35f8f18cf115336714f4</t>
        </is>
      </c>
      <c r="B4249" t="inlineStr">
        <is>
          <t>2018-06-19</t>
        </is>
      </c>
      <c r="C4249" t="inlineStr">
        <is>
          <t>2018-06</t>
        </is>
      </c>
      <c r="D4249" t="inlineStr">
        <is>
          <t>SP</t>
        </is>
      </c>
      <c r="E4249" t="inlineStr">
        <is>
          <t>computers_accessories</t>
        </is>
      </c>
      <c r="F4249" t="n">
        <v>1</v>
      </c>
      <c r="G4249" t="n">
        <v>135</v>
      </c>
      <c r="H4249" t="n">
        <v>16.05</v>
      </c>
      <c r="I4249" t="inlineStr">
        <is>
          <t>credit_card</t>
        </is>
      </c>
      <c r="J4249" t="n">
        <v>5</v>
      </c>
      <c r="K4249" t="inlineStr">
        <is>
          <t>On Time</t>
        </is>
      </c>
      <c r="L4249" t="n">
        <v>5</v>
      </c>
      <c r="M4249">
        <f>VLOOKUP(D4249,State_Lookup!$A$2:$B$28,2,FALSE)</f>
        <v/>
      </c>
    </row>
    <row r="4250">
      <c r="A4250" t="inlineStr">
        <is>
          <t>ba6fe5e92a31200b06b69c99171eacf8</t>
        </is>
      </c>
      <c r="B4250" t="inlineStr">
        <is>
          <t>2018-06-19</t>
        </is>
      </c>
      <c r="C4250" t="inlineStr">
        <is>
          <t>2018-06</t>
        </is>
      </c>
      <c r="D4250" t="inlineStr">
        <is>
          <t>SP</t>
        </is>
      </c>
      <c r="E4250" t="inlineStr">
        <is>
          <t>health_beauty</t>
        </is>
      </c>
      <c r="F4250" t="n">
        <v>1</v>
      </c>
      <c r="G4250" t="n">
        <v>74.90000000000001</v>
      </c>
      <c r="H4250" t="n">
        <v>7.78</v>
      </c>
      <c r="I4250" t="inlineStr">
        <is>
          <t>credit_card</t>
        </is>
      </c>
      <c r="J4250" t="n">
        <v>1</v>
      </c>
      <c r="K4250" t="inlineStr">
        <is>
          <t>On Time</t>
        </is>
      </c>
      <c r="L4250" t="n">
        <v>5</v>
      </c>
      <c r="M4250">
        <f>VLOOKUP(D4250,State_Lookup!$A$2:$B$28,2,FALSE)</f>
        <v/>
      </c>
    </row>
    <row r="4251">
      <c r="A4251" t="inlineStr">
        <is>
          <t>f247c7a7f6677c91066b72c033b635f3</t>
        </is>
      </c>
      <c r="B4251" t="inlineStr">
        <is>
          <t>2018-06-19</t>
        </is>
      </c>
      <c r="C4251" t="inlineStr">
        <is>
          <t>2018-06</t>
        </is>
      </c>
      <c r="D4251" t="inlineStr">
        <is>
          <t>SP</t>
        </is>
      </c>
      <c r="E4251" t="inlineStr">
        <is>
          <t>bed_bath_table</t>
        </is>
      </c>
      <c r="F4251" t="n">
        <v>1</v>
      </c>
      <c r="G4251" t="n">
        <v>107.5</v>
      </c>
      <c r="H4251" t="n">
        <v>13.41</v>
      </c>
      <c r="I4251" t="inlineStr">
        <is>
          <t>credit_card</t>
        </is>
      </c>
      <c r="J4251" t="n">
        <v>7</v>
      </c>
      <c r="K4251" t="inlineStr">
        <is>
          <t>On Time</t>
        </is>
      </c>
      <c r="L4251" t="n">
        <v>4</v>
      </c>
      <c r="M4251">
        <f>VLOOKUP(D4251,State_Lookup!$A$2:$B$28,2,FALSE)</f>
        <v/>
      </c>
    </row>
    <row r="4252">
      <c r="A4252" t="inlineStr">
        <is>
          <t>303a73983ac1421570602e1812ea3bbd</t>
        </is>
      </c>
      <c r="B4252" t="inlineStr">
        <is>
          <t>2018-06-19</t>
        </is>
      </c>
      <c r="C4252" t="inlineStr">
        <is>
          <t>2018-06</t>
        </is>
      </c>
      <c r="D4252" t="inlineStr">
        <is>
          <t>SP</t>
        </is>
      </c>
      <c r="E4252" t="inlineStr">
        <is>
          <t>housewares</t>
        </is>
      </c>
      <c r="F4252" t="n">
        <v>1</v>
      </c>
      <c r="G4252" t="n">
        <v>379.9</v>
      </c>
      <c r="H4252" t="n">
        <v>69.01000000000001</v>
      </c>
      <c r="I4252" t="inlineStr">
        <is>
          <t>boleto</t>
        </is>
      </c>
      <c r="J4252" t="n">
        <v>6</v>
      </c>
      <c r="K4252" t="inlineStr">
        <is>
          <t>On Time</t>
        </is>
      </c>
      <c r="L4252" t="n">
        <v>5</v>
      </c>
      <c r="M4252">
        <f>VLOOKUP(D4252,State_Lookup!$A$2:$B$28,2,FALSE)</f>
        <v/>
      </c>
    </row>
    <row r="4253">
      <c r="A4253" t="inlineStr">
        <is>
          <t>18898a06fcd1e440c28bd18943ea0e92</t>
        </is>
      </c>
      <c r="B4253" t="inlineStr">
        <is>
          <t>2018-06-19</t>
        </is>
      </c>
      <c r="C4253" t="inlineStr">
        <is>
          <t>2018-06</t>
        </is>
      </c>
      <c r="D4253" t="inlineStr">
        <is>
          <t>ES</t>
        </is>
      </c>
      <c r="E4253" t="inlineStr">
        <is>
          <t>auto</t>
        </is>
      </c>
      <c r="F4253" t="n">
        <v>1</v>
      </c>
      <c r="G4253" t="n">
        <v>108.9</v>
      </c>
      <c r="H4253" t="n">
        <v>23.56</v>
      </c>
      <c r="I4253" t="inlineStr">
        <is>
          <t>credit_card</t>
        </is>
      </c>
      <c r="J4253" t="n">
        <v>8</v>
      </c>
      <c r="K4253" t="inlineStr">
        <is>
          <t>On Time</t>
        </is>
      </c>
      <c r="L4253" t="n">
        <v>4</v>
      </c>
      <c r="M4253">
        <f>VLOOKUP(D4253,State_Lookup!$A$2:$B$28,2,FALSE)</f>
        <v/>
      </c>
    </row>
    <row r="4254">
      <c r="A4254" t="inlineStr">
        <is>
          <t>9a07b32ac6acb2734d3da27111fafd4f</t>
        </is>
      </c>
      <c r="B4254" t="inlineStr">
        <is>
          <t>2018-06-20</t>
        </is>
      </c>
      <c r="C4254" t="inlineStr">
        <is>
          <t>2018-06</t>
        </is>
      </c>
      <c r="D4254" t="inlineStr">
        <is>
          <t>SP</t>
        </is>
      </c>
      <c r="E4254" t="inlineStr">
        <is>
          <t>bed_bath_table</t>
        </is>
      </c>
      <c r="F4254" t="n">
        <v>1</v>
      </c>
      <c r="G4254" t="n">
        <v>153</v>
      </c>
      <c r="H4254" t="n">
        <v>18.2</v>
      </c>
      <c r="I4254" t="inlineStr">
        <is>
          <t>voucher</t>
        </is>
      </c>
      <c r="J4254" t="n">
        <v>8</v>
      </c>
      <c r="K4254" t="inlineStr">
        <is>
          <t>On Time</t>
        </is>
      </c>
      <c r="L4254" t="n">
        <v>4</v>
      </c>
      <c r="M4254">
        <f>VLOOKUP(D4254,State_Lookup!$A$2:$B$28,2,FALSE)</f>
        <v/>
      </c>
    </row>
    <row r="4255">
      <c r="A4255" t="inlineStr">
        <is>
          <t>7a0698ce87fc4cd3e171e7361f0bc0b5</t>
        </is>
      </c>
      <c r="B4255" t="inlineStr">
        <is>
          <t>2018-06-20</t>
        </is>
      </c>
      <c r="C4255" t="inlineStr">
        <is>
          <t>2018-06</t>
        </is>
      </c>
      <c r="D4255" t="inlineStr">
        <is>
          <t>SP</t>
        </is>
      </c>
      <c r="E4255" t="inlineStr">
        <is>
          <t>watches_gifts</t>
        </is>
      </c>
      <c r="F4255" t="n">
        <v>1</v>
      </c>
      <c r="G4255" t="n">
        <v>120</v>
      </c>
      <c r="H4255" t="n">
        <v>18.94</v>
      </c>
      <c r="I4255" t="inlineStr">
        <is>
          <t>credit_card</t>
        </is>
      </c>
      <c r="J4255" t="n">
        <v>8</v>
      </c>
      <c r="K4255" t="inlineStr">
        <is>
          <t>On Time</t>
        </is>
      </c>
      <c r="L4255" t="n">
        <v>5</v>
      </c>
      <c r="M4255">
        <f>VLOOKUP(D4255,State_Lookup!$A$2:$B$28,2,FALSE)</f>
        <v/>
      </c>
    </row>
    <row r="4256">
      <c r="A4256" t="inlineStr">
        <is>
          <t>c17d3d6c480b09300d8daa2eb502d060</t>
        </is>
      </c>
      <c r="B4256" t="inlineStr">
        <is>
          <t>2018-06-20</t>
        </is>
      </c>
      <c r="C4256" t="inlineStr">
        <is>
          <t>2018-06</t>
        </is>
      </c>
      <c r="D4256" t="inlineStr">
        <is>
          <t>SP</t>
        </is>
      </c>
      <c r="E4256" t="inlineStr">
        <is>
          <t>bed_bath_table</t>
        </is>
      </c>
      <c r="F4256" t="n">
        <v>2</v>
      </c>
      <c r="G4256" t="n">
        <v>99.8</v>
      </c>
      <c r="H4256" t="n">
        <v>27.86</v>
      </c>
      <c r="I4256" t="inlineStr">
        <is>
          <t>credit_card</t>
        </is>
      </c>
      <c r="J4256" t="n">
        <v>20</v>
      </c>
      <c r="K4256" t="inlineStr">
        <is>
          <t>On Time</t>
        </is>
      </c>
      <c r="L4256" t="n">
        <v>2</v>
      </c>
      <c r="M4256">
        <f>VLOOKUP(D4256,State_Lookup!$A$2:$B$28,2,FALSE)</f>
        <v/>
      </c>
    </row>
    <row r="4257">
      <c r="A4257" t="inlineStr">
        <is>
          <t>0de08476877eca848f61e9e236256b3a</t>
        </is>
      </c>
      <c r="B4257" t="inlineStr">
        <is>
          <t>2018-06-20</t>
        </is>
      </c>
      <c r="C4257" t="inlineStr">
        <is>
          <t>2018-06</t>
        </is>
      </c>
      <c r="D4257" t="inlineStr">
        <is>
          <t>SP</t>
        </is>
      </c>
      <c r="E4257" t="inlineStr">
        <is>
          <t>computers_accessories</t>
        </is>
      </c>
      <c r="F4257" t="n">
        <v>2</v>
      </c>
      <c r="G4257" t="n">
        <v>49.98</v>
      </c>
      <c r="H4257" t="n">
        <v>14.88</v>
      </c>
      <c r="I4257" t="inlineStr">
        <is>
          <t>credit_card</t>
        </is>
      </c>
      <c r="J4257" t="n">
        <v>1</v>
      </c>
      <c r="K4257" t="inlineStr">
        <is>
          <t>On Time</t>
        </is>
      </c>
      <c r="L4257" t="n">
        <v>4</v>
      </c>
      <c r="M4257">
        <f>VLOOKUP(D4257,State_Lookup!$A$2:$B$28,2,FALSE)</f>
        <v/>
      </c>
    </row>
    <row r="4258">
      <c r="A4258" t="inlineStr">
        <is>
          <t>ccf27ea35dc842ef81bc07ec33164b56</t>
        </is>
      </c>
      <c r="B4258" t="inlineStr">
        <is>
          <t>2018-06-20</t>
        </is>
      </c>
      <c r="C4258" t="inlineStr">
        <is>
          <t>2018-06</t>
        </is>
      </c>
      <c r="D4258" t="inlineStr">
        <is>
          <t>SP</t>
        </is>
      </c>
      <c r="E4258" t="inlineStr">
        <is>
          <t>drinks</t>
        </is>
      </c>
      <c r="F4258" t="n">
        <v>1</v>
      </c>
      <c r="G4258" t="n">
        <v>11.49</v>
      </c>
      <c r="H4258" t="n">
        <v>8.82</v>
      </c>
      <c r="I4258" t="inlineStr">
        <is>
          <t>credit_card</t>
        </is>
      </c>
      <c r="J4258" t="n">
        <v>2</v>
      </c>
      <c r="K4258" t="inlineStr">
        <is>
          <t>On Time</t>
        </is>
      </c>
      <c r="L4258" t="n">
        <v>5</v>
      </c>
      <c r="M4258">
        <f>VLOOKUP(D4258,State_Lookup!$A$2:$B$28,2,FALSE)</f>
        <v/>
      </c>
    </row>
    <row r="4259">
      <c r="A4259" t="inlineStr">
        <is>
          <t>81ed84aeb6c20f643158b0e0ec587bd2</t>
        </is>
      </c>
      <c r="B4259" t="inlineStr">
        <is>
          <t>2018-06-20</t>
        </is>
      </c>
      <c r="C4259" t="inlineStr">
        <is>
          <t>2018-06</t>
        </is>
      </c>
      <c r="D4259" t="inlineStr">
        <is>
          <t>SP</t>
        </is>
      </c>
      <c r="E4259" t="inlineStr">
        <is>
          <t>cool_stuff</t>
        </is>
      </c>
      <c r="F4259" t="n">
        <v>1</v>
      </c>
      <c r="G4259" t="n">
        <v>100</v>
      </c>
      <c r="H4259" t="n">
        <v>25.05</v>
      </c>
      <c r="I4259" t="inlineStr">
        <is>
          <t>credit_card</t>
        </is>
      </c>
      <c r="J4259" t="n">
        <v>12</v>
      </c>
      <c r="K4259" t="inlineStr">
        <is>
          <t>On Time</t>
        </is>
      </c>
      <c r="L4259" t="n">
        <v>4</v>
      </c>
      <c r="M4259">
        <f>VLOOKUP(D4259,State_Lookup!$A$2:$B$28,2,FALSE)</f>
        <v/>
      </c>
    </row>
    <row r="4260">
      <c r="A4260" t="inlineStr">
        <is>
          <t>aaabf43feb9498d9de4588eb73231c25</t>
        </is>
      </c>
      <c r="B4260" t="inlineStr">
        <is>
          <t>2018-06-20</t>
        </is>
      </c>
      <c r="C4260" t="inlineStr">
        <is>
          <t>2018-06</t>
        </is>
      </c>
      <c r="D4260" t="inlineStr">
        <is>
          <t>BA</t>
        </is>
      </c>
      <c r="E4260" t="inlineStr">
        <is>
          <t>furniture_decor</t>
        </is>
      </c>
      <c r="F4260" t="n">
        <v>1</v>
      </c>
      <c r="G4260" t="n">
        <v>14.33</v>
      </c>
      <c r="H4260" t="n">
        <v>22.06</v>
      </c>
      <c r="I4260" t="inlineStr">
        <is>
          <t>credit_card</t>
        </is>
      </c>
      <c r="J4260" t="n">
        <v>15</v>
      </c>
      <c r="K4260" t="inlineStr">
        <is>
          <t>On Time</t>
        </is>
      </c>
      <c r="L4260" t="n">
        <v>5</v>
      </c>
      <c r="M4260">
        <f>VLOOKUP(D4260,State_Lookup!$A$2:$B$28,2,FALSE)</f>
        <v/>
      </c>
    </row>
    <row r="4261">
      <c r="A4261" t="inlineStr">
        <is>
          <t>f1abca034cc2b7c0f679e551dc63f6bd</t>
        </is>
      </c>
      <c r="B4261" t="inlineStr">
        <is>
          <t>2018-06-20</t>
        </is>
      </c>
      <c r="C4261" t="inlineStr">
        <is>
          <t>2018-06</t>
        </is>
      </c>
      <c r="D4261" t="inlineStr">
        <is>
          <t>SP</t>
        </is>
      </c>
      <c r="E4261" t="inlineStr">
        <is>
          <t>computers_accessories</t>
        </is>
      </c>
      <c r="F4261" t="n">
        <v>1</v>
      </c>
      <c r="G4261" t="n">
        <v>74.89</v>
      </c>
      <c r="H4261" t="n">
        <v>17.45</v>
      </c>
      <c r="I4261" t="inlineStr">
        <is>
          <t>boleto</t>
        </is>
      </c>
      <c r="J4261" t="n">
        <v>6</v>
      </c>
      <c r="K4261" t="inlineStr">
        <is>
          <t>On Time</t>
        </is>
      </c>
      <c r="L4261" t="n">
        <v>4</v>
      </c>
      <c r="M4261">
        <f>VLOOKUP(D4261,State_Lookup!$A$2:$B$28,2,FALSE)</f>
        <v/>
      </c>
    </row>
    <row r="4262">
      <c r="A4262" t="inlineStr">
        <is>
          <t>ba7243ecb3b63c80579ba1d4c34e277c</t>
        </is>
      </c>
      <c r="B4262" t="inlineStr">
        <is>
          <t>2018-06-21</t>
        </is>
      </c>
      <c r="C4262" t="inlineStr">
        <is>
          <t>2018-06</t>
        </is>
      </c>
      <c r="D4262" t="inlineStr">
        <is>
          <t>PR</t>
        </is>
      </c>
      <c r="E4262" t="inlineStr">
        <is>
          <t>home_appliances_2</t>
        </is>
      </c>
      <c r="F4262" t="n">
        <v>1</v>
      </c>
      <c r="G4262" t="n">
        <v>32.9</v>
      </c>
      <c r="H4262" t="n">
        <v>22.16</v>
      </c>
      <c r="I4262" t="inlineStr">
        <is>
          <t>boleto</t>
        </is>
      </c>
      <c r="J4262" t="n">
        <v>13</v>
      </c>
      <c r="K4262" t="inlineStr">
        <is>
          <t>On Time</t>
        </is>
      </c>
      <c r="L4262" t="n">
        <v>4</v>
      </c>
      <c r="M4262">
        <f>VLOOKUP(D4262,State_Lookup!$A$2:$B$28,2,FALSE)</f>
        <v/>
      </c>
    </row>
    <row r="4263">
      <c r="A4263" t="inlineStr">
        <is>
          <t>18a9c1f948e1b0500785565ef4041b85</t>
        </is>
      </c>
      <c r="B4263" t="inlineStr">
        <is>
          <t>2018-06-21</t>
        </is>
      </c>
      <c r="C4263" t="inlineStr">
        <is>
          <t>2018-06</t>
        </is>
      </c>
      <c r="D4263" t="inlineStr">
        <is>
          <t>SC</t>
        </is>
      </c>
      <c r="E4263" t="inlineStr">
        <is>
          <t>health_beauty</t>
        </is>
      </c>
      <c r="F4263" t="n">
        <v>1</v>
      </c>
      <c r="G4263" t="n">
        <v>23.99</v>
      </c>
      <c r="H4263" t="n">
        <v>15.27</v>
      </c>
      <c r="I4263" t="inlineStr">
        <is>
          <t>boleto</t>
        </is>
      </c>
      <c r="J4263" t="n">
        <v>7</v>
      </c>
      <c r="K4263" t="inlineStr">
        <is>
          <t>On Time</t>
        </is>
      </c>
      <c r="L4263" t="n">
        <v>5</v>
      </c>
      <c r="M4263">
        <f>VLOOKUP(D4263,State_Lookup!$A$2:$B$28,2,FALSE)</f>
        <v/>
      </c>
    </row>
    <row r="4264">
      <c r="A4264" t="inlineStr">
        <is>
          <t>b2a075b61f56f754745f60eeca7c0f63</t>
        </is>
      </c>
      <c r="B4264" t="inlineStr">
        <is>
          <t>2018-06-21</t>
        </is>
      </c>
      <c r="C4264" t="inlineStr">
        <is>
          <t>2018-06</t>
        </is>
      </c>
      <c r="D4264" t="inlineStr">
        <is>
          <t>SC</t>
        </is>
      </c>
      <c r="E4264" t="inlineStr">
        <is>
          <t>watches_gifts</t>
        </is>
      </c>
      <c r="F4264" t="n">
        <v>1</v>
      </c>
      <c r="G4264" t="n">
        <v>78</v>
      </c>
      <c r="H4264" t="n">
        <v>15.65</v>
      </c>
      <c r="I4264" t="inlineStr">
        <is>
          <t>boleto</t>
        </is>
      </c>
      <c r="J4264" t="n">
        <v>13</v>
      </c>
      <c r="K4264" t="inlineStr">
        <is>
          <t>On Time</t>
        </is>
      </c>
      <c r="L4264" t="n">
        <v>5</v>
      </c>
      <c r="M4264">
        <f>VLOOKUP(D4264,State_Lookup!$A$2:$B$28,2,FALSE)</f>
        <v/>
      </c>
    </row>
    <row r="4265">
      <c r="A4265" t="inlineStr">
        <is>
          <t>4141a4d0188de2c856950810c9a5e52c</t>
        </is>
      </c>
      <c r="B4265" t="inlineStr">
        <is>
          <t>2018-06-21</t>
        </is>
      </c>
      <c r="C4265" t="inlineStr">
        <is>
          <t>2018-06</t>
        </is>
      </c>
      <c r="D4265" t="inlineStr">
        <is>
          <t>SP</t>
        </is>
      </c>
      <c r="E4265" t="inlineStr">
        <is>
          <t>small_appliances</t>
        </is>
      </c>
      <c r="F4265" t="n">
        <v>1</v>
      </c>
      <c r="G4265" t="n">
        <v>153.4</v>
      </c>
      <c r="H4265" t="n">
        <v>14.37</v>
      </c>
      <c r="I4265" t="inlineStr">
        <is>
          <t>credit_card</t>
        </is>
      </c>
      <c r="J4265" t="n">
        <v>5</v>
      </c>
      <c r="K4265" t="inlineStr">
        <is>
          <t>On Time</t>
        </is>
      </c>
      <c r="L4265" t="inlineStr"/>
      <c r="M4265">
        <f>VLOOKUP(D4265,State_Lookup!$A$2:$B$28,2,FALSE)</f>
        <v/>
      </c>
    </row>
    <row r="4266">
      <c r="A4266" t="inlineStr">
        <is>
          <t>033abfda50a317e7664dc789031fbdef</t>
        </is>
      </c>
      <c r="B4266" t="inlineStr">
        <is>
          <t>2018-06-21</t>
        </is>
      </c>
      <c r="C4266" t="inlineStr">
        <is>
          <t>2018-06</t>
        </is>
      </c>
      <c r="D4266" t="inlineStr">
        <is>
          <t>SP</t>
        </is>
      </c>
      <c r="E4266" t="inlineStr">
        <is>
          <t>toys</t>
        </is>
      </c>
      <c r="F4266" t="n">
        <v>1</v>
      </c>
      <c r="G4266" t="n">
        <v>117</v>
      </c>
      <c r="H4266" t="n">
        <v>21.26</v>
      </c>
      <c r="I4266" t="inlineStr">
        <is>
          <t>credit_card</t>
        </is>
      </c>
      <c r="J4266" t="n">
        <v>8</v>
      </c>
      <c r="K4266" t="inlineStr">
        <is>
          <t>On Time</t>
        </is>
      </c>
      <c r="L4266" t="n">
        <v>5</v>
      </c>
      <c r="M4266">
        <f>VLOOKUP(D4266,State_Lookup!$A$2:$B$28,2,FALSE)</f>
        <v/>
      </c>
    </row>
    <row r="4267">
      <c r="A4267" t="inlineStr">
        <is>
          <t>7c48889642a4142114249d57bb4bdee4</t>
        </is>
      </c>
      <c r="B4267" t="inlineStr">
        <is>
          <t>2018-06-21</t>
        </is>
      </c>
      <c r="C4267" t="inlineStr">
        <is>
          <t>2018-06</t>
        </is>
      </c>
      <c r="D4267" t="inlineStr">
        <is>
          <t>SP</t>
        </is>
      </c>
      <c r="E4267" t="inlineStr">
        <is>
          <t>home_appliances</t>
        </is>
      </c>
      <c r="F4267" t="n">
        <v>1</v>
      </c>
      <c r="G4267" t="n">
        <v>349.9</v>
      </c>
      <c r="H4267" t="n">
        <v>16.84</v>
      </c>
      <c r="I4267" t="inlineStr">
        <is>
          <t>credit_card</t>
        </is>
      </c>
      <c r="J4267" t="n">
        <v>6</v>
      </c>
      <c r="K4267" t="inlineStr">
        <is>
          <t>On Time</t>
        </is>
      </c>
      <c r="L4267" t="n">
        <v>4</v>
      </c>
      <c r="M4267">
        <f>VLOOKUP(D4267,State_Lookup!$A$2:$B$28,2,FALSE)</f>
        <v/>
      </c>
    </row>
    <row r="4268">
      <c r="A4268" t="inlineStr">
        <is>
          <t>f3ef0ddf732dfd6a0c31fe3f8cd3b948</t>
        </is>
      </c>
      <c r="B4268" t="inlineStr">
        <is>
          <t>2018-06-21</t>
        </is>
      </c>
      <c r="C4268" t="inlineStr">
        <is>
          <t>2018-06</t>
        </is>
      </c>
      <c r="D4268" t="inlineStr">
        <is>
          <t>SP</t>
        </is>
      </c>
      <c r="E4268" t="inlineStr">
        <is>
          <t>fashion_male_clothing</t>
        </is>
      </c>
      <c r="F4268" t="n">
        <v>2</v>
      </c>
      <c r="G4268" t="n">
        <v>80</v>
      </c>
      <c r="H4268" t="n">
        <v>17.58</v>
      </c>
      <c r="I4268" t="inlineStr">
        <is>
          <t>credit_card</t>
        </is>
      </c>
      <c r="J4268" t="n">
        <v>8</v>
      </c>
      <c r="K4268" t="inlineStr">
        <is>
          <t>On Time</t>
        </is>
      </c>
      <c r="L4268" t="n">
        <v>5</v>
      </c>
      <c r="M4268">
        <f>VLOOKUP(D4268,State_Lookup!$A$2:$B$28,2,FALSE)</f>
        <v/>
      </c>
    </row>
    <row r="4269">
      <c r="A4269" t="inlineStr">
        <is>
          <t>1fb42df5f777c1b9bf5790d888e15075</t>
        </is>
      </c>
      <c r="B4269" t="inlineStr">
        <is>
          <t>2018-06-21</t>
        </is>
      </c>
      <c r="C4269" t="inlineStr">
        <is>
          <t>2018-06</t>
        </is>
      </c>
      <c r="D4269" t="inlineStr">
        <is>
          <t>SP</t>
        </is>
      </c>
      <c r="E4269" t="inlineStr">
        <is>
          <t>health_beauty</t>
        </is>
      </c>
      <c r="F4269" t="n">
        <v>1</v>
      </c>
      <c r="G4269" t="n">
        <v>122.99</v>
      </c>
      <c r="H4269" t="n">
        <v>30.11</v>
      </c>
      <c r="I4269" t="inlineStr">
        <is>
          <t>boleto</t>
        </is>
      </c>
      <c r="J4269" t="n">
        <v>11</v>
      </c>
      <c r="K4269" t="inlineStr">
        <is>
          <t>On Time</t>
        </is>
      </c>
      <c r="L4269" t="n">
        <v>5</v>
      </c>
      <c r="M4269">
        <f>VLOOKUP(D4269,State_Lookup!$A$2:$B$28,2,FALSE)</f>
        <v/>
      </c>
    </row>
    <row r="4270">
      <c r="A4270" t="inlineStr">
        <is>
          <t>382b28c2f9fa93f5bb38c304ea11d6fc</t>
        </is>
      </c>
      <c r="B4270" t="inlineStr">
        <is>
          <t>2018-06-22</t>
        </is>
      </c>
      <c r="C4270" t="inlineStr">
        <is>
          <t>2018-06</t>
        </is>
      </c>
      <c r="D4270" t="inlineStr">
        <is>
          <t>RN</t>
        </is>
      </c>
      <c r="E4270" t="inlineStr">
        <is>
          <t>stationery</t>
        </is>
      </c>
      <c r="F4270" t="n">
        <v>1</v>
      </c>
      <c r="G4270" t="n">
        <v>189.9</v>
      </c>
      <c r="H4270" t="n">
        <v>61.61</v>
      </c>
      <c r="I4270" t="inlineStr">
        <is>
          <t>credit_card</t>
        </is>
      </c>
      <c r="J4270" t="n">
        <v>10</v>
      </c>
      <c r="K4270" t="inlineStr">
        <is>
          <t>On Time</t>
        </is>
      </c>
      <c r="L4270" t="n">
        <v>5</v>
      </c>
      <c r="M4270">
        <f>VLOOKUP(D4270,State_Lookup!$A$2:$B$28,2,FALSE)</f>
        <v/>
      </c>
    </row>
    <row r="4271">
      <c r="A4271" t="inlineStr">
        <is>
          <t>591776df8fe679d1406cdf74040ba972</t>
        </is>
      </c>
      <c r="B4271" t="inlineStr">
        <is>
          <t>2018-06-22</t>
        </is>
      </c>
      <c r="C4271" t="inlineStr">
        <is>
          <t>2018-06</t>
        </is>
      </c>
      <c r="D4271" t="inlineStr">
        <is>
          <t>SP</t>
        </is>
      </c>
      <c r="E4271" t="inlineStr">
        <is>
          <t>watches_gifts</t>
        </is>
      </c>
      <c r="F4271" t="n">
        <v>1</v>
      </c>
      <c r="G4271" t="n">
        <v>85</v>
      </c>
      <c r="H4271" t="n">
        <v>7.86</v>
      </c>
      <c r="I4271" t="inlineStr">
        <is>
          <t>credit_card</t>
        </is>
      </c>
      <c r="J4271" t="n">
        <v>3</v>
      </c>
      <c r="K4271" t="inlineStr">
        <is>
          <t>On Time</t>
        </is>
      </c>
      <c r="L4271" t="n">
        <v>5</v>
      </c>
      <c r="M4271">
        <f>VLOOKUP(D4271,State_Lookup!$A$2:$B$28,2,FALSE)</f>
        <v/>
      </c>
    </row>
    <row r="4272">
      <c r="A4272" t="inlineStr">
        <is>
          <t>03211eda276999d5eaa8a167a4b6286a</t>
        </is>
      </c>
      <c r="B4272" t="inlineStr">
        <is>
          <t>2018-06-22</t>
        </is>
      </c>
      <c r="C4272" t="inlineStr">
        <is>
          <t>2018-06</t>
        </is>
      </c>
      <c r="D4272" t="inlineStr">
        <is>
          <t>RS</t>
        </is>
      </c>
      <c r="E4272" t="inlineStr">
        <is>
          <t>agro_industry_and_commerce</t>
        </is>
      </c>
      <c r="F4272" t="n">
        <v>1</v>
      </c>
      <c r="G4272" t="n">
        <v>479</v>
      </c>
      <c r="H4272" t="n">
        <v>38.7</v>
      </c>
      <c r="I4272" t="inlineStr">
        <is>
          <t>credit_card</t>
        </is>
      </c>
      <c r="J4272" t="n">
        <v>12</v>
      </c>
      <c r="K4272" t="inlineStr">
        <is>
          <t>On Time</t>
        </is>
      </c>
      <c r="L4272" t="n">
        <v>5</v>
      </c>
      <c r="M4272">
        <f>VLOOKUP(D4272,State_Lookup!$A$2:$B$28,2,FALSE)</f>
        <v/>
      </c>
    </row>
    <row r="4273">
      <c r="A4273" t="inlineStr">
        <is>
          <t>613aa65ab0ca25bcfc8ce3812cafae2d</t>
        </is>
      </c>
      <c r="B4273" t="inlineStr">
        <is>
          <t>2018-06-22</t>
        </is>
      </c>
      <c r="C4273" t="inlineStr">
        <is>
          <t>2018-06</t>
        </is>
      </c>
      <c r="D4273" t="inlineStr">
        <is>
          <t>SP</t>
        </is>
      </c>
      <c r="E4273" t="inlineStr">
        <is>
          <t>sports_leisure</t>
        </is>
      </c>
      <c r="F4273" t="n">
        <v>1</v>
      </c>
      <c r="G4273" t="n">
        <v>55.99</v>
      </c>
      <c r="H4273" t="n">
        <v>18.49</v>
      </c>
      <c r="I4273" t="inlineStr">
        <is>
          <t>debit_card</t>
        </is>
      </c>
      <c r="J4273" t="n">
        <v>4</v>
      </c>
      <c r="K4273" t="inlineStr">
        <is>
          <t>On Time</t>
        </is>
      </c>
      <c r="L4273" t="n">
        <v>5</v>
      </c>
      <c r="M4273">
        <f>VLOOKUP(D4273,State_Lookup!$A$2:$B$28,2,FALSE)</f>
        <v/>
      </c>
    </row>
    <row r="4274">
      <c r="A4274" t="inlineStr">
        <is>
          <t>248aebbd996d29fa9e2c5fbe3d4bfd38</t>
        </is>
      </c>
      <c r="B4274" t="inlineStr">
        <is>
          <t>2018-06-22</t>
        </is>
      </c>
      <c r="C4274" t="inlineStr">
        <is>
          <t>2018-06</t>
        </is>
      </c>
      <c r="D4274" t="inlineStr">
        <is>
          <t>SC</t>
        </is>
      </c>
      <c r="E4274" t="inlineStr">
        <is>
          <t>computers_accessories</t>
        </is>
      </c>
      <c r="F4274" t="n">
        <v>1</v>
      </c>
      <c r="G4274" t="n">
        <v>67.98999999999999</v>
      </c>
      <c r="H4274" t="n">
        <v>19.67</v>
      </c>
      <c r="I4274" t="inlineStr">
        <is>
          <t>credit_card</t>
        </is>
      </c>
      <c r="J4274" t="n">
        <v>10</v>
      </c>
      <c r="K4274" t="inlineStr">
        <is>
          <t>On Time</t>
        </is>
      </c>
      <c r="L4274" t="n">
        <v>4</v>
      </c>
      <c r="M4274">
        <f>VLOOKUP(D4274,State_Lookup!$A$2:$B$28,2,FALSE)</f>
        <v/>
      </c>
    </row>
    <row r="4275">
      <c r="A4275" t="inlineStr">
        <is>
          <t>aed8a6355c72e229dbe6db611871f210</t>
        </is>
      </c>
      <c r="B4275" t="inlineStr">
        <is>
          <t>2018-06-22</t>
        </is>
      </c>
      <c r="C4275" t="inlineStr">
        <is>
          <t>2018-06</t>
        </is>
      </c>
      <c r="D4275" t="inlineStr">
        <is>
          <t>SP</t>
        </is>
      </c>
      <c r="E4275" t="inlineStr">
        <is>
          <t>bed_bath_table</t>
        </is>
      </c>
      <c r="F4275" t="n">
        <v>1</v>
      </c>
      <c r="G4275" t="n">
        <v>79.90000000000001</v>
      </c>
      <c r="H4275" t="n">
        <v>14.87</v>
      </c>
      <c r="I4275" t="inlineStr">
        <is>
          <t>boleto</t>
        </is>
      </c>
      <c r="J4275" t="n">
        <v>7</v>
      </c>
      <c r="K4275" t="inlineStr">
        <is>
          <t>On Time</t>
        </is>
      </c>
      <c r="L4275" t="n">
        <v>5</v>
      </c>
      <c r="M4275">
        <f>VLOOKUP(D4275,State_Lookup!$A$2:$B$28,2,FALSE)</f>
        <v/>
      </c>
    </row>
    <row r="4276">
      <c r="A4276" t="inlineStr">
        <is>
          <t>77787bddc1466e4041a18a6109163e72</t>
        </is>
      </c>
      <c r="B4276" t="inlineStr">
        <is>
          <t>2018-06-22</t>
        </is>
      </c>
      <c r="C4276" t="inlineStr">
        <is>
          <t>2018-06</t>
        </is>
      </c>
      <c r="D4276" t="inlineStr">
        <is>
          <t>DF</t>
        </is>
      </c>
      <c r="E4276" t="inlineStr">
        <is>
          <t>baby</t>
        </is>
      </c>
      <c r="F4276" t="n">
        <v>1</v>
      </c>
      <c r="G4276" t="n">
        <v>48.9</v>
      </c>
      <c r="H4276" t="n">
        <v>19.53</v>
      </c>
      <c r="I4276" t="inlineStr">
        <is>
          <t>credit_card</t>
        </is>
      </c>
      <c r="J4276" t="n">
        <v>8</v>
      </c>
      <c r="K4276" t="inlineStr">
        <is>
          <t>On Time</t>
        </is>
      </c>
      <c r="L4276" t="n">
        <v>5</v>
      </c>
      <c r="M4276">
        <f>VLOOKUP(D4276,State_Lookup!$A$2:$B$28,2,FALSE)</f>
        <v/>
      </c>
    </row>
    <row r="4277">
      <c r="A4277" t="inlineStr">
        <is>
          <t>aaf89e8d7cbbf9a40432e9e1a9c880c8</t>
        </is>
      </c>
      <c r="B4277" t="inlineStr">
        <is>
          <t>2018-06-22</t>
        </is>
      </c>
      <c r="C4277" t="inlineStr">
        <is>
          <t>2018-06</t>
        </is>
      </c>
      <c r="D4277" t="inlineStr">
        <is>
          <t>ES</t>
        </is>
      </c>
      <c r="E4277" t="inlineStr">
        <is>
          <t>health_beauty</t>
        </is>
      </c>
      <c r="F4277" t="n">
        <v>1</v>
      </c>
      <c r="G4277" t="n">
        <v>95</v>
      </c>
      <c r="H4277" t="n">
        <v>18.77</v>
      </c>
      <c r="I4277" t="inlineStr">
        <is>
          <t>voucher</t>
        </is>
      </c>
      <c r="J4277" t="n">
        <v>12</v>
      </c>
      <c r="K4277" t="inlineStr">
        <is>
          <t>On Time</t>
        </is>
      </c>
      <c r="L4277" t="n">
        <v>4</v>
      </c>
      <c r="M4277">
        <f>VLOOKUP(D4277,State_Lookup!$A$2:$B$28,2,FALSE)</f>
        <v/>
      </c>
    </row>
    <row r="4278">
      <c r="A4278" t="inlineStr">
        <is>
          <t>05a61d016706110ed3580eeba84e31c7</t>
        </is>
      </c>
      <c r="B4278" t="inlineStr">
        <is>
          <t>2018-06-22</t>
        </is>
      </c>
      <c r="C4278" t="inlineStr">
        <is>
          <t>2018-06</t>
        </is>
      </c>
      <c r="D4278" t="inlineStr">
        <is>
          <t>MG</t>
        </is>
      </c>
      <c r="E4278" t="inlineStr">
        <is>
          <t>bed_bath_table</t>
        </is>
      </c>
      <c r="F4278" t="n">
        <v>2</v>
      </c>
      <c r="G4278" t="n">
        <v>99.90000000000001</v>
      </c>
      <c r="H4278" t="n">
        <v>36.9</v>
      </c>
      <c r="I4278" t="inlineStr">
        <is>
          <t>credit_card</t>
        </is>
      </c>
      <c r="J4278" t="n">
        <v>10</v>
      </c>
      <c r="K4278" t="inlineStr">
        <is>
          <t>On Time</t>
        </is>
      </c>
      <c r="L4278" t="n">
        <v>5</v>
      </c>
      <c r="M4278">
        <f>VLOOKUP(D4278,State_Lookup!$A$2:$B$28,2,FALSE)</f>
        <v/>
      </c>
    </row>
    <row r="4279">
      <c r="A4279" t="inlineStr">
        <is>
          <t>abed2a2ecd907630587f0062063d3df7</t>
        </is>
      </c>
      <c r="B4279" t="inlineStr">
        <is>
          <t>2018-06-22</t>
        </is>
      </c>
      <c r="C4279" t="inlineStr">
        <is>
          <t>2018-06</t>
        </is>
      </c>
      <c r="D4279" t="inlineStr">
        <is>
          <t>SP</t>
        </is>
      </c>
      <c r="E4279" t="inlineStr">
        <is>
          <t>health_beauty</t>
        </is>
      </c>
      <c r="F4279" t="n">
        <v>1</v>
      </c>
      <c r="G4279" t="n">
        <v>65.5</v>
      </c>
      <c r="H4279" t="n">
        <v>8.619999999999999</v>
      </c>
      <c r="I4279" t="inlineStr">
        <is>
          <t>credit_card</t>
        </is>
      </c>
      <c r="J4279" t="n">
        <v>10</v>
      </c>
      <c r="K4279" t="inlineStr">
        <is>
          <t>On Time</t>
        </is>
      </c>
      <c r="L4279" t="n">
        <v>1</v>
      </c>
      <c r="M4279">
        <f>VLOOKUP(D4279,State_Lookup!$A$2:$B$28,2,FALSE)</f>
        <v/>
      </c>
    </row>
    <row r="4280">
      <c r="A4280" t="inlineStr">
        <is>
          <t>2d8a0bc4abbb7bbb3a420f2219f02f93</t>
        </is>
      </c>
      <c r="B4280" t="inlineStr">
        <is>
          <t>2018-06-22</t>
        </is>
      </c>
      <c r="C4280" t="inlineStr">
        <is>
          <t>2018-06</t>
        </is>
      </c>
      <c r="D4280" t="inlineStr">
        <is>
          <t>RJ</t>
        </is>
      </c>
      <c r="E4280" t="inlineStr">
        <is>
          <t>audio</t>
        </is>
      </c>
      <c r="F4280" t="n">
        <v>1</v>
      </c>
      <c r="G4280" t="n">
        <v>14.9</v>
      </c>
      <c r="H4280" t="n">
        <v>18.23</v>
      </c>
      <c r="I4280" t="inlineStr">
        <is>
          <t>voucher</t>
        </is>
      </c>
      <c r="J4280" t="n">
        <v>6</v>
      </c>
      <c r="K4280" t="inlineStr">
        <is>
          <t>On Time</t>
        </is>
      </c>
      <c r="L4280" t="n">
        <v>4</v>
      </c>
      <c r="M4280">
        <f>VLOOKUP(D4280,State_Lookup!$A$2:$B$28,2,FALSE)</f>
        <v/>
      </c>
    </row>
    <row r="4281">
      <c r="A4281" t="inlineStr">
        <is>
          <t>2a6d1505d28e5a6956a20dcdaa6e0464</t>
        </is>
      </c>
      <c r="B4281" t="inlineStr">
        <is>
          <t>2018-06-22</t>
        </is>
      </c>
      <c r="C4281" t="inlineStr">
        <is>
          <t>2018-06</t>
        </is>
      </c>
      <c r="D4281" t="inlineStr">
        <is>
          <t>PE</t>
        </is>
      </c>
      <c r="E4281" t="inlineStr">
        <is>
          <t>health_beauty</t>
        </is>
      </c>
      <c r="F4281" t="n">
        <v>1</v>
      </c>
      <c r="G4281" t="n">
        <v>64.98999999999999</v>
      </c>
      <c r="H4281" t="n">
        <v>37.37</v>
      </c>
      <c r="I4281" t="inlineStr">
        <is>
          <t>credit_card</t>
        </is>
      </c>
      <c r="J4281" t="n">
        <v>10</v>
      </c>
      <c r="K4281" t="inlineStr">
        <is>
          <t>On Time</t>
        </is>
      </c>
      <c r="L4281" t="n">
        <v>5</v>
      </c>
      <c r="M4281">
        <f>VLOOKUP(D4281,State_Lookup!$A$2:$B$28,2,FALSE)</f>
        <v/>
      </c>
    </row>
    <row r="4282">
      <c r="A4282" t="inlineStr">
        <is>
          <t>d4938fbb008a69c486b8f17c96739905</t>
        </is>
      </c>
      <c r="B4282" t="inlineStr">
        <is>
          <t>2018-06-22</t>
        </is>
      </c>
      <c r="C4282" t="inlineStr">
        <is>
          <t>2018-06</t>
        </is>
      </c>
      <c r="D4282" t="inlineStr">
        <is>
          <t>MT</t>
        </is>
      </c>
      <c r="E4282" t="inlineStr">
        <is>
          <t>bed_bath_table</t>
        </is>
      </c>
      <c r="F4282" t="n">
        <v>1</v>
      </c>
      <c r="G4282" t="n">
        <v>34.99</v>
      </c>
      <c r="H4282" t="n">
        <v>23.4</v>
      </c>
      <c r="I4282" t="inlineStr">
        <is>
          <t>boleto</t>
        </is>
      </c>
      <c r="J4282" t="n">
        <v>14</v>
      </c>
      <c r="K4282" t="inlineStr">
        <is>
          <t>On Time</t>
        </is>
      </c>
      <c r="L4282" t="inlineStr"/>
      <c r="M4282">
        <f>VLOOKUP(D4282,State_Lookup!$A$2:$B$28,2,FALSE)</f>
        <v/>
      </c>
    </row>
    <row r="4283">
      <c r="A4283" t="inlineStr">
        <is>
          <t>fe386506094fadffd450e5754b5d9c17</t>
        </is>
      </c>
      <c r="B4283" t="inlineStr">
        <is>
          <t>2018-06-23</t>
        </is>
      </c>
      <c r="C4283" t="inlineStr">
        <is>
          <t>2018-06</t>
        </is>
      </c>
      <c r="D4283" t="inlineStr">
        <is>
          <t>SC</t>
        </is>
      </c>
      <c r="E4283" t="inlineStr">
        <is>
          <t>pet_shop</t>
        </is>
      </c>
      <c r="F4283" t="n">
        <v>1</v>
      </c>
      <c r="G4283" t="n">
        <v>103</v>
      </c>
      <c r="H4283" t="n">
        <v>18.82</v>
      </c>
      <c r="I4283" t="inlineStr">
        <is>
          <t>credit_card</t>
        </is>
      </c>
      <c r="J4283" t="n">
        <v>9</v>
      </c>
      <c r="K4283" t="inlineStr">
        <is>
          <t>On Time</t>
        </is>
      </c>
      <c r="L4283" t="n">
        <v>3</v>
      </c>
      <c r="M4283">
        <f>VLOOKUP(D4283,State_Lookup!$A$2:$B$28,2,FALSE)</f>
        <v/>
      </c>
    </row>
    <row r="4284">
      <c r="A4284" t="inlineStr">
        <is>
          <t>274a7f7e4f1c17b7434a830e9b8759b1</t>
        </is>
      </c>
      <c r="B4284" t="inlineStr">
        <is>
          <t>2018-06-23</t>
        </is>
      </c>
      <c r="C4284" t="inlineStr">
        <is>
          <t>2018-06</t>
        </is>
      </c>
      <c r="D4284" t="inlineStr">
        <is>
          <t>SE</t>
        </is>
      </c>
      <c r="E4284" t="inlineStr">
        <is>
          <t>telephony</t>
        </is>
      </c>
      <c r="F4284" t="n">
        <v>1</v>
      </c>
      <c r="G4284" t="n">
        <v>34.97</v>
      </c>
      <c r="H4284" t="n">
        <v>22.97</v>
      </c>
      <c r="I4284" t="inlineStr">
        <is>
          <t>voucher</t>
        </is>
      </c>
      <c r="J4284" t="inlineStr"/>
      <c r="K4284" t="inlineStr">
        <is>
          <t>Not Delivered</t>
        </is>
      </c>
      <c r="L4284" t="n">
        <v>1</v>
      </c>
      <c r="M4284">
        <f>VLOOKUP(D4284,State_Lookup!$A$2:$B$28,2,FALSE)</f>
        <v/>
      </c>
    </row>
    <row r="4285">
      <c r="A4285" t="inlineStr">
        <is>
          <t>2db42ea65de6f21be729a6671b074a4b</t>
        </is>
      </c>
      <c r="B4285" t="inlineStr">
        <is>
          <t>2018-06-23</t>
        </is>
      </c>
      <c r="C4285" t="inlineStr">
        <is>
          <t>2018-06</t>
        </is>
      </c>
      <c r="D4285" t="inlineStr">
        <is>
          <t>SP</t>
        </is>
      </c>
      <c r="E4285" t="inlineStr">
        <is>
          <t>stationery</t>
        </is>
      </c>
      <c r="F4285" t="n">
        <v>1</v>
      </c>
      <c r="G4285" t="n">
        <v>59.9</v>
      </c>
      <c r="H4285" t="n">
        <v>7.68</v>
      </c>
      <c r="I4285" t="inlineStr">
        <is>
          <t>credit_card</t>
        </is>
      </c>
      <c r="J4285" t="n">
        <v>3</v>
      </c>
      <c r="K4285" t="inlineStr">
        <is>
          <t>On Time</t>
        </is>
      </c>
      <c r="L4285" t="n">
        <v>5</v>
      </c>
      <c r="M4285">
        <f>VLOOKUP(D4285,State_Lookup!$A$2:$B$28,2,FALSE)</f>
        <v/>
      </c>
    </row>
    <row r="4286">
      <c r="A4286" t="inlineStr">
        <is>
          <t>71588428f9341618a05bf69e1aba5128</t>
        </is>
      </c>
      <c r="B4286" t="inlineStr">
        <is>
          <t>2018-06-23</t>
        </is>
      </c>
      <c r="C4286" t="inlineStr">
        <is>
          <t>2018-06</t>
        </is>
      </c>
      <c r="D4286" t="inlineStr">
        <is>
          <t>RJ</t>
        </is>
      </c>
      <c r="E4286" t="inlineStr">
        <is>
          <t>office_furniture</t>
        </is>
      </c>
      <c r="F4286" t="n">
        <v>1</v>
      </c>
      <c r="G4286" t="n">
        <v>146.94</v>
      </c>
      <c r="H4286" t="n">
        <v>49.4</v>
      </c>
      <c r="I4286" t="inlineStr">
        <is>
          <t>credit_card</t>
        </is>
      </c>
      <c r="J4286" t="n">
        <v>17</v>
      </c>
      <c r="K4286" t="inlineStr">
        <is>
          <t>On Time</t>
        </is>
      </c>
      <c r="L4286" t="n">
        <v>5</v>
      </c>
      <c r="M4286">
        <f>VLOOKUP(D4286,State_Lookup!$A$2:$B$28,2,FALSE)</f>
        <v/>
      </c>
    </row>
    <row r="4287">
      <c r="A4287" t="inlineStr">
        <is>
          <t>3ba7bbd7b7686df219611578ece6918c</t>
        </is>
      </c>
      <c r="B4287" t="inlineStr">
        <is>
          <t>2018-06-23</t>
        </is>
      </c>
      <c r="C4287" t="inlineStr">
        <is>
          <t>2018-06</t>
        </is>
      </c>
      <c r="D4287" t="inlineStr">
        <is>
          <t>SP</t>
        </is>
      </c>
      <c r="E4287" t="inlineStr">
        <is>
          <t>pet_shop</t>
        </is>
      </c>
      <c r="F4287" t="n">
        <v>1</v>
      </c>
      <c r="G4287" t="n">
        <v>59.99</v>
      </c>
      <c r="H4287" t="n">
        <v>16.69</v>
      </c>
      <c r="I4287" t="inlineStr">
        <is>
          <t>credit_card</t>
        </is>
      </c>
      <c r="J4287" t="n">
        <v>4</v>
      </c>
      <c r="K4287" t="inlineStr">
        <is>
          <t>On Time</t>
        </is>
      </c>
      <c r="L4287" t="n">
        <v>3</v>
      </c>
      <c r="M4287">
        <f>VLOOKUP(D4287,State_Lookup!$A$2:$B$28,2,FALSE)</f>
        <v/>
      </c>
    </row>
    <row r="4288">
      <c r="A4288" t="inlineStr">
        <is>
          <t>5fbf74426609c2706727d1e358652e36</t>
        </is>
      </c>
      <c r="B4288" t="inlineStr">
        <is>
          <t>2018-06-23</t>
        </is>
      </c>
      <c r="C4288" t="inlineStr">
        <is>
          <t>2018-06</t>
        </is>
      </c>
      <c r="D4288" t="inlineStr">
        <is>
          <t>RJ</t>
        </is>
      </c>
      <c r="E4288" t="inlineStr">
        <is>
          <t>health_beauty</t>
        </is>
      </c>
      <c r="F4288" t="n">
        <v>2</v>
      </c>
      <c r="G4288" t="n">
        <v>149.8</v>
      </c>
      <c r="H4288" t="n">
        <v>37.24</v>
      </c>
      <c r="I4288" t="inlineStr">
        <is>
          <t>credit_card</t>
        </is>
      </c>
      <c r="J4288" t="n">
        <v>9</v>
      </c>
      <c r="K4288" t="inlineStr">
        <is>
          <t>On Time</t>
        </is>
      </c>
      <c r="L4288" t="n">
        <v>5</v>
      </c>
      <c r="M4288">
        <f>VLOOKUP(D4288,State_Lookup!$A$2:$B$28,2,FALSE)</f>
        <v/>
      </c>
    </row>
    <row r="4289">
      <c r="A4289" t="inlineStr">
        <is>
          <t>ef814f60d8d32909ecb19879c24c1f53</t>
        </is>
      </c>
      <c r="B4289" t="inlineStr">
        <is>
          <t>2018-06-23</t>
        </is>
      </c>
      <c r="C4289" t="inlineStr">
        <is>
          <t>2018-06</t>
        </is>
      </c>
      <c r="D4289" t="inlineStr">
        <is>
          <t>SP</t>
        </is>
      </c>
      <c r="E4289" t="inlineStr">
        <is>
          <t>furniture_decor</t>
        </is>
      </c>
      <c r="F4289" t="n">
        <v>1</v>
      </c>
      <c r="G4289" t="n">
        <v>279</v>
      </c>
      <c r="H4289" t="n">
        <v>18.14</v>
      </c>
      <c r="I4289" t="inlineStr">
        <is>
          <t>credit_card</t>
        </is>
      </c>
      <c r="J4289" t="n">
        <v>6</v>
      </c>
      <c r="K4289" t="inlineStr">
        <is>
          <t>On Time</t>
        </is>
      </c>
      <c r="L4289" t="n">
        <v>3</v>
      </c>
      <c r="M4289">
        <f>VLOOKUP(D4289,State_Lookup!$A$2:$B$28,2,FALSE)</f>
        <v/>
      </c>
    </row>
    <row r="4290">
      <c r="A4290" t="inlineStr">
        <is>
          <t>9040dcd14cc032f8abce25f90b9739d8</t>
        </is>
      </c>
      <c r="B4290" t="inlineStr">
        <is>
          <t>2018-06-24</t>
        </is>
      </c>
      <c r="C4290" t="inlineStr">
        <is>
          <t>2018-06</t>
        </is>
      </c>
      <c r="D4290" t="inlineStr">
        <is>
          <t>SP</t>
        </is>
      </c>
      <c r="E4290" t="inlineStr">
        <is>
          <t>health_beauty</t>
        </is>
      </c>
      <c r="F4290" t="n">
        <v>1</v>
      </c>
      <c r="G4290" t="n">
        <v>35</v>
      </c>
      <c r="H4290" t="n">
        <v>12.91</v>
      </c>
      <c r="I4290" t="inlineStr">
        <is>
          <t>credit_card</t>
        </is>
      </c>
      <c r="J4290" t="n">
        <v>4</v>
      </c>
      <c r="K4290" t="inlineStr">
        <is>
          <t>On Time</t>
        </is>
      </c>
      <c r="L4290" t="n">
        <v>4</v>
      </c>
      <c r="M4290">
        <f>VLOOKUP(D4290,State_Lookup!$A$2:$B$28,2,FALSE)</f>
        <v/>
      </c>
    </row>
    <row r="4291">
      <c r="A4291" t="inlineStr">
        <is>
          <t>8bad870bb86e0b67f6db07bb5e3c55c5</t>
        </is>
      </c>
      <c r="B4291" t="inlineStr">
        <is>
          <t>2018-06-24</t>
        </is>
      </c>
      <c r="C4291" t="inlineStr">
        <is>
          <t>2018-06</t>
        </is>
      </c>
      <c r="D4291" t="inlineStr">
        <is>
          <t>SP</t>
        </is>
      </c>
      <c r="E4291" t="inlineStr">
        <is>
          <t>books_general_interest</t>
        </is>
      </c>
      <c r="F4291" t="n">
        <v>1</v>
      </c>
      <c r="G4291" t="n">
        <v>40</v>
      </c>
      <c r="H4291" t="n">
        <v>15.38</v>
      </c>
      <c r="I4291" t="inlineStr">
        <is>
          <t>credit_card</t>
        </is>
      </c>
      <c r="J4291" t="n">
        <v>8</v>
      </c>
      <c r="K4291" t="inlineStr">
        <is>
          <t>On Time</t>
        </is>
      </c>
      <c r="L4291" t="n">
        <v>5</v>
      </c>
      <c r="M4291">
        <f>VLOOKUP(D4291,State_Lookup!$A$2:$B$28,2,FALSE)</f>
        <v/>
      </c>
    </row>
    <row r="4292">
      <c r="A4292" t="inlineStr">
        <is>
          <t>aaf164d36ed493530b104e9e76e44af9</t>
        </is>
      </c>
      <c r="B4292" t="inlineStr">
        <is>
          <t>2018-06-24</t>
        </is>
      </c>
      <c r="C4292" t="inlineStr">
        <is>
          <t>2018-06</t>
        </is>
      </c>
      <c r="D4292" t="inlineStr">
        <is>
          <t>SP</t>
        </is>
      </c>
      <c r="E4292" t="inlineStr">
        <is>
          <t>art</t>
        </is>
      </c>
      <c r="F4292" t="n">
        <v>1</v>
      </c>
      <c r="G4292" t="n">
        <v>55</v>
      </c>
      <c r="H4292" t="n">
        <v>8.550000000000001</v>
      </c>
      <c r="I4292" t="inlineStr">
        <is>
          <t>credit_card</t>
        </is>
      </c>
      <c r="J4292" t="n">
        <v>2</v>
      </c>
      <c r="K4292" t="inlineStr">
        <is>
          <t>On Time</t>
        </is>
      </c>
      <c r="L4292" t="n">
        <v>5</v>
      </c>
      <c r="M4292">
        <f>VLOOKUP(D4292,State_Lookup!$A$2:$B$28,2,FALSE)</f>
        <v/>
      </c>
    </row>
    <row r="4293">
      <c r="A4293" t="inlineStr">
        <is>
          <t>adc2f0c9fd838d820339f8220c1adf08</t>
        </is>
      </c>
      <c r="B4293" t="inlineStr">
        <is>
          <t>2018-06-24</t>
        </is>
      </c>
      <c r="C4293" t="inlineStr">
        <is>
          <t>2018-06</t>
        </is>
      </c>
      <c r="D4293" t="inlineStr">
        <is>
          <t>SP</t>
        </is>
      </c>
      <c r="E4293" t="inlineStr">
        <is>
          <t>bed_bath_table</t>
        </is>
      </c>
      <c r="F4293" t="n">
        <v>1</v>
      </c>
      <c r="G4293" t="n">
        <v>17.9</v>
      </c>
      <c r="H4293" t="n">
        <v>12.79</v>
      </c>
      <c r="I4293" t="inlineStr">
        <is>
          <t>voucher</t>
        </is>
      </c>
      <c r="J4293" t="n">
        <v>8</v>
      </c>
      <c r="K4293" t="inlineStr">
        <is>
          <t>On Time</t>
        </is>
      </c>
      <c r="L4293" t="n">
        <v>5</v>
      </c>
      <c r="M4293">
        <f>VLOOKUP(D4293,State_Lookup!$A$2:$B$28,2,FALSE)</f>
        <v/>
      </c>
    </row>
    <row r="4294">
      <c r="A4294" t="inlineStr">
        <is>
          <t>c12dc1b88c47c377eecc9384a4b1c7bb</t>
        </is>
      </c>
      <c r="B4294" t="inlineStr">
        <is>
          <t>2018-06-24</t>
        </is>
      </c>
      <c r="C4294" t="inlineStr">
        <is>
          <t>2018-06</t>
        </is>
      </c>
      <c r="D4294" t="inlineStr">
        <is>
          <t>SP</t>
        </is>
      </c>
      <c r="E4294" t="inlineStr">
        <is>
          <t>home_confort</t>
        </is>
      </c>
      <c r="F4294" t="n">
        <v>1</v>
      </c>
      <c r="G4294" t="n">
        <v>129</v>
      </c>
      <c r="H4294" t="n">
        <v>11.92</v>
      </c>
      <c r="I4294" t="inlineStr">
        <is>
          <t>credit_card</t>
        </is>
      </c>
      <c r="J4294" t="n">
        <v>1</v>
      </c>
      <c r="K4294" t="inlineStr">
        <is>
          <t>On Time</t>
        </is>
      </c>
      <c r="L4294" t="n">
        <v>2</v>
      </c>
      <c r="M4294">
        <f>VLOOKUP(D4294,State_Lookup!$A$2:$B$28,2,FALSE)</f>
        <v/>
      </c>
    </row>
    <row r="4295">
      <c r="A4295" t="inlineStr">
        <is>
          <t>ec042ef0cc05d098905c4383c70f9132</t>
        </is>
      </c>
      <c r="B4295" t="inlineStr">
        <is>
          <t>2018-06-24</t>
        </is>
      </c>
      <c r="C4295" t="inlineStr">
        <is>
          <t>2018-06</t>
        </is>
      </c>
      <c r="D4295" t="inlineStr">
        <is>
          <t>RS</t>
        </is>
      </c>
      <c r="E4295" t="inlineStr">
        <is>
          <t>cool_stuff</t>
        </is>
      </c>
      <c r="F4295" t="n">
        <v>1</v>
      </c>
      <c r="G4295" t="n">
        <v>289.99</v>
      </c>
      <c r="H4295" t="n">
        <v>9.609999999999999</v>
      </c>
      <c r="I4295" t="inlineStr">
        <is>
          <t>credit_card</t>
        </is>
      </c>
      <c r="J4295" t="n">
        <v>2</v>
      </c>
      <c r="K4295" t="inlineStr">
        <is>
          <t>On Time</t>
        </is>
      </c>
      <c r="L4295" t="n">
        <v>4</v>
      </c>
      <c r="M4295">
        <f>VLOOKUP(D4295,State_Lookup!$A$2:$B$28,2,FALSE)</f>
        <v/>
      </c>
    </row>
    <row r="4296">
      <c r="A4296" t="inlineStr">
        <is>
          <t>b1973248ff76d9a24f6a8888662de6bd</t>
        </is>
      </c>
      <c r="B4296" t="inlineStr">
        <is>
          <t>2018-06-24</t>
        </is>
      </c>
      <c r="C4296" t="inlineStr">
        <is>
          <t>2018-06</t>
        </is>
      </c>
      <c r="D4296" t="inlineStr">
        <is>
          <t>RJ</t>
        </is>
      </c>
      <c r="E4296" t="inlineStr">
        <is>
          <t>housewares</t>
        </is>
      </c>
      <c r="F4296" t="n">
        <v>1</v>
      </c>
      <c r="G4296" t="n">
        <v>219.9</v>
      </c>
      <c r="H4296" t="n">
        <v>59.62</v>
      </c>
      <c r="I4296" t="inlineStr">
        <is>
          <t>credit_card</t>
        </is>
      </c>
      <c r="J4296" t="n">
        <v>5</v>
      </c>
      <c r="K4296" t="inlineStr">
        <is>
          <t>On Time</t>
        </is>
      </c>
      <c r="L4296" t="n">
        <v>4</v>
      </c>
      <c r="M4296">
        <f>VLOOKUP(D4296,State_Lookup!$A$2:$B$28,2,FALSE)</f>
        <v/>
      </c>
    </row>
    <row r="4297">
      <c r="A4297" t="inlineStr">
        <is>
          <t>f6222b0551b7a86b06483e58df64df89</t>
        </is>
      </c>
      <c r="B4297" t="inlineStr">
        <is>
          <t>2018-06-24</t>
        </is>
      </c>
      <c r="C4297" t="inlineStr">
        <is>
          <t>2018-06</t>
        </is>
      </c>
      <c r="D4297" t="inlineStr">
        <is>
          <t>SP</t>
        </is>
      </c>
      <c r="E4297" t="inlineStr">
        <is>
          <t>art</t>
        </is>
      </c>
      <c r="F4297" t="n">
        <v>2</v>
      </c>
      <c r="G4297" t="n">
        <v>145.89</v>
      </c>
      <c r="H4297" t="n">
        <v>31.05</v>
      </c>
      <c r="I4297" t="inlineStr">
        <is>
          <t>credit_card</t>
        </is>
      </c>
      <c r="J4297" t="n">
        <v>2</v>
      </c>
      <c r="K4297" t="inlineStr">
        <is>
          <t>On Time</t>
        </is>
      </c>
      <c r="L4297" t="n">
        <v>5</v>
      </c>
      <c r="M4297">
        <f>VLOOKUP(D4297,State_Lookup!$A$2:$B$28,2,FALSE)</f>
        <v/>
      </c>
    </row>
    <row r="4298">
      <c r="A4298" t="inlineStr">
        <is>
          <t>13831f5b4e64bcef58f4a1b4cc8748d4</t>
        </is>
      </c>
      <c r="B4298" t="inlineStr">
        <is>
          <t>2018-06-24</t>
        </is>
      </c>
      <c r="C4298" t="inlineStr">
        <is>
          <t>2018-06</t>
        </is>
      </c>
      <c r="D4298" t="inlineStr">
        <is>
          <t>MG</t>
        </is>
      </c>
      <c r="E4298" t="inlineStr">
        <is>
          <t>watches_gifts</t>
        </is>
      </c>
      <c r="F4298" t="n">
        <v>1</v>
      </c>
      <c r="G4298" t="n">
        <v>155</v>
      </c>
      <c r="H4298" t="n">
        <v>19.19</v>
      </c>
      <c r="I4298" t="inlineStr">
        <is>
          <t>credit_card</t>
        </is>
      </c>
      <c r="J4298" t="n">
        <v>9</v>
      </c>
      <c r="K4298" t="inlineStr">
        <is>
          <t>On Time</t>
        </is>
      </c>
      <c r="L4298" t="n">
        <v>5</v>
      </c>
      <c r="M4298">
        <f>VLOOKUP(D4298,State_Lookup!$A$2:$B$28,2,FALSE)</f>
        <v/>
      </c>
    </row>
    <row r="4299">
      <c r="A4299" t="inlineStr">
        <is>
          <t>3f0371aa67821598a57596f091ac6ba5</t>
        </is>
      </c>
      <c r="B4299" t="inlineStr">
        <is>
          <t>2018-06-24</t>
        </is>
      </c>
      <c r="C4299" t="inlineStr">
        <is>
          <t>2018-06</t>
        </is>
      </c>
      <c r="D4299" t="inlineStr">
        <is>
          <t>SP</t>
        </is>
      </c>
      <c r="E4299" t="inlineStr">
        <is>
          <t>bed_bath_table</t>
        </is>
      </c>
      <c r="F4299" t="n">
        <v>1</v>
      </c>
      <c r="G4299" t="n">
        <v>139.9</v>
      </c>
      <c r="H4299" t="n">
        <v>58.06</v>
      </c>
      <c r="I4299" t="inlineStr">
        <is>
          <t>credit_card</t>
        </is>
      </c>
      <c r="J4299" t="n">
        <v>3</v>
      </c>
      <c r="K4299" t="inlineStr">
        <is>
          <t>On Time</t>
        </is>
      </c>
      <c r="L4299" t="n">
        <v>5</v>
      </c>
      <c r="M4299">
        <f>VLOOKUP(D4299,State_Lookup!$A$2:$B$28,2,FALSE)</f>
        <v/>
      </c>
    </row>
    <row r="4300">
      <c r="A4300" t="inlineStr">
        <is>
          <t>50cc713127f0c3035445fd5fc64460f9</t>
        </is>
      </c>
      <c r="B4300" t="inlineStr">
        <is>
          <t>2018-06-24</t>
        </is>
      </c>
      <c r="C4300" t="inlineStr">
        <is>
          <t>2018-06</t>
        </is>
      </c>
      <c r="D4300" t="inlineStr">
        <is>
          <t>PR</t>
        </is>
      </c>
      <c r="E4300" t="inlineStr">
        <is>
          <t>construction_tools_construction</t>
        </is>
      </c>
      <c r="F4300" t="n">
        <v>1</v>
      </c>
      <c r="G4300" t="n">
        <v>42.97</v>
      </c>
      <c r="H4300" t="n">
        <v>23.1</v>
      </c>
      <c r="I4300" t="inlineStr">
        <is>
          <t>credit_card</t>
        </is>
      </c>
      <c r="J4300" t="n">
        <v>8</v>
      </c>
      <c r="K4300" t="inlineStr">
        <is>
          <t>On Time</t>
        </is>
      </c>
      <c r="L4300" t="n">
        <v>5</v>
      </c>
      <c r="M4300">
        <f>VLOOKUP(D4300,State_Lookup!$A$2:$B$28,2,FALSE)</f>
        <v/>
      </c>
    </row>
    <row r="4301">
      <c r="A4301" t="inlineStr">
        <is>
          <t>3bfc35d4ba7683a65787e6be78b670f4</t>
        </is>
      </c>
      <c r="B4301" t="inlineStr">
        <is>
          <t>2018-06-24</t>
        </is>
      </c>
      <c r="C4301" t="inlineStr">
        <is>
          <t>2018-06</t>
        </is>
      </c>
      <c r="D4301" t="inlineStr">
        <is>
          <t>SP</t>
        </is>
      </c>
      <c r="E4301" t="inlineStr">
        <is>
          <t>housewares</t>
        </is>
      </c>
      <c r="F4301" t="n">
        <v>2</v>
      </c>
      <c r="G4301" t="n">
        <v>25.4</v>
      </c>
      <c r="H4301" t="n">
        <v>23.72</v>
      </c>
      <c r="I4301" t="inlineStr">
        <is>
          <t>credit_card</t>
        </is>
      </c>
      <c r="J4301" t="n">
        <v>1</v>
      </c>
      <c r="K4301" t="inlineStr">
        <is>
          <t>On Time</t>
        </is>
      </c>
      <c r="L4301" t="n">
        <v>5</v>
      </c>
      <c r="M4301">
        <f>VLOOKUP(D4301,State_Lookup!$A$2:$B$28,2,FALSE)</f>
        <v/>
      </c>
    </row>
    <row r="4302">
      <c r="A4302" t="inlineStr">
        <is>
          <t>08e33dc1bf04d3cbc2fb5e93fbfcd6c2</t>
        </is>
      </c>
      <c r="B4302" t="inlineStr">
        <is>
          <t>2018-06-24</t>
        </is>
      </c>
      <c r="C4302" t="inlineStr">
        <is>
          <t>2018-06</t>
        </is>
      </c>
      <c r="D4302" t="inlineStr">
        <is>
          <t>RS</t>
        </is>
      </c>
      <c r="E4302" t="inlineStr">
        <is>
          <t>electronics</t>
        </is>
      </c>
      <c r="F4302" t="n">
        <v>1</v>
      </c>
      <c r="G4302" t="n">
        <v>67.90000000000001</v>
      </c>
      <c r="H4302" t="n">
        <v>37.85</v>
      </c>
      <c r="I4302" t="inlineStr">
        <is>
          <t>boleto</t>
        </is>
      </c>
      <c r="J4302" t="n">
        <v>9</v>
      </c>
      <c r="K4302" t="inlineStr">
        <is>
          <t>On Time</t>
        </is>
      </c>
      <c r="L4302" t="n">
        <v>5</v>
      </c>
      <c r="M4302">
        <f>VLOOKUP(D4302,State_Lookup!$A$2:$B$28,2,FALSE)</f>
        <v/>
      </c>
    </row>
    <row r="4303">
      <c r="A4303" t="inlineStr">
        <is>
          <t>e1bef85e8803340d03472e920d4a7ce1</t>
        </is>
      </c>
      <c r="B4303" t="inlineStr">
        <is>
          <t>2018-06-25</t>
        </is>
      </c>
      <c r="C4303" t="inlineStr">
        <is>
          <t>2018-06</t>
        </is>
      </c>
      <c r="D4303" t="inlineStr">
        <is>
          <t>SP</t>
        </is>
      </c>
      <c r="E4303" t="inlineStr">
        <is>
          <t>garden_tools</t>
        </is>
      </c>
      <c r="F4303" t="n">
        <v>1</v>
      </c>
      <c r="G4303" t="n">
        <v>360</v>
      </c>
      <c r="H4303" t="n">
        <v>16.83</v>
      </c>
      <c r="I4303" t="inlineStr">
        <is>
          <t>credit_card</t>
        </is>
      </c>
      <c r="J4303" t="n">
        <v>4</v>
      </c>
      <c r="K4303" t="inlineStr">
        <is>
          <t>On Time</t>
        </is>
      </c>
      <c r="L4303" t="n">
        <v>5</v>
      </c>
      <c r="M4303">
        <f>VLOOKUP(D4303,State_Lookup!$A$2:$B$28,2,FALSE)</f>
        <v/>
      </c>
    </row>
    <row r="4304">
      <c r="A4304" t="inlineStr">
        <is>
          <t>99c7028b41234ebb47c132aa3c6a1b47</t>
        </is>
      </c>
      <c r="B4304" t="inlineStr">
        <is>
          <t>2018-06-25</t>
        </is>
      </c>
      <c r="C4304" t="inlineStr">
        <is>
          <t>2018-06</t>
        </is>
      </c>
      <c r="D4304" t="inlineStr">
        <is>
          <t>SP</t>
        </is>
      </c>
      <c r="E4304" t="inlineStr">
        <is>
          <t>sports_leisure</t>
        </is>
      </c>
      <c r="F4304" t="n">
        <v>1</v>
      </c>
      <c r="G4304" t="n">
        <v>84.90000000000001</v>
      </c>
      <c r="H4304" t="n">
        <v>16.78</v>
      </c>
      <c r="I4304" t="inlineStr">
        <is>
          <t>credit_card</t>
        </is>
      </c>
      <c r="J4304" t="n">
        <v>3</v>
      </c>
      <c r="K4304" t="inlineStr">
        <is>
          <t>On Time</t>
        </is>
      </c>
      <c r="L4304" t="n">
        <v>5</v>
      </c>
      <c r="M4304">
        <f>VLOOKUP(D4304,State_Lookup!$A$2:$B$28,2,FALSE)</f>
        <v/>
      </c>
    </row>
    <row r="4305">
      <c r="A4305" t="inlineStr">
        <is>
          <t>f2991816555a193c68d97e39cbc85277</t>
        </is>
      </c>
      <c r="B4305" t="inlineStr">
        <is>
          <t>2018-06-25</t>
        </is>
      </c>
      <c r="C4305" t="inlineStr">
        <is>
          <t>2018-06</t>
        </is>
      </c>
      <c r="D4305" t="inlineStr">
        <is>
          <t>DF</t>
        </is>
      </c>
      <c r="E4305" t="inlineStr">
        <is>
          <t>housewares</t>
        </is>
      </c>
      <c r="F4305" t="n">
        <v>1</v>
      </c>
      <c r="G4305" t="n">
        <v>113.89</v>
      </c>
      <c r="H4305" t="n">
        <v>47.46</v>
      </c>
      <c r="I4305" t="inlineStr">
        <is>
          <t>credit_card</t>
        </is>
      </c>
      <c r="J4305" t="n">
        <v>5</v>
      </c>
      <c r="K4305" t="inlineStr">
        <is>
          <t>On Time</t>
        </is>
      </c>
      <c r="L4305" t="n">
        <v>5</v>
      </c>
      <c r="M4305">
        <f>VLOOKUP(D4305,State_Lookup!$A$2:$B$28,2,FALSE)</f>
        <v/>
      </c>
    </row>
    <row r="4306">
      <c r="A4306" t="inlineStr">
        <is>
          <t>c94206a6d6698d5852b7e9e14bdc2e79</t>
        </is>
      </c>
      <c r="B4306" t="inlineStr">
        <is>
          <t>2018-06-25</t>
        </is>
      </c>
      <c r="C4306" t="inlineStr">
        <is>
          <t>2018-06</t>
        </is>
      </c>
      <c r="D4306" t="inlineStr">
        <is>
          <t>SP</t>
        </is>
      </c>
      <c r="E4306" t="inlineStr">
        <is>
          <t>health_beauty</t>
        </is>
      </c>
      <c r="F4306" t="n">
        <v>1</v>
      </c>
      <c r="G4306" t="n">
        <v>29.89</v>
      </c>
      <c r="H4306" t="n">
        <v>7.47</v>
      </c>
      <c r="I4306" t="inlineStr">
        <is>
          <t>credit_card</t>
        </is>
      </c>
      <c r="J4306" t="n">
        <v>4</v>
      </c>
      <c r="K4306" t="inlineStr">
        <is>
          <t>On Time</t>
        </is>
      </c>
      <c r="L4306" t="n">
        <v>5</v>
      </c>
      <c r="M4306">
        <f>VLOOKUP(D4306,State_Lookup!$A$2:$B$28,2,FALSE)</f>
        <v/>
      </c>
    </row>
    <row r="4307">
      <c r="A4307" t="inlineStr">
        <is>
          <t>d614d13ed2aca6884ec736b100a96c50</t>
        </is>
      </c>
      <c r="B4307" t="inlineStr">
        <is>
          <t>2018-06-25</t>
        </is>
      </c>
      <c r="C4307" t="inlineStr">
        <is>
          <t>2018-06</t>
        </is>
      </c>
      <c r="D4307" t="inlineStr">
        <is>
          <t>SP</t>
        </is>
      </c>
      <c r="E4307" t="inlineStr">
        <is>
          <t>books_general_interest</t>
        </is>
      </c>
      <c r="F4307" t="n">
        <v>1</v>
      </c>
      <c r="G4307" t="n">
        <v>67</v>
      </c>
      <c r="H4307" t="n">
        <v>9.220000000000001</v>
      </c>
      <c r="I4307" t="inlineStr">
        <is>
          <t>credit_card</t>
        </is>
      </c>
      <c r="J4307" t="n">
        <v>4</v>
      </c>
      <c r="K4307" t="inlineStr">
        <is>
          <t>On Time</t>
        </is>
      </c>
      <c r="L4307" t="n">
        <v>5</v>
      </c>
      <c r="M4307">
        <f>VLOOKUP(D4307,State_Lookup!$A$2:$B$28,2,FALSE)</f>
        <v/>
      </c>
    </row>
    <row r="4308">
      <c r="A4308" t="inlineStr">
        <is>
          <t>b647b0e8ecce1771ba6f6a0cc30d3f99</t>
        </is>
      </c>
      <c r="B4308" t="inlineStr">
        <is>
          <t>2018-06-25</t>
        </is>
      </c>
      <c r="C4308" t="inlineStr">
        <is>
          <t>2018-06</t>
        </is>
      </c>
      <c r="D4308" t="inlineStr">
        <is>
          <t>SP</t>
        </is>
      </c>
      <c r="E4308" t="inlineStr">
        <is>
          <t>musical_instruments</t>
        </is>
      </c>
      <c r="F4308" t="n">
        <v>1</v>
      </c>
      <c r="G4308" t="n">
        <v>1335</v>
      </c>
      <c r="H4308" t="n">
        <v>53.43</v>
      </c>
      <c r="I4308" t="inlineStr">
        <is>
          <t>credit_card</t>
        </is>
      </c>
      <c r="J4308" t="n">
        <v>3</v>
      </c>
      <c r="K4308" t="inlineStr">
        <is>
          <t>On Time</t>
        </is>
      </c>
      <c r="L4308" t="n">
        <v>5</v>
      </c>
      <c r="M4308">
        <f>VLOOKUP(D4308,State_Lookup!$A$2:$B$28,2,FALSE)</f>
        <v/>
      </c>
    </row>
    <row r="4309">
      <c r="A4309" t="inlineStr">
        <is>
          <t>275bdc3d32ed65dee689eecaa10e7a80</t>
        </is>
      </c>
      <c r="B4309" t="inlineStr">
        <is>
          <t>2018-06-25</t>
        </is>
      </c>
      <c r="C4309" t="inlineStr">
        <is>
          <t>2018-06</t>
        </is>
      </c>
      <c r="D4309" t="inlineStr">
        <is>
          <t>SP</t>
        </is>
      </c>
      <c r="E4309" t="inlineStr">
        <is>
          <t>auto</t>
        </is>
      </c>
      <c r="F4309" t="n">
        <v>1</v>
      </c>
      <c r="G4309" t="n">
        <v>249</v>
      </c>
      <c r="H4309" t="n">
        <v>19.84</v>
      </c>
      <c r="I4309" t="inlineStr">
        <is>
          <t>credit_card</t>
        </is>
      </c>
      <c r="J4309" t="n">
        <v>8</v>
      </c>
      <c r="K4309" t="inlineStr">
        <is>
          <t>On Time</t>
        </is>
      </c>
      <c r="L4309" t="n">
        <v>5</v>
      </c>
      <c r="M4309">
        <f>VLOOKUP(D4309,State_Lookup!$A$2:$B$28,2,FALSE)</f>
        <v/>
      </c>
    </row>
    <row r="4310">
      <c r="A4310" t="inlineStr">
        <is>
          <t>2f9518f273a6399fe8a94d78129fe404</t>
        </is>
      </c>
      <c r="B4310" t="inlineStr">
        <is>
          <t>2018-06-25</t>
        </is>
      </c>
      <c r="C4310" t="inlineStr">
        <is>
          <t>2018-06</t>
        </is>
      </c>
      <c r="D4310" t="inlineStr">
        <is>
          <t>SP</t>
        </is>
      </c>
      <c r="E4310" t="inlineStr">
        <is>
          <t>stationery</t>
        </is>
      </c>
      <c r="F4310" t="n">
        <v>1</v>
      </c>
      <c r="G4310" t="n">
        <v>119.9</v>
      </c>
      <c r="H4310" t="n">
        <v>17.03</v>
      </c>
      <c r="I4310" t="inlineStr">
        <is>
          <t>credit_card</t>
        </is>
      </c>
      <c r="J4310" t="n">
        <v>6</v>
      </c>
      <c r="K4310" t="inlineStr">
        <is>
          <t>On Time</t>
        </is>
      </c>
      <c r="L4310" t="n">
        <v>5</v>
      </c>
      <c r="M4310">
        <f>VLOOKUP(D4310,State_Lookup!$A$2:$B$28,2,FALSE)</f>
        <v/>
      </c>
    </row>
    <row r="4311">
      <c r="A4311" t="inlineStr">
        <is>
          <t>9df16fc9c0296bef63c2effb85d6969c</t>
        </is>
      </c>
      <c r="B4311" t="inlineStr">
        <is>
          <t>2018-06-25</t>
        </is>
      </c>
      <c r="C4311" t="inlineStr">
        <is>
          <t>2018-06</t>
        </is>
      </c>
      <c r="D4311" t="inlineStr">
        <is>
          <t>CE</t>
        </is>
      </c>
      <c r="E4311" t="inlineStr">
        <is>
          <t>agro_industry_and_commerce</t>
        </is>
      </c>
      <c r="F4311" t="n">
        <v>1</v>
      </c>
      <c r="G4311" t="n">
        <v>124.9</v>
      </c>
      <c r="H4311" t="n">
        <v>43.15</v>
      </c>
      <c r="I4311" t="inlineStr">
        <is>
          <t>credit_card</t>
        </is>
      </c>
      <c r="J4311" t="n">
        <v>17</v>
      </c>
      <c r="K4311" t="inlineStr">
        <is>
          <t>On Time</t>
        </is>
      </c>
      <c r="L4311" t="n">
        <v>5</v>
      </c>
      <c r="M4311">
        <f>VLOOKUP(D4311,State_Lookup!$A$2:$B$28,2,FALSE)</f>
        <v/>
      </c>
    </row>
    <row r="4312">
      <c r="A4312" t="inlineStr">
        <is>
          <t>b13d41f7f58e83efb42dde0657777b9e</t>
        </is>
      </c>
      <c r="B4312" t="inlineStr">
        <is>
          <t>2018-06-25</t>
        </is>
      </c>
      <c r="C4312" t="inlineStr">
        <is>
          <t>2018-06</t>
        </is>
      </c>
      <c r="D4312" t="inlineStr">
        <is>
          <t>RS</t>
        </is>
      </c>
      <c r="E4312" t="inlineStr">
        <is>
          <t>cool_stuff</t>
        </is>
      </c>
      <c r="F4312" t="n">
        <v>1</v>
      </c>
      <c r="G4312" t="n">
        <v>219.99</v>
      </c>
      <c r="H4312" t="n">
        <v>27.84</v>
      </c>
      <c r="I4312" t="inlineStr">
        <is>
          <t>boleto</t>
        </is>
      </c>
      <c r="J4312" t="n">
        <v>8</v>
      </c>
      <c r="K4312" t="inlineStr">
        <is>
          <t>On Time</t>
        </is>
      </c>
      <c r="L4312" t="n">
        <v>4</v>
      </c>
      <c r="M4312">
        <f>VLOOKUP(D4312,State_Lookup!$A$2:$B$28,2,FALSE)</f>
        <v/>
      </c>
    </row>
    <row r="4313">
      <c r="A4313" t="inlineStr">
        <is>
          <t>aad86d958ecbedd8da621bf570b1ab1a</t>
        </is>
      </c>
      <c r="B4313" t="inlineStr">
        <is>
          <t>2018-06-25</t>
        </is>
      </c>
      <c r="C4313" t="inlineStr">
        <is>
          <t>2018-06</t>
        </is>
      </c>
      <c r="D4313" t="inlineStr">
        <is>
          <t>PR</t>
        </is>
      </c>
      <c r="E4313" t="inlineStr">
        <is>
          <t>housewares</t>
        </is>
      </c>
      <c r="F4313" t="n">
        <v>1</v>
      </c>
      <c r="G4313" t="n">
        <v>119</v>
      </c>
      <c r="H4313" t="n">
        <v>18.63</v>
      </c>
      <c r="I4313" t="inlineStr">
        <is>
          <t>credit_card</t>
        </is>
      </c>
      <c r="J4313" t="n">
        <v>8</v>
      </c>
      <c r="K4313" t="inlineStr">
        <is>
          <t>On Time</t>
        </is>
      </c>
      <c r="L4313" t="n">
        <v>4</v>
      </c>
      <c r="M4313">
        <f>VLOOKUP(D4313,State_Lookup!$A$2:$B$28,2,FALSE)</f>
        <v/>
      </c>
    </row>
    <row r="4314">
      <c r="A4314" t="inlineStr">
        <is>
          <t>1bc4cbfa417cbf64682ad0f639f9e58c</t>
        </is>
      </c>
      <c r="B4314" t="inlineStr">
        <is>
          <t>2018-06-25</t>
        </is>
      </c>
      <c r="C4314" t="inlineStr">
        <is>
          <t>2018-06</t>
        </is>
      </c>
      <c r="D4314" t="inlineStr">
        <is>
          <t>SP</t>
        </is>
      </c>
      <c r="E4314" t="inlineStr">
        <is>
          <t>stationery</t>
        </is>
      </c>
      <c r="F4314" t="n">
        <v>1</v>
      </c>
      <c r="G4314" t="n">
        <v>229.79</v>
      </c>
      <c r="H4314" t="n">
        <v>19.41</v>
      </c>
      <c r="I4314" t="inlineStr">
        <is>
          <t>boleto</t>
        </is>
      </c>
      <c r="J4314" t="n">
        <v>9</v>
      </c>
      <c r="K4314" t="inlineStr">
        <is>
          <t>On Time</t>
        </is>
      </c>
      <c r="L4314" t="n">
        <v>4</v>
      </c>
      <c r="M4314">
        <f>VLOOKUP(D4314,State_Lookup!$A$2:$B$28,2,FALSE)</f>
        <v/>
      </c>
    </row>
    <row r="4315">
      <c r="A4315" t="inlineStr">
        <is>
          <t>c1e09d04655160d6d54de41e9d001c47</t>
        </is>
      </c>
      <c r="B4315" t="inlineStr">
        <is>
          <t>2018-06-25</t>
        </is>
      </c>
      <c r="C4315" t="inlineStr">
        <is>
          <t>2018-06</t>
        </is>
      </c>
      <c r="D4315" t="inlineStr">
        <is>
          <t>SP</t>
        </is>
      </c>
      <c r="E4315" t="inlineStr">
        <is>
          <t>health_beauty</t>
        </is>
      </c>
      <c r="F4315" t="n">
        <v>1</v>
      </c>
      <c r="G4315" t="n">
        <v>30</v>
      </c>
      <c r="H4315" t="n">
        <v>7.47</v>
      </c>
      <c r="I4315" t="inlineStr">
        <is>
          <t>boleto</t>
        </is>
      </c>
      <c r="J4315" t="n">
        <v>3</v>
      </c>
      <c r="K4315" t="inlineStr">
        <is>
          <t>On Time</t>
        </is>
      </c>
      <c r="L4315" t="n">
        <v>5</v>
      </c>
      <c r="M4315">
        <f>VLOOKUP(D4315,State_Lookup!$A$2:$B$28,2,FALSE)</f>
        <v/>
      </c>
    </row>
    <row r="4316">
      <c r="A4316" t="inlineStr">
        <is>
          <t>020aec76c43508e4214579c52c1133f4</t>
        </is>
      </c>
      <c r="B4316" t="inlineStr">
        <is>
          <t>2018-06-25</t>
        </is>
      </c>
      <c r="C4316" t="inlineStr">
        <is>
          <t>2018-06</t>
        </is>
      </c>
      <c r="D4316" t="inlineStr">
        <is>
          <t>SP</t>
        </is>
      </c>
      <c r="E4316" t="inlineStr">
        <is>
          <t>garden_tools</t>
        </is>
      </c>
      <c r="F4316" t="n">
        <v>1</v>
      </c>
      <c r="G4316" t="n">
        <v>27.9</v>
      </c>
      <c r="H4316" t="n">
        <v>19.39</v>
      </c>
      <c r="I4316" t="inlineStr">
        <is>
          <t>credit_card</t>
        </is>
      </c>
      <c r="J4316" t="n">
        <v>6</v>
      </c>
      <c r="K4316" t="inlineStr">
        <is>
          <t>On Time</t>
        </is>
      </c>
      <c r="L4316" t="n">
        <v>5</v>
      </c>
      <c r="M4316">
        <f>VLOOKUP(D4316,State_Lookup!$A$2:$B$28,2,FALSE)</f>
        <v/>
      </c>
    </row>
    <row r="4317">
      <c r="A4317" t="inlineStr">
        <is>
          <t>62a7bb29522188f4c6467125ea02e867</t>
        </is>
      </c>
      <c r="B4317" t="inlineStr">
        <is>
          <t>2018-06-25</t>
        </is>
      </c>
      <c r="C4317" t="inlineStr">
        <is>
          <t>2018-06</t>
        </is>
      </c>
      <c r="D4317" t="inlineStr">
        <is>
          <t>SP</t>
        </is>
      </c>
      <c r="E4317" t="inlineStr">
        <is>
          <t>bed_bath_table</t>
        </is>
      </c>
      <c r="F4317" t="n">
        <v>1</v>
      </c>
      <c r="G4317" t="n">
        <v>9.9</v>
      </c>
      <c r="H4317" t="n">
        <v>18.23</v>
      </c>
      <c r="I4317" t="inlineStr">
        <is>
          <t>credit_card</t>
        </is>
      </c>
      <c r="J4317" t="n">
        <v>7</v>
      </c>
      <c r="K4317" t="inlineStr">
        <is>
          <t>On Time</t>
        </is>
      </c>
      <c r="L4317" t="n">
        <v>1</v>
      </c>
      <c r="M4317">
        <f>VLOOKUP(D4317,State_Lookup!$A$2:$B$28,2,FALSE)</f>
        <v/>
      </c>
    </row>
    <row r="4318">
      <c r="A4318" t="inlineStr">
        <is>
          <t>0261eac8b7b097ab1e28579b69e6ea90</t>
        </is>
      </c>
      <c r="B4318" t="inlineStr">
        <is>
          <t>2018-06-25</t>
        </is>
      </c>
      <c r="C4318" t="inlineStr">
        <is>
          <t>2018-06</t>
        </is>
      </c>
      <c r="D4318" t="inlineStr">
        <is>
          <t>SP</t>
        </is>
      </c>
      <c r="E4318" t="inlineStr">
        <is>
          <t>furniture_living_room</t>
        </is>
      </c>
      <c r="F4318" t="n">
        <v>1</v>
      </c>
      <c r="G4318" t="n">
        <v>99</v>
      </c>
      <c r="H4318" t="n">
        <v>33.17</v>
      </c>
      <c r="I4318" t="inlineStr">
        <is>
          <t>boleto</t>
        </is>
      </c>
      <c r="J4318" t="n">
        <v>3</v>
      </c>
      <c r="K4318" t="inlineStr">
        <is>
          <t>On Time</t>
        </is>
      </c>
      <c r="L4318" t="n">
        <v>1</v>
      </c>
      <c r="M4318">
        <f>VLOOKUP(D4318,State_Lookup!$A$2:$B$28,2,FALSE)</f>
        <v/>
      </c>
    </row>
    <row r="4319">
      <c r="A4319" t="inlineStr">
        <is>
          <t>d93ef0caa7a160caec60b4d6833415a6</t>
        </is>
      </c>
      <c r="B4319" t="inlineStr">
        <is>
          <t>2018-06-25</t>
        </is>
      </c>
      <c r="C4319" t="inlineStr">
        <is>
          <t>2018-06</t>
        </is>
      </c>
      <c r="D4319" t="inlineStr">
        <is>
          <t>MG</t>
        </is>
      </c>
      <c r="E4319" t="inlineStr">
        <is>
          <t>sports_leisure</t>
        </is>
      </c>
      <c r="F4319" t="n">
        <v>2</v>
      </c>
      <c r="G4319" t="n">
        <v>90</v>
      </c>
      <c r="H4319" t="n">
        <v>46.62</v>
      </c>
      <c r="I4319" t="inlineStr">
        <is>
          <t>credit_card</t>
        </is>
      </c>
      <c r="J4319" t="inlineStr"/>
      <c r="K4319" t="inlineStr">
        <is>
          <t>Not Delivered</t>
        </is>
      </c>
      <c r="L4319" t="n">
        <v>1</v>
      </c>
      <c r="M4319">
        <f>VLOOKUP(D4319,State_Lookup!$A$2:$B$28,2,FALSE)</f>
        <v/>
      </c>
    </row>
    <row r="4320">
      <c r="A4320" t="inlineStr">
        <is>
          <t>cc8454f08599794be25a95f691617e11</t>
        </is>
      </c>
      <c r="B4320" t="inlineStr">
        <is>
          <t>2018-06-25</t>
        </is>
      </c>
      <c r="C4320" t="inlineStr">
        <is>
          <t>2018-06</t>
        </is>
      </c>
      <c r="D4320" t="inlineStr">
        <is>
          <t>SP</t>
        </is>
      </c>
      <c r="E4320" t="inlineStr">
        <is>
          <t>construction_tools_lights</t>
        </is>
      </c>
      <c r="F4320" t="n">
        <v>1</v>
      </c>
      <c r="G4320" t="n">
        <v>113.3</v>
      </c>
      <c r="H4320" t="n">
        <v>15.1</v>
      </c>
      <c r="I4320" t="inlineStr">
        <is>
          <t>credit_card</t>
        </is>
      </c>
      <c r="J4320" t="n">
        <v>9</v>
      </c>
      <c r="K4320" t="inlineStr">
        <is>
          <t>On Time</t>
        </is>
      </c>
      <c r="L4320" t="n">
        <v>5</v>
      </c>
      <c r="M4320">
        <f>VLOOKUP(D4320,State_Lookup!$A$2:$B$28,2,FALSE)</f>
        <v/>
      </c>
    </row>
    <row r="4321">
      <c r="A4321" t="inlineStr">
        <is>
          <t>9b52c70d4fbddc36fa8c5e4c94c66501</t>
        </is>
      </c>
      <c r="B4321" t="inlineStr">
        <is>
          <t>2018-06-25</t>
        </is>
      </c>
      <c r="C4321" t="inlineStr">
        <is>
          <t>2018-06</t>
        </is>
      </c>
      <c r="D4321" t="inlineStr">
        <is>
          <t>BA</t>
        </is>
      </c>
      <c r="E4321" t="inlineStr">
        <is>
          <t>health_beauty</t>
        </is>
      </c>
      <c r="F4321" t="n">
        <v>1</v>
      </c>
      <c r="G4321" t="n">
        <v>49.99</v>
      </c>
      <c r="H4321" t="n">
        <v>22.28</v>
      </c>
      <c r="I4321" t="inlineStr">
        <is>
          <t>credit_card</t>
        </is>
      </c>
      <c r="J4321" t="n">
        <v>16</v>
      </c>
      <c r="K4321" t="inlineStr">
        <is>
          <t>On Time</t>
        </is>
      </c>
      <c r="L4321" t="n">
        <v>4</v>
      </c>
      <c r="M4321">
        <f>VLOOKUP(D4321,State_Lookup!$A$2:$B$28,2,FALSE)</f>
        <v/>
      </c>
    </row>
    <row r="4322">
      <c r="A4322" t="inlineStr">
        <is>
          <t>0f9dcd718955037bf65c97edcee390ff</t>
        </is>
      </c>
      <c r="B4322" t="inlineStr">
        <is>
          <t>2018-06-26</t>
        </is>
      </c>
      <c r="C4322" t="inlineStr">
        <is>
          <t>2018-06</t>
        </is>
      </c>
      <c r="D4322" t="inlineStr">
        <is>
          <t>MG</t>
        </is>
      </c>
      <c r="E4322" t="inlineStr">
        <is>
          <t>bed_bath_table</t>
        </is>
      </c>
      <c r="F4322" t="n">
        <v>1</v>
      </c>
      <c r="G4322" t="n">
        <v>49.9</v>
      </c>
      <c r="H4322" t="n">
        <v>22.28</v>
      </c>
      <c r="I4322" t="inlineStr">
        <is>
          <t>credit_card</t>
        </is>
      </c>
      <c r="J4322" t="n">
        <v>6</v>
      </c>
      <c r="K4322" t="inlineStr">
        <is>
          <t>On Time</t>
        </is>
      </c>
      <c r="L4322" t="inlineStr"/>
      <c r="M4322">
        <f>VLOOKUP(D4322,State_Lookup!$A$2:$B$28,2,FALSE)</f>
        <v/>
      </c>
    </row>
    <row r="4323">
      <c r="A4323" t="inlineStr">
        <is>
          <t>1a2056a1d6e8db71b7d777ec36f9b1b5</t>
        </is>
      </c>
      <c r="B4323" t="inlineStr">
        <is>
          <t>2018-06-26</t>
        </is>
      </c>
      <c r="C4323" t="inlineStr">
        <is>
          <t>2018-06</t>
        </is>
      </c>
      <c r="D4323" t="inlineStr">
        <is>
          <t>AL</t>
        </is>
      </c>
      <c r="E4323" t="inlineStr">
        <is>
          <t>electronics</t>
        </is>
      </c>
      <c r="F4323" t="n">
        <v>1</v>
      </c>
      <c r="G4323" t="n">
        <v>24.12</v>
      </c>
      <c r="H4323" t="n">
        <v>26.94</v>
      </c>
      <c r="I4323" t="inlineStr">
        <is>
          <t>credit_card</t>
        </is>
      </c>
      <c r="J4323" t="n">
        <v>16</v>
      </c>
      <c r="K4323" t="inlineStr">
        <is>
          <t>On Time</t>
        </is>
      </c>
      <c r="L4323" t="n">
        <v>5</v>
      </c>
      <c r="M4323">
        <f>VLOOKUP(D4323,State_Lookup!$A$2:$B$28,2,FALSE)</f>
        <v/>
      </c>
    </row>
    <row r="4324">
      <c r="A4324" t="inlineStr">
        <is>
          <t>c139edcf8b223915f78d5a487a6b5500</t>
        </is>
      </c>
      <c r="B4324" t="inlineStr">
        <is>
          <t>2018-06-26</t>
        </is>
      </c>
      <c r="C4324" t="inlineStr">
        <is>
          <t>2018-06</t>
        </is>
      </c>
      <c r="D4324" t="inlineStr">
        <is>
          <t>SP</t>
        </is>
      </c>
      <c r="E4324" t="inlineStr">
        <is>
          <t>auto</t>
        </is>
      </c>
      <c r="F4324" t="n">
        <v>2</v>
      </c>
      <c r="G4324" t="n">
        <v>99.8</v>
      </c>
      <c r="H4324" t="n">
        <v>15.22</v>
      </c>
      <c r="I4324" t="inlineStr">
        <is>
          <t>credit_card</t>
        </is>
      </c>
      <c r="J4324" t="n">
        <v>1</v>
      </c>
      <c r="K4324" t="inlineStr">
        <is>
          <t>On Time</t>
        </is>
      </c>
      <c r="L4324" t="n">
        <v>2</v>
      </c>
      <c r="M4324">
        <f>VLOOKUP(D4324,State_Lookup!$A$2:$B$28,2,FALSE)</f>
        <v/>
      </c>
    </row>
    <row r="4325">
      <c r="A4325" t="inlineStr">
        <is>
          <t>05086b5a715c97d1971784b6ae899a6d</t>
        </is>
      </c>
      <c r="B4325" t="inlineStr">
        <is>
          <t>2018-06-26</t>
        </is>
      </c>
      <c r="C4325" t="inlineStr">
        <is>
          <t>2018-06</t>
        </is>
      </c>
      <c r="D4325" t="inlineStr">
        <is>
          <t>SP</t>
        </is>
      </c>
      <c r="E4325" t="inlineStr">
        <is>
          <t>health_beauty</t>
        </is>
      </c>
      <c r="F4325" t="n">
        <v>2</v>
      </c>
      <c r="G4325" t="n">
        <v>220.64</v>
      </c>
      <c r="H4325" t="n">
        <v>16.06</v>
      </c>
      <c r="I4325" t="inlineStr">
        <is>
          <t>credit_card</t>
        </is>
      </c>
      <c r="J4325" t="n">
        <v>4</v>
      </c>
      <c r="K4325" t="inlineStr">
        <is>
          <t>On Time</t>
        </is>
      </c>
      <c r="L4325" t="n">
        <v>4</v>
      </c>
      <c r="M4325">
        <f>VLOOKUP(D4325,State_Lookup!$A$2:$B$28,2,FALSE)</f>
        <v/>
      </c>
    </row>
    <row r="4326">
      <c r="A4326" t="inlineStr">
        <is>
          <t>7dba3fad5219968d9c9d8e03aa43bb35</t>
        </is>
      </c>
      <c r="B4326" t="inlineStr">
        <is>
          <t>2018-06-26</t>
        </is>
      </c>
      <c r="C4326" t="inlineStr">
        <is>
          <t>2018-06</t>
        </is>
      </c>
      <c r="D4326" t="inlineStr">
        <is>
          <t>MG</t>
        </is>
      </c>
      <c r="E4326" t="inlineStr">
        <is>
          <t>telephony</t>
        </is>
      </c>
      <c r="F4326" t="n">
        <v>1</v>
      </c>
      <c r="G4326" t="n">
        <v>25</v>
      </c>
      <c r="H4326" t="n">
        <v>15.28</v>
      </c>
      <c r="I4326" t="inlineStr">
        <is>
          <t>credit_card</t>
        </is>
      </c>
      <c r="J4326" t="n">
        <v>7</v>
      </c>
      <c r="K4326" t="inlineStr">
        <is>
          <t>On Time</t>
        </is>
      </c>
      <c r="L4326" t="n">
        <v>5</v>
      </c>
      <c r="M4326">
        <f>VLOOKUP(D4326,State_Lookup!$A$2:$B$28,2,FALSE)</f>
        <v/>
      </c>
    </row>
    <row r="4327">
      <c r="A4327" t="inlineStr">
        <is>
          <t>d99c72513d6238909b57399c840fa8ef</t>
        </is>
      </c>
      <c r="B4327" t="inlineStr">
        <is>
          <t>2018-06-26</t>
        </is>
      </c>
      <c r="C4327" t="inlineStr">
        <is>
          <t>2018-06</t>
        </is>
      </c>
      <c r="D4327" t="inlineStr">
        <is>
          <t>SP</t>
        </is>
      </c>
      <c r="E4327" t="inlineStr">
        <is>
          <t>health_beauty</t>
        </is>
      </c>
      <c r="F4327" t="n">
        <v>1</v>
      </c>
      <c r="G4327" t="n">
        <v>84.5</v>
      </c>
      <c r="H4327" t="n">
        <v>13.25</v>
      </c>
      <c r="I4327" t="inlineStr">
        <is>
          <t>boleto</t>
        </is>
      </c>
      <c r="J4327" t="n">
        <v>7</v>
      </c>
      <c r="K4327" t="inlineStr">
        <is>
          <t>On Time</t>
        </is>
      </c>
      <c r="L4327" t="n">
        <v>5</v>
      </c>
      <c r="M4327">
        <f>VLOOKUP(D4327,State_Lookup!$A$2:$B$28,2,FALSE)</f>
        <v/>
      </c>
    </row>
    <row r="4328">
      <c r="A4328" t="inlineStr">
        <is>
          <t>ced1aea35f3b1e1474390a452a02d750</t>
        </is>
      </c>
      <c r="B4328" t="inlineStr">
        <is>
          <t>2018-06-26</t>
        </is>
      </c>
      <c r="C4328" t="inlineStr">
        <is>
          <t>2018-06</t>
        </is>
      </c>
      <c r="D4328" t="inlineStr">
        <is>
          <t>RJ</t>
        </is>
      </c>
      <c r="E4328" t="inlineStr">
        <is>
          <t>bed_bath_table</t>
        </is>
      </c>
      <c r="F4328" t="n">
        <v>1</v>
      </c>
      <c r="G4328" t="n">
        <v>56.99</v>
      </c>
      <c r="H4328" t="n">
        <v>19.59</v>
      </c>
      <c r="I4328" t="inlineStr">
        <is>
          <t>credit_card</t>
        </is>
      </c>
      <c r="J4328" t="n">
        <v>7</v>
      </c>
      <c r="K4328" t="inlineStr">
        <is>
          <t>On Time</t>
        </is>
      </c>
      <c r="L4328" t="n">
        <v>5</v>
      </c>
      <c r="M4328">
        <f>VLOOKUP(D4328,State_Lookup!$A$2:$B$28,2,FALSE)</f>
        <v/>
      </c>
    </row>
    <row r="4329">
      <c r="A4329" t="inlineStr">
        <is>
          <t>5f19271c1eb0a8eb0a1efed995df752b</t>
        </is>
      </c>
      <c r="B4329" t="inlineStr">
        <is>
          <t>2018-06-26</t>
        </is>
      </c>
      <c r="C4329" t="inlineStr">
        <is>
          <t>2018-06</t>
        </is>
      </c>
      <c r="D4329" t="inlineStr">
        <is>
          <t>SP</t>
        </is>
      </c>
      <c r="E4329" t="inlineStr">
        <is>
          <t>office_furniture</t>
        </is>
      </c>
      <c r="F4329" t="n">
        <v>3</v>
      </c>
      <c r="G4329" t="n">
        <v>209.97</v>
      </c>
      <c r="H4329" t="n">
        <v>69.59999999999999</v>
      </c>
      <c r="I4329" t="inlineStr">
        <is>
          <t>boleto</t>
        </is>
      </c>
      <c r="J4329" t="n">
        <v>9</v>
      </c>
      <c r="K4329" t="inlineStr">
        <is>
          <t>On Time</t>
        </is>
      </c>
      <c r="L4329" t="n">
        <v>5</v>
      </c>
      <c r="M4329">
        <f>VLOOKUP(D4329,State_Lookup!$A$2:$B$28,2,FALSE)</f>
        <v/>
      </c>
    </row>
    <row r="4330">
      <c r="A4330" t="inlineStr">
        <is>
          <t>7f2401dd864cb66d12840ebff7581231</t>
        </is>
      </c>
      <c r="B4330" t="inlineStr">
        <is>
          <t>2018-06-26</t>
        </is>
      </c>
      <c r="C4330" t="inlineStr">
        <is>
          <t>2018-06</t>
        </is>
      </c>
      <c r="D4330" t="inlineStr">
        <is>
          <t>SP</t>
        </is>
      </c>
      <c r="E4330" t="inlineStr">
        <is>
          <t>watches_gifts</t>
        </is>
      </c>
      <c r="F4330" t="n">
        <v>1</v>
      </c>
      <c r="G4330" t="n">
        <v>117.87</v>
      </c>
      <c r="H4330" t="n">
        <v>15.93</v>
      </c>
      <c r="I4330" t="inlineStr">
        <is>
          <t>boleto</t>
        </is>
      </c>
      <c r="J4330" t="n">
        <v>15</v>
      </c>
      <c r="K4330" t="inlineStr">
        <is>
          <t>On Time</t>
        </is>
      </c>
      <c r="L4330" t="n">
        <v>5</v>
      </c>
      <c r="M4330">
        <f>VLOOKUP(D4330,State_Lookup!$A$2:$B$28,2,FALSE)</f>
        <v/>
      </c>
    </row>
    <row r="4331">
      <c r="A4331" t="inlineStr">
        <is>
          <t>36e78e784a4d494d933d65b28b7bca99</t>
        </is>
      </c>
      <c r="B4331" t="inlineStr">
        <is>
          <t>2018-06-26</t>
        </is>
      </c>
      <c r="C4331" t="inlineStr">
        <is>
          <t>2018-06</t>
        </is>
      </c>
      <c r="D4331" t="inlineStr">
        <is>
          <t>SP</t>
        </is>
      </c>
      <c r="E4331" t="inlineStr">
        <is>
          <t>bed_bath_table</t>
        </is>
      </c>
      <c r="F4331" t="n">
        <v>1</v>
      </c>
      <c r="G4331" t="n">
        <v>114.9</v>
      </c>
      <c r="H4331" t="n">
        <v>12.29</v>
      </c>
      <c r="I4331" t="inlineStr">
        <is>
          <t>boleto</t>
        </is>
      </c>
      <c r="J4331" t="n">
        <v>10</v>
      </c>
      <c r="K4331" t="inlineStr">
        <is>
          <t>On Time</t>
        </is>
      </c>
      <c r="L4331" t="n">
        <v>5</v>
      </c>
      <c r="M4331">
        <f>VLOOKUP(D4331,State_Lookup!$A$2:$B$28,2,FALSE)</f>
        <v/>
      </c>
    </row>
    <row r="4332">
      <c r="A4332" t="inlineStr">
        <is>
          <t>721ee49ca54fe5b73b1871b5e4cb1f57</t>
        </is>
      </c>
      <c r="B4332" t="inlineStr">
        <is>
          <t>2018-06-26</t>
        </is>
      </c>
      <c r="C4332" t="inlineStr">
        <is>
          <t>2018-06</t>
        </is>
      </c>
      <c r="D4332" t="inlineStr">
        <is>
          <t>GO</t>
        </is>
      </c>
      <c r="E4332" t="inlineStr">
        <is>
          <t>fashion_bags_accessories</t>
        </is>
      </c>
      <c r="F4332" t="n">
        <v>1</v>
      </c>
      <c r="G4332" t="n">
        <v>49</v>
      </c>
      <c r="H4332" t="n">
        <v>15.44</v>
      </c>
      <c r="I4332" t="inlineStr">
        <is>
          <t>credit_card</t>
        </is>
      </c>
      <c r="J4332" t="n">
        <v>13</v>
      </c>
      <c r="K4332" t="inlineStr">
        <is>
          <t>On Time</t>
        </is>
      </c>
      <c r="L4332" t="n">
        <v>4</v>
      </c>
      <c r="M4332">
        <f>VLOOKUP(D4332,State_Lookup!$A$2:$B$28,2,FALSE)</f>
        <v/>
      </c>
    </row>
    <row r="4333">
      <c r="A4333" t="inlineStr">
        <is>
          <t>c9e3d29ede6d60999c59c8626757ec6c</t>
        </is>
      </c>
      <c r="B4333" t="inlineStr">
        <is>
          <t>2018-06-26</t>
        </is>
      </c>
      <c r="C4333" t="inlineStr">
        <is>
          <t>2018-06</t>
        </is>
      </c>
      <c r="D4333" t="inlineStr">
        <is>
          <t>RJ</t>
        </is>
      </c>
      <c r="E4333" t="inlineStr">
        <is>
          <t>computers_accessories</t>
        </is>
      </c>
      <c r="F4333" t="n">
        <v>1</v>
      </c>
      <c r="G4333" t="n">
        <v>28.9</v>
      </c>
      <c r="H4333" t="n">
        <v>15.3</v>
      </c>
      <c r="I4333" t="inlineStr">
        <is>
          <t>credit_card</t>
        </is>
      </c>
      <c r="J4333" t="n">
        <v>12</v>
      </c>
      <c r="K4333" t="inlineStr">
        <is>
          <t>On Time</t>
        </is>
      </c>
      <c r="L4333" t="n">
        <v>5</v>
      </c>
      <c r="M4333">
        <f>VLOOKUP(D4333,State_Lookup!$A$2:$B$28,2,FALSE)</f>
        <v/>
      </c>
    </row>
    <row r="4334">
      <c r="A4334" t="inlineStr">
        <is>
          <t>fa99f9d0ca69a5d2bc4c66f71e31918e</t>
        </is>
      </c>
      <c r="B4334" t="inlineStr">
        <is>
          <t>2018-06-26</t>
        </is>
      </c>
      <c r="C4334" t="inlineStr">
        <is>
          <t>2018-06</t>
        </is>
      </c>
      <c r="D4334" t="inlineStr">
        <is>
          <t>MG</t>
        </is>
      </c>
      <c r="E4334" t="inlineStr">
        <is>
          <t>baby</t>
        </is>
      </c>
      <c r="F4334" t="n">
        <v>1</v>
      </c>
      <c r="G4334" t="n">
        <v>48.9</v>
      </c>
      <c r="H4334" t="n">
        <v>19.53</v>
      </c>
      <c r="I4334" t="inlineStr">
        <is>
          <t>credit_card</t>
        </is>
      </c>
      <c r="J4334" t="n">
        <v>7</v>
      </c>
      <c r="K4334" t="inlineStr">
        <is>
          <t>On Time</t>
        </is>
      </c>
      <c r="L4334" t="n">
        <v>3</v>
      </c>
      <c r="M4334">
        <f>VLOOKUP(D4334,State_Lookup!$A$2:$B$28,2,FALSE)</f>
        <v/>
      </c>
    </row>
    <row r="4335">
      <c r="A4335" t="inlineStr">
        <is>
          <t>eaa950f3b3db6c1a8f5d884992a997c0</t>
        </is>
      </c>
      <c r="B4335" t="inlineStr">
        <is>
          <t>2018-06-26</t>
        </is>
      </c>
      <c r="C4335" t="inlineStr">
        <is>
          <t>2018-06</t>
        </is>
      </c>
      <c r="D4335" t="inlineStr">
        <is>
          <t>PR</t>
        </is>
      </c>
      <c r="E4335" t="inlineStr">
        <is>
          <t>furniture_decor</t>
        </is>
      </c>
      <c r="F4335" t="n">
        <v>1</v>
      </c>
      <c r="G4335" t="n">
        <v>99.90000000000001</v>
      </c>
      <c r="H4335" t="n">
        <v>18.75</v>
      </c>
      <c r="I4335" t="inlineStr">
        <is>
          <t>credit_card</t>
        </is>
      </c>
      <c r="J4335" t="n">
        <v>2</v>
      </c>
      <c r="K4335" t="inlineStr">
        <is>
          <t>On Time</t>
        </is>
      </c>
      <c r="L4335" t="n">
        <v>5</v>
      </c>
      <c r="M4335">
        <f>VLOOKUP(D4335,State_Lookup!$A$2:$B$28,2,FALSE)</f>
        <v/>
      </c>
    </row>
    <row r="4336">
      <c r="A4336" t="inlineStr">
        <is>
          <t>9a6a8b514f1317683ed32c9775e2cfc6</t>
        </is>
      </c>
      <c r="B4336" t="inlineStr">
        <is>
          <t>2018-06-27</t>
        </is>
      </c>
      <c r="C4336" t="inlineStr">
        <is>
          <t>2018-06</t>
        </is>
      </c>
      <c r="D4336" t="inlineStr">
        <is>
          <t>SP</t>
        </is>
      </c>
      <c r="E4336" t="inlineStr">
        <is>
          <t>garden_tools</t>
        </is>
      </c>
      <c r="F4336" t="n">
        <v>1</v>
      </c>
      <c r="G4336" t="n">
        <v>49.9</v>
      </c>
      <c r="H4336" t="n">
        <v>20.99</v>
      </c>
      <c r="I4336" t="inlineStr">
        <is>
          <t>debit_card</t>
        </is>
      </c>
      <c r="J4336" t="n">
        <v>6</v>
      </c>
      <c r="K4336" t="inlineStr">
        <is>
          <t>On Time</t>
        </is>
      </c>
      <c r="L4336" t="n">
        <v>5</v>
      </c>
      <c r="M4336">
        <f>VLOOKUP(D4336,State_Lookup!$A$2:$B$28,2,FALSE)</f>
        <v/>
      </c>
    </row>
    <row r="4337">
      <c r="A4337" t="inlineStr">
        <is>
          <t>f655ae6fff7b523b34ac845cd918b87f</t>
        </is>
      </c>
      <c r="B4337" t="inlineStr">
        <is>
          <t>2018-06-27</t>
        </is>
      </c>
      <c r="C4337" t="inlineStr">
        <is>
          <t>2018-06</t>
        </is>
      </c>
      <c r="D4337" t="inlineStr">
        <is>
          <t>PE</t>
        </is>
      </c>
      <c r="E4337" t="inlineStr">
        <is>
          <t>computers_accessories</t>
        </is>
      </c>
      <c r="F4337" t="n">
        <v>1</v>
      </c>
      <c r="G4337" t="n">
        <v>149.9</v>
      </c>
      <c r="H4337" t="n">
        <v>15.5</v>
      </c>
      <c r="I4337" t="inlineStr">
        <is>
          <t>boleto</t>
        </is>
      </c>
      <c r="J4337" t="n">
        <v>5</v>
      </c>
      <c r="K4337" t="inlineStr">
        <is>
          <t>On Time</t>
        </is>
      </c>
      <c r="L4337" t="n">
        <v>5</v>
      </c>
      <c r="M4337">
        <f>VLOOKUP(D4337,State_Lookup!$A$2:$B$28,2,FALSE)</f>
        <v/>
      </c>
    </row>
    <row r="4338">
      <c r="A4338" t="inlineStr">
        <is>
          <t>4f2dc4a949823819bfc75b784fb32686</t>
        </is>
      </c>
      <c r="B4338" t="inlineStr">
        <is>
          <t>2018-06-27</t>
        </is>
      </c>
      <c r="C4338" t="inlineStr">
        <is>
          <t>2018-06</t>
        </is>
      </c>
      <c r="D4338" t="inlineStr">
        <is>
          <t>SP</t>
        </is>
      </c>
      <c r="E4338" t="inlineStr">
        <is>
          <t>pet_shop</t>
        </is>
      </c>
      <c r="F4338" t="n">
        <v>1</v>
      </c>
      <c r="G4338" t="n">
        <v>36.99</v>
      </c>
      <c r="H4338" t="n">
        <v>14.57</v>
      </c>
      <c r="I4338" t="inlineStr">
        <is>
          <t>boleto</t>
        </is>
      </c>
      <c r="J4338" t="n">
        <v>7</v>
      </c>
      <c r="K4338" t="inlineStr">
        <is>
          <t>On Time</t>
        </is>
      </c>
      <c r="L4338" t="n">
        <v>5</v>
      </c>
      <c r="M4338">
        <f>VLOOKUP(D4338,State_Lookup!$A$2:$B$28,2,FALSE)</f>
        <v/>
      </c>
    </row>
    <row r="4339">
      <c r="A4339" t="inlineStr">
        <is>
          <t>57ecffc3a29fb1db005184b46b5f655d</t>
        </is>
      </c>
      <c r="B4339" t="inlineStr">
        <is>
          <t>2018-06-27</t>
        </is>
      </c>
      <c r="C4339" t="inlineStr">
        <is>
          <t>2018-06</t>
        </is>
      </c>
      <c r="D4339" t="inlineStr">
        <is>
          <t>ES</t>
        </is>
      </c>
      <c r="E4339" t="inlineStr">
        <is>
          <t>electronics</t>
        </is>
      </c>
      <c r="F4339" t="n">
        <v>1</v>
      </c>
      <c r="G4339" t="n">
        <v>60.9</v>
      </c>
      <c r="H4339" t="n">
        <v>18.23</v>
      </c>
      <c r="I4339" t="inlineStr">
        <is>
          <t>credit_card</t>
        </is>
      </c>
      <c r="J4339" t="n">
        <v>8</v>
      </c>
      <c r="K4339" t="inlineStr">
        <is>
          <t>On Time</t>
        </is>
      </c>
      <c r="L4339" t="n">
        <v>4</v>
      </c>
      <c r="M4339">
        <f>VLOOKUP(D4339,State_Lookup!$A$2:$B$28,2,FALSE)</f>
        <v/>
      </c>
    </row>
    <row r="4340">
      <c r="A4340" t="inlineStr">
        <is>
          <t>efa967efa40217c320aa7aa2954ebe52</t>
        </is>
      </c>
      <c r="B4340" t="inlineStr">
        <is>
          <t>2018-06-27</t>
        </is>
      </c>
      <c r="C4340" t="inlineStr">
        <is>
          <t>2018-06</t>
        </is>
      </c>
      <c r="D4340" t="inlineStr">
        <is>
          <t>RJ</t>
        </is>
      </c>
      <c r="E4340" t="inlineStr">
        <is>
          <t>office_furniture</t>
        </is>
      </c>
      <c r="F4340" t="n">
        <v>1</v>
      </c>
      <c r="G4340" t="n">
        <v>349.9</v>
      </c>
      <c r="H4340" t="n">
        <v>105.84</v>
      </c>
      <c r="I4340" t="inlineStr">
        <is>
          <t>credit_card</t>
        </is>
      </c>
      <c r="J4340" t="n">
        <v>14</v>
      </c>
      <c r="K4340" t="inlineStr">
        <is>
          <t>On Time</t>
        </is>
      </c>
      <c r="L4340" t="n">
        <v>5</v>
      </c>
      <c r="M4340">
        <f>VLOOKUP(D4340,State_Lookup!$A$2:$B$28,2,FALSE)</f>
        <v/>
      </c>
    </row>
    <row r="4341">
      <c r="A4341" t="inlineStr">
        <is>
          <t>a4e65d48cbd25e5dd19d906d3cb180b2</t>
        </is>
      </c>
      <c r="B4341" t="inlineStr">
        <is>
          <t>2018-06-27</t>
        </is>
      </c>
      <c r="C4341" t="inlineStr">
        <is>
          <t>2018-06</t>
        </is>
      </c>
      <c r="D4341" t="inlineStr">
        <is>
          <t>MG</t>
        </is>
      </c>
      <c r="E4341" t="inlineStr">
        <is>
          <t>watches_gifts</t>
        </is>
      </c>
      <c r="F4341" t="n">
        <v>1</v>
      </c>
      <c r="G4341" t="n">
        <v>49.89</v>
      </c>
      <c r="H4341" t="n">
        <v>22.28</v>
      </c>
      <c r="I4341" t="inlineStr">
        <is>
          <t>credit_card</t>
        </is>
      </c>
      <c r="J4341" t="n">
        <v>6</v>
      </c>
      <c r="K4341" t="inlineStr">
        <is>
          <t>On Time</t>
        </is>
      </c>
      <c r="L4341" t="n">
        <v>5</v>
      </c>
      <c r="M4341">
        <f>VLOOKUP(D4341,State_Lookup!$A$2:$B$28,2,FALSE)</f>
        <v/>
      </c>
    </row>
    <row r="4342">
      <c r="A4342" t="inlineStr">
        <is>
          <t>cca0fdbe32d86d386a95c02433412640</t>
        </is>
      </c>
      <c r="B4342" t="inlineStr">
        <is>
          <t>2018-06-27</t>
        </is>
      </c>
      <c r="C4342" t="inlineStr">
        <is>
          <t>2018-06</t>
        </is>
      </c>
      <c r="D4342" t="inlineStr">
        <is>
          <t>BA</t>
        </is>
      </c>
      <c r="E4342" t="inlineStr">
        <is>
          <t>musical_instruments</t>
        </is>
      </c>
      <c r="F4342" t="n">
        <v>1</v>
      </c>
      <c r="G4342" t="n">
        <v>149</v>
      </c>
      <c r="H4342" t="n">
        <v>22.97</v>
      </c>
      <c r="I4342" t="inlineStr">
        <is>
          <t>credit_card</t>
        </is>
      </c>
      <c r="J4342" t="n">
        <v>17</v>
      </c>
      <c r="K4342" t="inlineStr">
        <is>
          <t>On Time</t>
        </is>
      </c>
      <c r="L4342" t="n">
        <v>5</v>
      </c>
      <c r="M4342">
        <f>VLOOKUP(D4342,State_Lookup!$A$2:$B$28,2,FALSE)</f>
        <v/>
      </c>
    </row>
    <row r="4343">
      <c r="A4343" t="inlineStr">
        <is>
          <t>fcca6c3fefb03709360cbcc79f2ff73d</t>
        </is>
      </c>
      <c r="B4343" t="inlineStr">
        <is>
          <t>2018-06-27</t>
        </is>
      </c>
      <c r="C4343" t="inlineStr">
        <is>
          <t>2018-06</t>
        </is>
      </c>
      <c r="D4343" t="inlineStr">
        <is>
          <t>SP</t>
        </is>
      </c>
      <c r="E4343" t="inlineStr">
        <is>
          <t>watches_gifts</t>
        </is>
      </c>
      <c r="F4343" t="n">
        <v>1</v>
      </c>
      <c r="G4343" t="n">
        <v>55</v>
      </c>
      <c r="H4343" t="n">
        <v>7.65</v>
      </c>
      <c r="I4343" t="inlineStr">
        <is>
          <t>credit_card</t>
        </is>
      </c>
      <c r="J4343" t="n">
        <v>1</v>
      </c>
      <c r="K4343" t="inlineStr">
        <is>
          <t>On Time</t>
        </is>
      </c>
      <c r="L4343" t="n">
        <v>5</v>
      </c>
      <c r="M4343">
        <f>VLOOKUP(D4343,State_Lookup!$A$2:$B$28,2,FALSE)</f>
        <v/>
      </c>
    </row>
    <row r="4344">
      <c r="A4344" t="inlineStr">
        <is>
          <t>3cd800ca7c2571661a5d8f0fe9053536</t>
        </is>
      </c>
      <c r="B4344" t="inlineStr">
        <is>
          <t>2018-06-28</t>
        </is>
      </c>
      <c r="C4344" t="inlineStr">
        <is>
          <t>2018-06</t>
        </is>
      </c>
      <c r="D4344" t="inlineStr">
        <is>
          <t>RJ</t>
        </is>
      </c>
      <c r="E4344" t="inlineStr">
        <is>
          <t>home_appliances</t>
        </is>
      </c>
      <c r="F4344" t="n">
        <v>1</v>
      </c>
      <c r="G4344" t="n">
        <v>165</v>
      </c>
      <c r="H4344" t="n">
        <v>19.26</v>
      </c>
      <c r="I4344" t="inlineStr">
        <is>
          <t>credit_card</t>
        </is>
      </c>
      <c r="J4344" t="n">
        <v>10</v>
      </c>
      <c r="K4344" t="inlineStr">
        <is>
          <t>On Time</t>
        </is>
      </c>
      <c r="L4344" t="n">
        <v>5</v>
      </c>
      <c r="M4344">
        <f>VLOOKUP(D4344,State_Lookup!$A$2:$B$28,2,FALSE)</f>
        <v/>
      </c>
    </row>
    <row r="4345">
      <c r="A4345" t="inlineStr">
        <is>
          <t>8b287c802866ec3b7b594e5cbc2d5acf</t>
        </is>
      </c>
      <c r="B4345" t="inlineStr">
        <is>
          <t>2018-06-28</t>
        </is>
      </c>
      <c r="C4345" t="inlineStr">
        <is>
          <t>2018-06</t>
        </is>
      </c>
      <c r="D4345" t="inlineStr">
        <is>
          <t>SP</t>
        </is>
      </c>
      <c r="E4345" t="inlineStr">
        <is>
          <t>health_beauty</t>
        </is>
      </c>
      <c r="F4345" t="n">
        <v>1</v>
      </c>
      <c r="G4345" t="n">
        <v>129</v>
      </c>
      <c r="H4345" t="n">
        <v>18.7</v>
      </c>
      <c r="I4345" t="inlineStr">
        <is>
          <t>boleto</t>
        </is>
      </c>
      <c r="J4345" t="n">
        <v>13</v>
      </c>
      <c r="K4345" t="inlineStr">
        <is>
          <t>On Time</t>
        </is>
      </c>
      <c r="L4345" t="n">
        <v>4</v>
      </c>
      <c r="M4345">
        <f>VLOOKUP(D4345,State_Lookup!$A$2:$B$28,2,FALSE)</f>
        <v/>
      </c>
    </row>
    <row r="4346">
      <c r="A4346" t="inlineStr">
        <is>
          <t>7e9d429736ca906b27567eceda90f4b6</t>
        </is>
      </c>
      <c r="B4346" t="inlineStr">
        <is>
          <t>2018-06-28</t>
        </is>
      </c>
      <c r="C4346" t="inlineStr">
        <is>
          <t>2018-06</t>
        </is>
      </c>
      <c r="D4346" t="inlineStr">
        <is>
          <t>ES</t>
        </is>
      </c>
      <c r="E4346" t="inlineStr">
        <is>
          <t>toys</t>
        </is>
      </c>
      <c r="F4346" t="n">
        <v>1</v>
      </c>
      <c r="G4346" t="n">
        <v>109</v>
      </c>
      <c r="H4346" t="n">
        <v>41.74</v>
      </c>
      <c r="I4346" t="inlineStr">
        <is>
          <t>credit_card</t>
        </is>
      </c>
      <c r="J4346" t="n">
        <v>11</v>
      </c>
      <c r="K4346" t="inlineStr">
        <is>
          <t>On Time</t>
        </is>
      </c>
      <c r="L4346" t="n">
        <v>2</v>
      </c>
      <c r="M4346">
        <f>VLOOKUP(D4346,State_Lookup!$A$2:$B$28,2,FALSE)</f>
        <v/>
      </c>
    </row>
    <row r="4347">
      <c r="A4347" t="inlineStr">
        <is>
          <t>454ecfc568c4d964048236e91a42bda6</t>
        </is>
      </c>
      <c r="B4347" t="inlineStr">
        <is>
          <t>2018-06-28</t>
        </is>
      </c>
      <c r="C4347" t="inlineStr">
        <is>
          <t>2018-06</t>
        </is>
      </c>
      <c r="D4347" t="inlineStr">
        <is>
          <t>PI</t>
        </is>
      </c>
      <c r="E4347" t="inlineStr">
        <is>
          <t>telephony</t>
        </is>
      </c>
      <c r="F4347" t="n">
        <v>1</v>
      </c>
      <c r="G4347" t="n">
        <v>29.99</v>
      </c>
      <c r="H4347" t="n">
        <v>22.93</v>
      </c>
      <c r="I4347" t="inlineStr">
        <is>
          <t>credit_card</t>
        </is>
      </c>
      <c r="J4347" t="n">
        <v>27</v>
      </c>
      <c r="K4347" t="inlineStr">
        <is>
          <t>Late</t>
        </is>
      </c>
      <c r="L4347" t="n">
        <v>2</v>
      </c>
      <c r="M4347">
        <f>VLOOKUP(D4347,State_Lookup!$A$2:$B$28,2,FALSE)</f>
        <v/>
      </c>
    </row>
    <row r="4348">
      <c r="A4348" t="inlineStr">
        <is>
          <t>f8164ab157d2fa8835750d2249e9b1cb</t>
        </is>
      </c>
      <c r="B4348" t="inlineStr">
        <is>
          <t>2018-06-28</t>
        </is>
      </c>
      <c r="C4348" t="inlineStr">
        <is>
          <t>2018-06</t>
        </is>
      </c>
      <c r="D4348" t="inlineStr">
        <is>
          <t>SC</t>
        </is>
      </c>
      <c r="E4348" t="inlineStr">
        <is>
          <t>furniture_bedroom</t>
        </is>
      </c>
      <c r="F4348" t="n">
        <v>1</v>
      </c>
      <c r="G4348" t="n">
        <v>287</v>
      </c>
      <c r="H4348" t="n">
        <v>61.24</v>
      </c>
      <c r="I4348" t="inlineStr">
        <is>
          <t>boleto</t>
        </is>
      </c>
      <c r="J4348" t="n">
        <v>12</v>
      </c>
      <c r="K4348" t="inlineStr">
        <is>
          <t>On Time</t>
        </is>
      </c>
      <c r="L4348" t="n">
        <v>3</v>
      </c>
      <c r="M4348">
        <f>VLOOKUP(D4348,State_Lookup!$A$2:$B$28,2,FALSE)</f>
        <v/>
      </c>
    </row>
    <row r="4349">
      <c r="A4349" t="inlineStr">
        <is>
          <t>bbeace003fa084aa3ecbb486d76b6766</t>
        </is>
      </c>
      <c r="B4349" t="inlineStr">
        <is>
          <t>2018-06-28</t>
        </is>
      </c>
      <c r="C4349" t="inlineStr">
        <is>
          <t>2018-06</t>
        </is>
      </c>
      <c r="D4349" t="inlineStr">
        <is>
          <t>SP</t>
        </is>
      </c>
      <c r="E4349" t="inlineStr">
        <is>
          <t>pet_shop</t>
        </is>
      </c>
      <c r="F4349" t="n">
        <v>1</v>
      </c>
      <c r="G4349" t="n">
        <v>39.99</v>
      </c>
      <c r="H4349" t="n">
        <v>14.59</v>
      </c>
      <c r="I4349" t="inlineStr">
        <is>
          <t>credit_card</t>
        </is>
      </c>
      <c r="J4349" t="n">
        <v>7</v>
      </c>
      <c r="K4349" t="inlineStr">
        <is>
          <t>On Time</t>
        </is>
      </c>
      <c r="L4349" t="n">
        <v>5</v>
      </c>
      <c r="M4349">
        <f>VLOOKUP(D4349,State_Lookup!$A$2:$B$28,2,FALSE)</f>
        <v/>
      </c>
    </row>
    <row r="4350">
      <c r="A4350" t="inlineStr">
        <is>
          <t>1347a24fc320c48fcaf6ed2bed66ee30</t>
        </is>
      </c>
      <c r="B4350" t="inlineStr">
        <is>
          <t>2018-06-28</t>
        </is>
      </c>
      <c r="C4350" t="inlineStr">
        <is>
          <t>2018-06</t>
        </is>
      </c>
      <c r="D4350" t="inlineStr">
        <is>
          <t>MG</t>
        </is>
      </c>
      <c r="E4350" t="inlineStr">
        <is>
          <t>furniture_decor</t>
        </is>
      </c>
      <c r="F4350" t="n">
        <v>2</v>
      </c>
      <c r="G4350" t="n">
        <v>70</v>
      </c>
      <c r="H4350" t="n">
        <v>38.88</v>
      </c>
      <c r="I4350" t="inlineStr">
        <is>
          <t>credit_card</t>
        </is>
      </c>
      <c r="J4350" t="n">
        <v>10</v>
      </c>
      <c r="K4350" t="inlineStr">
        <is>
          <t>On Time</t>
        </is>
      </c>
      <c r="L4350" t="n">
        <v>3</v>
      </c>
      <c r="M4350">
        <f>VLOOKUP(D4350,State_Lookup!$A$2:$B$28,2,FALSE)</f>
        <v/>
      </c>
    </row>
    <row r="4351">
      <c r="A4351" t="inlineStr">
        <is>
          <t>62ff10e32649e2f8d65d3acf35c67580</t>
        </is>
      </c>
      <c r="B4351" t="inlineStr">
        <is>
          <t>2018-06-28</t>
        </is>
      </c>
      <c r="C4351" t="inlineStr">
        <is>
          <t>2018-06</t>
        </is>
      </c>
      <c r="D4351" t="inlineStr">
        <is>
          <t>MG</t>
        </is>
      </c>
      <c r="E4351" t="inlineStr">
        <is>
          <t>bed_bath_table</t>
        </is>
      </c>
      <c r="F4351" t="n">
        <v>1</v>
      </c>
      <c r="G4351" t="n">
        <v>169.4</v>
      </c>
      <c r="H4351" t="n">
        <v>23.99</v>
      </c>
      <c r="I4351" t="inlineStr">
        <is>
          <t>credit_card</t>
        </is>
      </c>
      <c r="J4351" t="n">
        <v>7</v>
      </c>
      <c r="K4351" t="inlineStr">
        <is>
          <t>On Time</t>
        </is>
      </c>
      <c r="L4351" t="n">
        <v>2</v>
      </c>
      <c r="M4351">
        <f>VLOOKUP(D4351,State_Lookup!$A$2:$B$28,2,FALSE)</f>
        <v/>
      </c>
    </row>
    <row r="4352">
      <c r="A4352" t="inlineStr">
        <is>
          <t>67119966e190b3d2f210b4f9117395f1</t>
        </is>
      </c>
      <c r="B4352" t="inlineStr">
        <is>
          <t>2018-06-28</t>
        </is>
      </c>
      <c r="C4352" t="inlineStr">
        <is>
          <t>2018-06</t>
        </is>
      </c>
      <c r="D4352" t="inlineStr">
        <is>
          <t>RJ</t>
        </is>
      </c>
      <c r="E4352" t="inlineStr">
        <is>
          <t>bed_bath_table</t>
        </is>
      </c>
      <c r="F4352" t="n">
        <v>1</v>
      </c>
      <c r="G4352" t="n">
        <v>61.9</v>
      </c>
      <c r="H4352" t="n">
        <v>18.23</v>
      </c>
      <c r="I4352" t="inlineStr">
        <is>
          <t>credit_card</t>
        </is>
      </c>
      <c r="J4352" t="n">
        <v>5</v>
      </c>
      <c r="K4352" t="inlineStr">
        <is>
          <t>On Time</t>
        </is>
      </c>
      <c r="L4352" t="n">
        <v>4</v>
      </c>
      <c r="M4352">
        <f>VLOOKUP(D4352,State_Lookup!$A$2:$B$28,2,FALSE)</f>
        <v/>
      </c>
    </row>
    <row r="4353">
      <c r="A4353" t="inlineStr">
        <is>
          <t>67816bc8a83ed1ca09b99c2512cbedb3</t>
        </is>
      </c>
      <c r="B4353" t="inlineStr">
        <is>
          <t>2018-06-28</t>
        </is>
      </c>
      <c r="C4353" t="inlineStr">
        <is>
          <t>2018-06</t>
        </is>
      </c>
      <c r="D4353" t="inlineStr">
        <is>
          <t>GO</t>
        </is>
      </c>
      <c r="E4353" t="inlineStr">
        <is>
          <t>housewares</t>
        </is>
      </c>
      <c r="F4353" t="n">
        <v>1</v>
      </c>
      <c r="G4353" t="n">
        <v>76.5</v>
      </c>
      <c r="H4353" t="n">
        <v>26.84</v>
      </c>
      <c r="I4353" t="inlineStr">
        <is>
          <t>credit_card</t>
        </is>
      </c>
      <c r="J4353" t="n">
        <v>8</v>
      </c>
      <c r="K4353" t="inlineStr">
        <is>
          <t>On Time</t>
        </is>
      </c>
      <c r="L4353" t="n">
        <v>4</v>
      </c>
      <c r="M4353">
        <f>VLOOKUP(D4353,State_Lookup!$A$2:$B$28,2,FALSE)</f>
        <v/>
      </c>
    </row>
    <row r="4354">
      <c r="A4354" t="inlineStr">
        <is>
          <t>7d20c79f25c64f2c7feca12d01677c8e</t>
        </is>
      </c>
      <c r="B4354" t="inlineStr">
        <is>
          <t>2018-06-28</t>
        </is>
      </c>
      <c r="C4354" t="inlineStr">
        <is>
          <t>2018-06</t>
        </is>
      </c>
      <c r="D4354" t="inlineStr">
        <is>
          <t>RS</t>
        </is>
      </c>
      <c r="E4354" t="inlineStr">
        <is>
          <t>housewares</t>
        </is>
      </c>
      <c r="F4354" t="n">
        <v>4</v>
      </c>
      <c r="G4354" t="n">
        <v>99.56</v>
      </c>
      <c r="H4354" t="n">
        <v>73.08</v>
      </c>
      <c r="I4354" t="inlineStr">
        <is>
          <t>credit_card</t>
        </is>
      </c>
      <c r="J4354" t="n">
        <v>14</v>
      </c>
      <c r="K4354" t="inlineStr">
        <is>
          <t>On Time</t>
        </is>
      </c>
      <c r="L4354" t="n">
        <v>1</v>
      </c>
      <c r="M4354">
        <f>VLOOKUP(D4354,State_Lookup!$A$2:$B$28,2,FALSE)</f>
        <v/>
      </c>
    </row>
    <row r="4355">
      <c r="A4355" t="inlineStr">
        <is>
          <t>7d1e3a395580e827eff45e47efd8017d</t>
        </is>
      </c>
      <c r="B4355" t="inlineStr">
        <is>
          <t>2018-06-28</t>
        </is>
      </c>
      <c r="C4355" t="inlineStr">
        <is>
          <t>2018-06</t>
        </is>
      </c>
      <c r="D4355" t="inlineStr">
        <is>
          <t>MG</t>
        </is>
      </c>
      <c r="E4355" t="inlineStr">
        <is>
          <t>watches_gifts</t>
        </is>
      </c>
      <c r="F4355" t="n">
        <v>1</v>
      </c>
      <c r="G4355" t="n">
        <v>97.90000000000001</v>
      </c>
      <c r="H4355" t="n">
        <v>18.79</v>
      </c>
      <c r="I4355" t="inlineStr">
        <is>
          <t>credit_card</t>
        </is>
      </c>
      <c r="J4355" t="n">
        <v>10</v>
      </c>
      <c r="K4355" t="inlineStr">
        <is>
          <t>On Time</t>
        </is>
      </c>
      <c r="L4355" t="n">
        <v>5</v>
      </c>
      <c r="M4355">
        <f>VLOOKUP(D4355,State_Lookup!$A$2:$B$28,2,FALSE)</f>
        <v/>
      </c>
    </row>
    <row r="4356">
      <c r="A4356" t="inlineStr">
        <is>
          <t>12d8f84b2205c7654fdf6768718d243d</t>
        </is>
      </c>
      <c r="B4356" t="inlineStr">
        <is>
          <t>2018-06-28</t>
        </is>
      </c>
      <c r="C4356" t="inlineStr">
        <is>
          <t>2018-06</t>
        </is>
      </c>
      <c r="D4356" t="inlineStr">
        <is>
          <t>PR</t>
        </is>
      </c>
      <c r="E4356" t="inlineStr">
        <is>
          <t>computers_accessories</t>
        </is>
      </c>
      <c r="F4356" t="n">
        <v>1</v>
      </c>
      <c r="G4356" t="n">
        <v>60.9</v>
      </c>
      <c r="H4356" t="n">
        <v>13.77</v>
      </c>
      <c r="I4356" t="inlineStr">
        <is>
          <t>credit_card</t>
        </is>
      </c>
      <c r="J4356" t="n">
        <v>11</v>
      </c>
      <c r="K4356" t="inlineStr">
        <is>
          <t>On Time</t>
        </is>
      </c>
      <c r="L4356" t="n">
        <v>1</v>
      </c>
      <c r="M4356">
        <f>VLOOKUP(D4356,State_Lookup!$A$2:$B$28,2,FALSE)</f>
        <v/>
      </c>
    </row>
    <row r="4357">
      <c r="A4357" t="inlineStr">
        <is>
          <t>b49298f3f28ff2194633444aa6b08cb4</t>
        </is>
      </c>
      <c r="B4357" t="inlineStr">
        <is>
          <t>2018-06-28</t>
        </is>
      </c>
      <c r="C4357" t="inlineStr">
        <is>
          <t>2018-06</t>
        </is>
      </c>
      <c r="D4357" t="inlineStr">
        <is>
          <t>SP</t>
        </is>
      </c>
      <c r="E4357" t="inlineStr">
        <is>
          <t>watches_gifts</t>
        </is>
      </c>
      <c r="F4357" t="n">
        <v>1</v>
      </c>
      <c r="G4357" t="n">
        <v>359.6</v>
      </c>
      <c r="H4357" t="n">
        <v>20.62</v>
      </c>
      <c r="I4357" t="inlineStr">
        <is>
          <t>credit_card</t>
        </is>
      </c>
      <c r="J4357" t="n">
        <v>4</v>
      </c>
      <c r="K4357" t="inlineStr">
        <is>
          <t>On Time</t>
        </is>
      </c>
      <c r="L4357" t="n">
        <v>5</v>
      </c>
      <c r="M4357">
        <f>VLOOKUP(D4357,State_Lookup!$A$2:$B$28,2,FALSE)</f>
        <v/>
      </c>
    </row>
    <row r="4358">
      <c r="A4358" t="inlineStr">
        <is>
          <t>4f1e72c86c397722120a1cb409714f5e</t>
        </is>
      </c>
      <c r="B4358" t="inlineStr">
        <is>
          <t>2018-06-28</t>
        </is>
      </c>
      <c r="C4358" t="inlineStr">
        <is>
          <t>2018-06</t>
        </is>
      </c>
      <c r="D4358" t="inlineStr">
        <is>
          <t>MG</t>
        </is>
      </c>
      <c r="E4358" t="inlineStr">
        <is>
          <t>perfumery</t>
        </is>
      </c>
      <c r="F4358" t="n">
        <v>1</v>
      </c>
      <c r="G4358" t="n">
        <v>36</v>
      </c>
      <c r="H4358" t="n">
        <v>23.05</v>
      </c>
      <c r="I4358" t="inlineStr">
        <is>
          <t>credit_card</t>
        </is>
      </c>
      <c r="J4358" t="n">
        <v>5</v>
      </c>
      <c r="K4358" t="inlineStr">
        <is>
          <t>On Time</t>
        </is>
      </c>
      <c r="L4358" t="n">
        <v>5</v>
      </c>
      <c r="M4358">
        <f>VLOOKUP(D4358,State_Lookup!$A$2:$B$28,2,FALSE)</f>
        <v/>
      </c>
    </row>
    <row r="4359">
      <c r="A4359" t="inlineStr">
        <is>
          <t>9ea96bace1093d93e7fcbdfabc1dc830</t>
        </is>
      </c>
      <c r="B4359" t="inlineStr">
        <is>
          <t>2018-06-28</t>
        </is>
      </c>
      <c r="C4359" t="inlineStr">
        <is>
          <t>2018-06</t>
        </is>
      </c>
      <c r="D4359" t="inlineStr">
        <is>
          <t>RJ</t>
        </is>
      </c>
      <c r="E4359" t="inlineStr">
        <is>
          <t>sports_leisure</t>
        </is>
      </c>
      <c r="F4359" t="n">
        <v>1</v>
      </c>
      <c r="G4359" t="n">
        <v>75</v>
      </c>
      <c r="H4359" t="n">
        <v>7.95</v>
      </c>
      <c r="I4359" t="inlineStr">
        <is>
          <t>debit_card</t>
        </is>
      </c>
      <c r="J4359" t="n">
        <v>4</v>
      </c>
      <c r="K4359" t="inlineStr">
        <is>
          <t>On Time</t>
        </is>
      </c>
      <c r="L4359" t="n">
        <v>4</v>
      </c>
      <c r="M4359">
        <f>VLOOKUP(D4359,State_Lookup!$A$2:$B$28,2,FALSE)</f>
        <v/>
      </c>
    </row>
    <row r="4360">
      <c r="A4360" t="inlineStr">
        <is>
          <t>c6952ba78d5adfd24e93300fc30718c6</t>
        </is>
      </c>
      <c r="B4360" t="inlineStr">
        <is>
          <t>2018-06-28</t>
        </is>
      </c>
      <c r="C4360" t="inlineStr">
        <is>
          <t>2018-06</t>
        </is>
      </c>
      <c r="D4360" t="inlineStr">
        <is>
          <t>PB</t>
        </is>
      </c>
      <c r="E4360" t="inlineStr">
        <is>
          <t>computers_accessories</t>
        </is>
      </c>
      <c r="F4360" t="n">
        <v>1</v>
      </c>
      <c r="G4360" t="n">
        <v>59.99</v>
      </c>
      <c r="H4360" t="n">
        <v>23.14</v>
      </c>
      <c r="I4360" t="inlineStr">
        <is>
          <t>credit_card</t>
        </is>
      </c>
      <c r="J4360" t="n">
        <v>12</v>
      </c>
      <c r="K4360" t="inlineStr">
        <is>
          <t>On Time</t>
        </is>
      </c>
      <c r="L4360" t="n">
        <v>4</v>
      </c>
      <c r="M4360">
        <f>VLOOKUP(D4360,State_Lookup!$A$2:$B$28,2,FALSE)</f>
        <v/>
      </c>
    </row>
    <row r="4361">
      <c r="A4361" t="inlineStr">
        <is>
          <t>d5a809a7a258b9196d2bde32e7b9546e</t>
        </is>
      </c>
      <c r="B4361" t="inlineStr">
        <is>
          <t>2018-06-28</t>
        </is>
      </c>
      <c r="C4361" t="inlineStr">
        <is>
          <t>2018-06</t>
        </is>
      </c>
      <c r="D4361" t="inlineStr">
        <is>
          <t>SP</t>
        </is>
      </c>
      <c r="E4361" t="inlineStr">
        <is>
          <t>furniture_decor</t>
        </is>
      </c>
      <c r="F4361" t="n">
        <v>3</v>
      </c>
      <c r="G4361" t="n">
        <v>105</v>
      </c>
      <c r="H4361" t="n">
        <v>41.49</v>
      </c>
      <c r="I4361" t="inlineStr">
        <is>
          <t>credit_card</t>
        </is>
      </c>
      <c r="J4361" t="n">
        <v>8</v>
      </c>
      <c r="K4361" t="inlineStr">
        <is>
          <t>On Time</t>
        </is>
      </c>
      <c r="L4361" t="n">
        <v>5</v>
      </c>
      <c r="M4361">
        <f>VLOOKUP(D4361,State_Lookup!$A$2:$B$28,2,FALSE)</f>
        <v/>
      </c>
    </row>
    <row r="4362">
      <c r="A4362" t="inlineStr">
        <is>
          <t>4ff4e765fb57ce1bc954bf8138e14013</t>
        </is>
      </c>
      <c r="B4362" t="inlineStr">
        <is>
          <t>2018-06-29</t>
        </is>
      </c>
      <c r="C4362" t="inlineStr">
        <is>
          <t>2018-06</t>
        </is>
      </c>
      <c r="D4362" t="inlineStr">
        <is>
          <t>PA</t>
        </is>
      </c>
      <c r="E4362" t="inlineStr">
        <is>
          <t>cool_stuff</t>
        </is>
      </c>
      <c r="F4362" t="n">
        <v>1</v>
      </c>
      <c r="G4362" t="n">
        <v>259.99</v>
      </c>
      <c r="H4362" t="n">
        <v>65.38</v>
      </c>
      <c r="I4362" t="inlineStr">
        <is>
          <t>boleto</t>
        </is>
      </c>
      <c r="J4362" t="n">
        <v>14</v>
      </c>
      <c r="K4362" t="inlineStr">
        <is>
          <t>On Time</t>
        </is>
      </c>
      <c r="L4362" t="n">
        <v>3</v>
      </c>
      <c r="M4362">
        <f>VLOOKUP(D4362,State_Lookup!$A$2:$B$28,2,FALSE)</f>
        <v/>
      </c>
    </row>
    <row r="4363">
      <c r="A4363" t="inlineStr">
        <is>
          <t>b82cf5fe4911adae1a6d2c4b171ec237</t>
        </is>
      </c>
      <c r="B4363" t="inlineStr">
        <is>
          <t>2018-06-29</t>
        </is>
      </c>
      <c r="C4363" t="inlineStr">
        <is>
          <t>2018-06</t>
        </is>
      </c>
      <c r="D4363" t="inlineStr">
        <is>
          <t>SP</t>
        </is>
      </c>
      <c r="E4363" t="inlineStr">
        <is>
          <t>stationery</t>
        </is>
      </c>
      <c r="F4363" t="n">
        <v>1</v>
      </c>
      <c r="G4363" t="n">
        <v>83</v>
      </c>
      <c r="H4363" t="n">
        <v>7.84</v>
      </c>
      <c r="I4363" t="inlineStr">
        <is>
          <t>boleto</t>
        </is>
      </c>
      <c r="J4363" t="n">
        <v>6</v>
      </c>
      <c r="K4363" t="inlineStr">
        <is>
          <t>On Time</t>
        </is>
      </c>
      <c r="L4363" t="n">
        <v>4</v>
      </c>
      <c r="M4363">
        <f>VLOOKUP(D4363,State_Lookup!$A$2:$B$28,2,FALSE)</f>
        <v/>
      </c>
    </row>
    <row r="4364">
      <c r="A4364" t="inlineStr">
        <is>
          <t>58f9ab98b542d84139dda631d9e257d5</t>
        </is>
      </c>
      <c r="B4364" t="inlineStr">
        <is>
          <t>2018-06-29</t>
        </is>
      </c>
      <c r="C4364" t="inlineStr">
        <is>
          <t>2018-06</t>
        </is>
      </c>
      <c r="D4364" t="inlineStr">
        <is>
          <t>SP</t>
        </is>
      </c>
      <c r="E4364" t="inlineStr">
        <is>
          <t>watches_gifts</t>
        </is>
      </c>
      <c r="F4364" t="n">
        <v>1</v>
      </c>
      <c r="G4364" t="n">
        <v>139</v>
      </c>
      <c r="H4364" t="n">
        <v>19.07</v>
      </c>
      <c r="I4364" t="inlineStr">
        <is>
          <t>credit_card</t>
        </is>
      </c>
      <c r="J4364" t="n">
        <v>9</v>
      </c>
      <c r="K4364" t="inlineStr">
        <is>
          <t>On Time</t>
        </is>
      </c>
      <c r="L4364" t="n">
        <v>5</v>
      </c>
      <c r="M4364">
        <f>VLOOKUP(D4364,State_Lookup!$A$2:$B$28,2,FALSE)</f>
        <v/>
      </c>
    </row>
    <row r="4365">
      <c r="A4365" t="inlineStr">
        <is>
          <t>b1303b12e93f925254918495e630d0a2</t>
        </is>
      </c>
      <c r="B4365" t="inlineStr">
        <is>
          <t>2018-06-29</t>
        </is>
      </c>
      <c r="C4365" t="inlineStr">
        <is>
          <t>2018-06</t>
        </is>
      </c>
      <c r="D4365" t="inlineStr">
        <is>
          <t>MT</t>
        </is>
      </c>
      <c r="E4365" t="inlineStr">
        <is>
          <t>toys</t>
        </is>
      </c>
      <c r="F4365" t="n">
        <v>1</v>
      </c>
      <c r="G4365" t="n">
        <v>367.9</v>
      </c>
      <c r="H4365" t="n">
        <v>193.76</v>
      </c>
      <c r="I4365" t="inlineStr">
        <is>
          <t>credit_card</t>
        </is>
      </c>
      <c r="J4365" t="n">
        <v>13</v>
      </c>
      <c r="K4365" t="inlineStr">
        <is>
          <t>On Time</t>
        </is>
      </c>
      <c r="L4365" t="n">
        <v>5</v>
      </c>
      <c r="M4365">
        <f>VLOOKUP(D4365,State_Lookup!$A$2:$B$28,2,FALSE)</f>
        <v/>
      </c>
    </row>
    <row r="4366">
      <c r="A4366" t="inlineStr">
        <is>
          <t>9b36be8204e21a5c4bb5be20c404cc1e</t>
        </is>
      </c>
      <c r="B4366" t="inlineStr">
        <is>
          <t>2018-06-29</t>
        </is>
      </c>
      <c r="C4366" t="inlineStr">
        <is>
          <t>2018-06</t>
        </is>
      </c>
      <c r="D4366" t="inlineStr">
        <is>
          <t>SP</t>
        </is>
      </c>
      <c r="E4366" t="inlineStr">
        <is>
          <t>auto</t>
        </is>
      </c>
      <c r="F4366" t="n">
        <v>1</v>
      </c>
      <c r="G4366" t="n">
        <v>62</v>
      </c>
      <c r="H4366" t="n">
        <v>17.75</v>
      </c>
      <c r="I4366" t="inlineStr">
        <is>
          <t>voucher</t>
        </is>
      </c>
      <c r="J4366" t="n">
        <v>6</v>
      </c>
      <c r="K4366" t="inlineStr">
        <is>
          <t>On Time</t>
        </is>
      </c>
      <c r="L4366" t="n">
        <v>5</v>
      </c>
      <c r="M4366">
        <f>VLOOKUP(D4366,State_Lookup!$A$2:$B$28,2,FALSE)</f>
        <v/>
      </c>
    </row>
    <row r="4367">
      <c r="A4367" t="inlineStr">
        <is>
          <t>eb55f59a44f8ca8558eb570394b598da</t>
        </is>
      </c>
      <c r="B4367" t="inlineStr">
        <is>
          <t>2018-06-29</t>
        </is>
      </c>
      <c r="C4367" t="inlineStr">
        <is>
          <t>2018-06</t>
        </is>
      </c>
      <c r="D4367" t="inlineStr">
        <is>
          <t>MG</t>
        </is>
      </c>
      <c r="E4367" t="inlineStr">
        <is>
          <t>auto</t>
        </is>
      </c>
      <c r="F4367" t="n">
        <v>1</v>
      </c>
      <c r="G4367" t="n">
        <v>256</v>
      </c>
      <c r="H4367" t="n">
        <v>24.59</v>
      </c>
      <c r="I4367" t="inlineStr">
        <is>
          <t>credit_card</t>
        </is>
      </c>
      <c r="J4367" t="n">
        <v>10</v>
      </c>
      <c r="K4367" t="inlineStr">
        <is>
          <t>On Time</t>
        </is>
      </c>
      <c r="L4367" t="n">
        <v>4</v>
      </c>
      <c r="M4367">
        <f>VLOOKUP(D4367,State_Lookup!$A$2:$B$28,2,FALSE)</f>
        <v/>
      </c>
    </row>
    <row r="4368">
      <c r="A4368" t="inlineStr">
        <is>
          <t>7954d26fa0d387724ccb30d846ebbd9f</t>
        </is>
      </c>
      <c r="B4368" t="inlineStr">
        <is>
          <t>2018-06-29</t>
        </is>
      </c>
      <c r="C4368" t="inlineStr">
        <is>
          <t>2018-06</t>
        </is>
      </c>
      <c r="D4368" t="inlineStr">
        <is>
          <t>BA</t>
        </is>
      </c>
      <c r="E4368" t="inlineStr">
        <is>
          <t>unknown</t>
        </is>
      </c>
      <c r="F4368" t="n">
        <v>2</v>
      </c>
      <c r="G4368" t="n">
        <v>29.6</v>
      </c>
      <c r="H4368" t="n">
        <v>34.12</v>
      </c>
      <c r="I4368" t="inlineStr">
        <is>
          <t>voucher</t>
        </is>
      </c>
      <c r="J4368" t="n">
        <v>14</v>
      </c>
      <c r="K4368" t="inlineStr">
        <is>
          <t>On Time</t>
        </is>
      </c>
      <c r="L4368" t="n">
        <v>1</v>
      </c>
      <c r="M4368">
        <f>VLOOKUP(D4368,State_Lookup!$A$2:$B$28,2,FALSE)</f>
        <v/>
      </c>
    </row>
    <row r="4369">
      <c r="A4369" t="inlineStr">
        <is>
          <t>9eea7815889d95c5fbd5d314ebc40fe5</t>
        </is>
      </c>
      <c r="B4369" t="inlineStr">
        <is>
          <t>2018-06-29</t>
        </is>
      </c>
      <c r="C4369" t="inlineStr">
        <is>
          <t>2018-06</t>
        </is>
      </c>
      <c r="D4369" t="inlineStr">
        <is>
          <t>SP</t>
        </is>
      </c>
      <c r="E4369" t="inlineStr">
        <is>
          <t>bed_bath_table</t>
        </is>
      </c>
      <c r="F4369" t="n">
        <v>1</v>
      </c>
      <c r="G4369" t="n">
        <v>21.99</v>
      </c>
      <c r="H4369" t="n">
        <v>12.81</v>
      </c>
      <c r="I4369" t="inlineStr">
        <is>
          <t>credit_card</t>
        </is>
      </c>
      <c r="J4369" t="n">
        <v>4</v>
      </c>
      <c r="K4369" t="inlineStr">
        <is>
          <t>On Time</t>
        </is>
      </c>
      <c r="L4369" t="n">
        <v>5</v>
      </c>
      <c r="M4369">
        <f>VLOOKUP(D4369,State_Lookup!$A$2:$B$28,2,FALSE)</f>
        <v/>
      </c>
    </row>
    <row r="4370">
      <c r="A4370" t="inlineStr">
        <is>
          <t>5f4488ffadc1defe6b015c8c6e128c46</t>
        </is>
      </c>
      <c r="B4370" t="inlineStr">
        <is>
          <t>2018-06-29</t>
        </is>
      </c>
      <c r="C4370" t="inlineStr">
        <is>
          <t>2018-06</t>
        </is>
      </c>
      <c r="D4370" t="inlineStr">
        <is>
          <t>SC</t>
        </is>
      </c>
      <c r="E4370" t="inlineStr">
        <is>
          <t>computers_accessories</t>
        </is>
      </c>
      <c r="F4370" t="n">
        <v>1</v>
      </c>
      <c r="G4370" t="n">
        <v>12.9</v>
      </c>
      <c r="H4370" t="n">
        <v>15.23</v>
      </c>
      <c r="I4370" t="inlineStr">
        <is>
          <t>credit_card</t>
        </is>
      </c>
      <c r="J4370" t="n">
        <v>6</v>
      </c>
      <c r="K4370" t="inlineStr">
        <is>
          <t>On Time</t>
        </is>
      </c>
      <c r="L4370" t="n">
        <v>5</v>
      </c>
      <c r="M4370">
        <f>VLOOKUP(D4370,State_Lookup!$A$2:$B$28,2,FALSE)</f>
        <v/>
      </c>
    </row>
    <row r="4371">
      <c r="A4371" t="inlineStr">
        <is>
          <t>b2642502bf8864ede538c80b67275178</t>
        </is>
      </c>
      <c r="B4371" t="inlineStr">
        <is>
          <t>2018-06-30</t>
        </is>
      </c>
      <c r="C4371" t="inlineStr">
        <is>
          <t>2018-06</t>
        </is>
      </c>
      <c r="D4371" t="inlineStr">
        <is>
          <t>SP</t>
        </is>
      </c>
      <c r="E4371" t="inlineStr">
        <is>
          <t>computers_accessories</t>
        </is>
      </c>
      <c r="F4371" t="n">
        <v>2</v>
      </c>
      <c r="G4371" t="n">
        <v>138</v>
      </c>
      <c r="H4371" t="n">
        <v>28.12</v>
      </c>
      <c r="I4371" t="inlineStr">
        <is>
          <t>boleto</t>
        </is>
      </c>
      <c r="J4371" t="n">
        <v>12</v>
      </c>
      <c r="K4371" t="inlineStr">
        <is>
          <t>On Time</t>
        </is>
      </c>
      <c r="L4371" t="n">
        <v>5</v>
      </c>
      <c r="M4371">
        <f>VLOOKUP(D4371,State_Lookup!$A$2:$B$28,2,FALSE)</f>
        <v/>
      </c>
    </row>
    <row r="4372">
      <c r="A4372" t="inlineStr">
        <is>
          <t>a4c100660bd4f8af58cf90ef7641d5e6</t>
        </is>
      </c>
      <c r="B4372" t="inlineStr">
        <is>
          <t>2018-06-30</t>
        </is>
      </c>
      <c r="C4372" t="inlineStr">
        <is>
          <t>2018-06</t>
        </is>
      </c>
      <c r="D4372" t="inlineStr">
        <is>
          <t>SP</t>
        </is>
      </c>
      <c r="E4372" t="inlineStr">
        <is>
          <t>cine_photo</t>
        </is>
      </c>
      <c r="F4372" t="n">
        <v>1</v>
      </c>
      <c r="G4372" t="n">
        <v>11.9</v>
      </c>
      <c r="H4372" t="n">
        <v>7.39</v>
      </c>
      <c r="I4372" t="inlineStr">
        <is>
          <t>voucher</t>
        </is>
      </c>
      <c r="J4372" t="n">
        <v>4</v>
      </c>
      <c r="K4372" t="inlineStr">
        <is>
          <t>On Time</t>
        </is>
      </c>
      <c r="L4372" t="n">
        <v>5</v>
      </c>
      <c r="M4372">
        <f>VLOOKUP(D4372,State_Lookup!$A$2:$B$28,2,FALSE)</f>
        <v/>
      </c>
    </row>
    <row r="4373">
      <c r="A4373" t="inlineStr">
        <is>
          <t>81161411335afb1d9c6dfd1b42a63eb3</t>
        </is>
      </c>
      <c r="B4373" t="inlineStr">
        <is>
          <t>2018-06-30</t>
        </is>
      </c>
      <c r="C4373" t="inlineStr">
        <is>
          <t>2018-06</t>
        </is>
      </c>
      <c r="D4373" t="inlineStr">
        <is>
          <t>SP</t>
        </is>
      </c>
      <c r="E4373" t="inlineStr">
        <is>
          <t>housewares</t>
        </is>
      </c>
      <c r="F4373" t="n">
        <v>1</v>
      </c>
      <c r="G4373" t="n">
        <v>49.99</v>
      </c>
      <c r="H4373" t="n">
        <v>13.93</v>
      </c>
      <c r="I4373" t="inlineStr">
        <is>
          <t>credit_card</t>
        </is>
      </c>
      <c r="J4373" t="n">
        <v>4</v>
      </c>
      <c r="K4373" t="inlineStr">
        <is>
          <t>On Time</t>
        </is>
      </c>
      <c r="L4373" t="n">
        <v>5</v>
      </c>
      <c r="M4373">
        <f>VLOOKUP(D4373,State_Lookup!$A$2:$B$28,2,FALSE)</f>
        <v/>
      </c>
    </row>
    <row r="4374">
      <c r="A4374" t="inlineStr">
        <is>
          <t>1fcbc88015c88c1a14d4b8ec35ea8ed7</t>
        </is>
      </c>
      <c r="B4374" t="inlineStr">
        <is>
          <t>2018-06-30</t>
        </is>
      </c>
      <c r="C4374" t="inlineStr">
        <is>
          <t>2018-06</t>
        </is>
      </c>
      <c r="D4374" t="inlineStr">
        <is>
          <t>BA</t>
        </is>
      </c>
      <c r="E4374" t="inlineStr">
        <is>
          <t>pet_shop</t>
        </is>
      </c>
      <c r="F4374" t="n">
        <v>3</v>
      </c>
      <c r="G4374" t="n">
        <v>125.28</v>
      </c>
      <c r="H4374" t="n">
        <v>118.12</v>
      </c>
      <c r="I4374" t="inlineStr">
        <is>
          <t>credit_card</t>
        </is>
      </c>
      <c r="J4374" t="n">
        <v>13</v>
      </c>
      <c r="K4374" t="inlineStr">
        <is>
          <t>On Time</t>
        </is>
      </c>
      <c r="L4374" t="n">
        <v>5</v>
      </c>
      <c r="M4374">
        <f>VLOOKUP(D4374,State_Lookup!$A$2:$B$28,2,FALSE)</f>
        <v/>
      </c>
    </row>
    <row r="4375">
      <c r="A4375" t="inlineStr">
        <is>
          <t>43e22b919baf176fe28fb243217cc90c</t>
        </is>
      </c>
      <c r="B4375" t="inlineStr">
        <is>
          <t>2018-07-01</t>
        </is>
      </c>
      <c r="C4375" t="inlineStr">
        <is>
          <t>2018-07</t>
        </is>
      </c>
      <c r="D4375" t="inlineStr">
        <is>
          <t>SP</t>
        </is>
      </c>
      <c r="E4375" t="inlineStr">
        <is>
          <t>housewares</t>
        </is>
      </c>
      <c r="F4375" t="n">
        <v>1</v>
      </c>
      <c r="G4375" t="n">
        <v>105</v>
      </c>
      <c r="H4375" t="n">
        <v>16.04</v>
      </c>
      <c r="I4375" t="inlineStr">
        <is>
          <t>credit_card</t>
        </is>
      </c>
      <c r="J4375" t="n">
        <v>4</v>
      </c>
      <c r="K4375" t="inlineStr">
        <is>
          <t>On Time</t>
        </is>
      </c>
      <c r="L4375" t="n">
        <v>4</v>
      </c>
      <c r="M4375">
        <f>VLOOKUP(D4375,State_Lookup!$A$2:$B$28,2,FALSE)</f>
        <v/>
      </c>
    </row>
    <row r="4376">
      <c r="A4376" t="inlineStr">
        <is>
          <t>845f40ca6f1b315562f20fd125f93330</t>
        </is>
      </c>
      <c r="B4376" t="inlineStr">
        <is>
          <t>2018-07-01</t>
        </is>
      </c>
      <c r="C4376" t="inlineStr">
        <is>
          <t>2018-07</t>
        </is>
      </c>
      <c r="D4376" t="inlineStr">
        <is>
          <t>SP</t>
        </is>
      </c>
      <c r="E4376" t="inlineStr">
        <is>
          <t>stationery</t>
        </is>
      </c>
      <c r="F4376" t="n">
        <v>1</v>
      </c>
      <c r="G4376" t="n">
        <v>299</v>
      </c>
      <c r="H4376" t="n">
        <v>33.14</v>
      </c>
      <c r="I4376" t="inlineStr">
        <is>
          <t>credit_card</t>
        </is>
      </c>
      <c r="J4376" t="n">
        <v>4</v>
      </c>
      <c r="K4376" t="inlineStr">
        <is>
          <t>On Time</t>
        </is>
      </c>
      <c r="L4376" t="n">
        <v>5</v>
      </c>
      <c r="M4376">
        <f>VLOOKUP(D4376,State_Lookup!$A$2:$B$28,2,FALSE)</f>
        <v/>
      </c>
    </row>
    <row r="4377">
      <c r="A4377" t="inlineStr">
        <is>
          <t>cbbf61b366cb1ca7a9f9b954e8f345b5</t>
        </is>
      </c>
      <c r="B4377" t="inlineStr">
        <is>
          <t>2018-07-01</t>
        </is>
      </c>
      <c r="C4377" t="inlineStr">
        <is>
          <t>2018-07</t>
        </is>
      </c>
      <c r="D4377" t="inlineStr">
        <is>
          <t>SP</t>
        </is>
      </c>
      <c r="E4377" t="inlineStr">
        <is>
          <t>auto</t>
        </is>
      </c>
      <c r="F4377" t="n">
        <v>1</v>
      </c>
      <c r="G4377" t="n">
        <v>19.69</v>
      </c>
      <c r="H4377" t="n">
        <v>7.4</v>
      </c>
      <c r="I4377" t="inlineStr">
        <is>
          <t>debit_card</t>
        </is>
      </c>
      <c r="J4377" t="n">
        <v>4</v>
      </c>
      <c r="K4377" t="inlineStr">
        <is>
          <t>On Time</t>
        </is>
      </c>
      <c r="L4377" t="n">
        <v>5</v>
      </c>
      <c r="M4377">
        <f>VLOOKUP(D4377,State_Lookup!$A$2:$B$28,2,FALSE)</f>
        <v/>
      </c>
    </row>
    <row r="4378">
      <c r="A4378" t="inlineStr">
        <is>
          <t>fd3a02bb749359b9e6a4126cd8a50822</t>
        </is>
      </c>
      <c r="B4378" t="inlineStr">
        <is>
          <t>2018-07-01</t>
        </is>
      </c>
      <c r="C4378" t="inlineStr">
        <is>
          <t>2018-07</t>
        </is>
      </c>
      <c r="D4378" t="inlineStr">
        <is>
          <t>MG</t>
        </is>
      </c>
      <c r="E4378" t="inlineStr">
        <is>
          <t>electronics</t>
        </is>
      </c>
      <c r="F4378" t="n">
        <v>1</v>
      </c>
      <c r="G4378" t="n">
        <v>11.97</v>
      </c>
      <c r="H4378" t="n">
        <v>18.23</v>
      </c>
      <c r="I4378" t="inlineStr">
        <is>
          <t>credit_card</t>
        </is>
      </c>
      <c r="J4378" t="n">
        <v>12</v>
      </c>
      <c r="K4378" t="inlineStr">
        <is>
          <t>On Time</t>
        </is>
      </c>
      <c r="L4378" t="n">
        <v>4</v>
      </c>
      <c r="M4378">
        <f>VLOOKUP(D4378,State_Lookup!$A$2:$B$28,2,FALSE)</f>
        <v/>
      </c>
    </row>
    <row r="4379">
      <c r="A4379" t="inlineStr">
        <is>
          <t>a994ff8265aed38e21cb63b2d8402b09</t>
        </is>
      </c>
      <c r="B4379" t="inlineStr">
        <is>
          <t>2018-07-01</t>
        </is>
      </c>
      <c r="C4379" t="inlineStr">
        <is>
          <t>2018-07</t>
        </is>
      </c>
      <c r="D4379" t="inlineStr">
        <is>
          <t>MT</t>
        </is>
      </c>
      <c r="E4379" t="inlineStr">
        <is>
          <t>watches_gifts</t>
        </is>
      </c>
      <c r="F4379" t="n">
        <v>2</v>
      </c>
      <c r="G4379" t="n">
        <v>926</v>
      </c>
      <c r="H4379" t="n">
        <v>65.73999999999999</v>
      </c>
      <c r="I4379" t="inlineStr">
        <is>
          <t>credit_card</t>
        </is>
      </c>
      <c r="J4379" t="n">
        <v>9</v>
      </c>
      <c r="K4379" t="inlineStr">
        <is>
          <t>On Time</t>
        </is>
      </c>
      <c r="L4379" t="n">
        <v>3</v>
      </c>
      <c r="M4379">
        <f>VLOOKUP(D4379,State_Lookup!$A$2:$B$28,2,FALSE)</f>
        <v/>
      </c>
    </row>
    <row r="4380">
      <c r="A4380" t="inlineStr">
        <is>
          <t>644e4fc3f5cdee08df44f2534319fac8</t>
        </is>
      </c>
      <c r="B4380" t="inlineStr">
        <is>
          <t>2018-07-02</t>
        </is>
      </c>
      <c r="C4380" t="inlineStr">
        <is>
          <t>2018-07</t>
        </is>
      </c>
      <c r="D4380" t="inlineStr">
        <is>
          <t>RJ</t>
        </is>
      </c>
      <c r="E4380" t="inlineStr">
        <is>
          <t>furniture_decor</t>
        </is>
      </c>
      <c r="F4380" t="n">
        <v>1</v>
      </c>
      <c r="G4380" t="n">
        <v>179.9</v>
      </c>
      <c r="H4380" t="n">
        <v>102.57</v>
      </c>
      <c r="I4380" t="inlineStr">
        <is>
          <t>credit_card</t>
        </is>
      </c>
      <c r="J4380" t="n">
        <v>9</v>
      </c>
      <c r="K4380" t="inlineStr">
        <is>
          <t>On Time</t>
        </is>
      </c>
      <c r="L4380" t="n">
        <v>5</v>
      </c>
      <c r="M4380">
        <f>VLOOKUP(D4380,State_Lookup!$A$2:$B$28,2,FALSE)</f>
        <v/>
      </c>
    </row>
    <row r="4381">
      <c r="A4381" t="inlineStr">
        <is>
          <t>04b7151492b049661380a47e0449f9b6</t>
        </is>
      </c>
      <c r="B4381" t="inlineStr">
        <is>
          <t>2018-07-02</t>
        </is>
      </c>
      <c r="C4381" t="inlineStr">
        <is>
          <t>2018-07</t>
        </is>
      </c>
      <c r="D4381" t="inlineStr">
        <is>
          <t>PR</t>
        </is>
      </c>
      <c r="E4381" t="inlineStr">
        <is>
          <t>computers_accessories</t>
        </is>
      </c>
      <c r="F4381" t="n">
        <v>1</v>
      </c>
      <c r="G4381" t="n">
        <v>84.90000000000001</v>
      </c>
      <c r="H4381" t="n">
        <v>26.89</v>
      </c>
      <c r="I4381" t="inlineStr">
        <is>
          <t>boleto</t>
        </is>
      </c>
      <c r="J4381" t="n">
        <v>7</v>
      </c>
      <c r="K4381" t="inlineStr">
        <is>
          <t>On Time</t>
        </is>
      </c>
      <c r="L4381" t="n">
        <v>5</v>
      </c>
      <c r="M4381">
        <f>VLOOKUP(D4381,State_Lookup!$A$2:$B$28,2,FALSE)</f>
        <v/>
      </c>
    </row>
    <row r="4382">
      <c r="A4382" t="inlineStr">
        <is>
          <t>988601ceae0e294c4482e8ef89e4bfd7</t>
        </is>
      </c>
      <c r="B4382" t="inlineStr">
        <is>
          <t>2018-07-02</t>
        </is>
      </c>
      <c r="C4382" t="inlineStr">
        <is>
          <t>2018-07</t>
        </is>
      </c>
      <c r="D4382" t="inlineStr">
        <is>
          <t>MG</t>
        </is>
      </c>
      <c r="E4382" t="inlineStr">
        <is>
          <t>garden_tools</t>
        </is>
      </c>
      <c r="F4382" t="n">
        <v>3</v>
      </c>
      <c r="G4382" t="n">
        <v>417</v>
      </c>
      <c r="H4382" t="n">
        <v>88.5</v>
      </c>
      <c r="I4382" t="inlineStr">
        <is>
          <t>credit_card</t>
        </is>
      </c>
      <c r="J4382" t="n">
        <v>4</v>
      </c>
      <c r="K4382" t="inlineStr">
        <is>
          <t>On Time</t>
        </is>
      </c>
      <c r="L4382" t="n">
        <v>5</v>
      </c>
      <c r="M4382">
        <f>VLOOKUP(D4382,State_Lookup!$A$2:$B$28,2,FALSE)</f>
        <v/>
      </c>
    </row>
    <row r="4383">
      <c r="A4383" t="inlineStr">
        <is>
          <t>d08c879188638eda44ea5da9dca68d09</t>
        </is>
      </c>
      <c r="B4383" t="inlineStr">
        <is>
          <t>2018-07-02</t>
        </is>
      </c>
      <c r="C4383" t="inlineStr">
        <is>
          <t>2018-07</t>
        </is>
      </c>
      <c r="D4383" t="inlineStr">
        <is>
          <t>SP</t>
        </is>
      </c>
      <c r="E4383" t="inlineStr">
        <is>
          <t>health_beauty</t>
        </is>
      </c>
      <c r="F4383" t="n">
        <v>1</v>
      </c>
      <c r="G4383" t="n">
        <v>34.9</v>
      </c>
      <c r="H4383" t="n">
        <v>16.43</v>
      </c>
      <c r="I4383" t="inlineStr">
        <is>
          <t>credit_card</t>
        </is>
      </c>
      <c r="J4383" t="n">
        <v>8</v>
      </c>
      <c r="K4383" t="inlineStr">
        <is>
          <t>On Time</t>
        </is>
      </c>
      <c r="L4383" t="n">
        <v>5</v>
      </c>
      <c r="M4383">
        <f>VLOOKUP(D4383,State_Lookup!$A$2:$B$28,2,FALSE)</f>
        <v/>
      </c>
    </row>
    <row r="4384">
      <c r="A4384" t="inlineStr">
        <is>
          <t>181f3a2409fbfd9640a4e017c3b9971f</t>
        </is>
      </c>
      <c r="B4384" t="inlineStr">
        <is>
          <t>2018-07-02</t>
        </is>
      </c>
      <c r="C4384" t="inlineStr">
        <is>
          <t>2018-07</t>
        </is>
      </c>
      <c r="D4384" t="inlineStr">
        <is>
          <t>SP</t>
        </is>
      </c>
      <c r="E4384" t="inlineStr">
        <is>
          <t>auto</t>
        </is>
      </c>
      <c r="F4384" t="n">
        <v>1</v>
      </c>
      <c r="G4384" t="n">
        <v>19.99</v>
      </c>
      <c r="H4384" t="n">
        <v>7.88</v>
      </c>
      <c r="I4384" t="inlineStr">
        <is>
          <t>credit_card</t>
        </is>
      </c>
      <c r="J4384" t="n">
        <v>1</v>
      </c>
      <c r="K4384" t="inlineStr">
        <is>
          <t>On Time</t>
        </is>
      </c>
      <c r="L4384" t="n">
        <v>5</v>
      </c>
      <c r="M4384">
        <f>VLOOKUP(D4384,State_Lookup!$A$2:$B$28,2,FALSE)</f>
        <v/>
      </c>
    </row>
    <row r="4385">
      <c r="A4385" t="inlineStr">
        <is>
          <t>3cc9d3f8dca39fc7c29d082e1197b488</t>
        </is>
      </c>
      <c r="B4385" t="inlineStr">
        <is>
          <t>2018-07-02</t>
        </is>
      </c>
      <c r="C4385" t="inlineStr">
        <is>
          <t>2018-07</t>
        </is>
      </c>
      <c r="D4385" t="inlineStr">
        <is>
          <t>SP</t>
        </is>
      </c>
      <c r="E4385" t="inlineStr">
        <is>
          <t>health_beauty</t>
        </is>
      </c>
      <c r="F4385" t="n">
        <v>1</v>
      </c>
      <c r="G4385" t="n">
        <v>66.98999999999999</v>
      </c>
      <c r="H4385" t="n">
        <v>27.75</v>
      </c>
      <c r="I4385" t="inlineStr">
        <is>
          <t>credit_card</t>
        </is>
      </c>
      <c r="J4385" t="n">
        <v>9</v>
      </c>
      <c r="K4385" t="inlineStr">
        <is>
          <t>On Time</t>
        </is>
      </c>
      <c r="L4385" t="n">
        <v>5</v>
      </c>
      <c r="M4385">
        <f>VLOOKUP(D4385,State_Lookup!$A$2:$B$28,2,FALSE)</f>
        <v/>
      </c>
    </row>
    <row r="4386">
      <c r="A4386" t="inlineStr">
        <is>
          <t>1abd0dfe27b9146f0fe7ac0e4d03fcf5</t>
        </is>
      </c>
      <c r="B4386" t="inlineStr">
        <is>
          <t>2018-07-02</t>
        </is>
      </c>
      <c r="C4386" t="inlineStr">
        <is>
          <t>2018-07</t>
        </is>
      </c>
      <c r="D4386" t="inlineStr">
        <is>
          <t>PR</t>
        </is>
      </c>
      <c r="E4386" t="inlineStr">
        <is>
          <t>small_appliances</t>
        </is>
      </c>
      <c r="F4386" t="n">
        <v>1</v>
      </c>
      <c r="G4386" t="n">
        <v>255</v>
      </c>
      <c r="H4386" t="n">
        <v>16.89</v>
      </c>
      <c r="I4386" t="inlineStr">
        <is>
          <t>credit_card</t>
        </is>
      </c>
      <c r="J4386" t="n">
        <v>7</v>
      </c>
      <c r="K4386" t="inlineStr">
        <is>
          <t>On Time</t>
        </is>
      </c>
      <c r="L4386" t="n">
        <v>5</v>
      </c>
      <c r="M4386">
        <f>VLOOKUP(D4386,State_Lookup!$A$2:$B$28,2,FALSE)</f>
        <v/>
      </c>
    </row>
    <row r="4387">
      <c r="A4387" t="inlineStr">
        <is>
          <t>401de49ffa73d6f2b442357b6c84beab</t>
        </is>
      </c>
      <c r="B4387" t="inlineStr">
        <is>
          <t>2018-07-02</t>
        </is>
      </c>
      <c r="C4387" t="inlineStr">
        <is>
          <t>2018-07</t>
        </is>
      </c>
      <c r="D4387" t="inlineStr">
        <is>
          <t>GO</t>
        </is>
      </c>
      <c r="E4387" t="inlineStr">
        <is>
          <t>health_beauty</t>
        </is>
      </c>
      <c r="F4387" t="n">
        <v>1</v>
      </c>
      <c r="G4387" t="n">
        <v>56.9</v>
      </c>
      <c r="H4387" t="n">
        <v>22.33</v>
      </c>
      <c r="I4387" t="inlineStr">
        <is>
          <t>credit_card</t>
        </is>
      </c>
      <c r="J4387" t="n">
        <v>6</v>
      </c>
      <c r="K4387" t="inlineStr">
        <is>
          <t>On Time</t>
        </is>
      </c>
      <c r="L4387" t="n">
        <v>5</v>
      </c>
      <c r="M4387">
        <f>VLOOKUP(D4387,State_Lookup!$A$2:$B$28,2,FALSE)</f>
        <v/>
      </c>
    </row>
    <row r="4388">
      <c r="A4388" t="inlineStr">
        <is>
          <t>b91ca0418b6f2ae549bb6f356eee80cb</t>
        </is>
      </c>
      <c r="B4388" t="inlineStr">
        <is>
          <t>2018-07-02</t>
        </is>
      </c>
      <c r="C4388" t="inlineStr">
        <is>
          <t>2018-07</t>
        </is>
      </c>
      <c r="D4388" t="inlineStr">
        <is>
          <t>SC</t>
        </is>
      </c>
      <c r="E4388" t="inlineStr">
        <is>
          <t>bed_bath_table</t>
        </is>
      </c>
      <c r="F4388" t="n">
        <v>1</v>
      </c>
      <c r="G4388" t="n">
        <v>43.99</v>
      </c>
      <c r="H4388" t="n">
        <v>19.5</v>
      </c>
      <c r="I4388" t="inlineStr">
        <is>
          <t>credit_card</t>
        </is>
      </c>
      <c r="J4388" t="n">
        <v>9</v>
      </c>
      <c r="K4388" t="inlineStr">
        <is>
          <t>On Time</t>
        </is>
      </c>
      <c r="L4388" t="n">
        <v>3</v>
      </c>
      <c r="M4388">
        <f>VLOOKUP(D4388,State_Lookup!$A$2:$B$28,2,FALSE)</f>
        <v/>
      </c>
    </row>
    <row r="4389">
      <c r="A4389" t="inlineStr">
        <is>
          <t>614e6a3e3a3c1ef48fa89ab1e15da0fb</t>
        </is>
      </c>
      <c r="B4389" t="inlineStr">
        <is>
          <t>2018-07-02</t>
        </is>
      </c>
      <c r="C4389" t="inlineStr">
        <is>
          <t>2018-07</t>
        </is>
      </c>
      <c r="D4389" t="inlineStr">
        <is>
          <t>RS</t>
        </is>
      </c>
      <c r="E4389" t="inlineStr">
        <is>
          <t>bed_bath_table</t>
        </is>
      </c>
      <c r="F4389" t="n">
        <v>2</v>
      </c>
      <c r="G4389" t="n">
        <v>159.8</v>
      </c>
      <c r="H4389" t="n">
        <v>46.72</v>
      </c>
      <c r="I4389" t="inlineStr">
        <is>
          <t>credit_card</t>
        </is>
      </c>
      <c r="J4389" t="n">
        <v>6</v>
      </c>
      <c r="K4389" t="inlineStr">
        <is>
          <t>On Time</t>
        </is>
      </c>
      <c r="L4389" t="n">
        <v>5</v>
      </c>
      <c r="M4389">
        <f>VLOOKUP(D4389,State_Lookup!$A$2:$B$28,2,FALSE)</f>
        <v/>
      </c>
    </row>
    <row r="4390">
      <c r="A4390" t="inlineStr">
        <is>
          <t>9da2b22e3f25c8310d5e5c36084a97ea</t>
        </is>
      </c>
      <c r="B4390" t="inlineStr">
        <is>
          <t>2018-07-02</t>
        </is>
      </c>
      <c r="C4390" t="inlineStr">
        <is>
          <t>2018-07</t>
        </is>
      </c>
      <c r="D4390" t="inlineStr">
        <is>
          <t>SP</t>
        </is>
      </c>
      <c r="E4390" t="inlineStr">
        <is>
          <t>housewares</t>
        </is>
      </c>
      <c r="F4390" t="n">
        <v>1</v>
      </c>
      <c r="G4390" t="n">
        <v>130</v>
      </c>
      <c r="H4390" t="n">
        <v>15.22</v>
      </c>
      <c r="I4390" t="inlineStr">
        <is>
          <t>credit_card</t>
        </is>
      </c>
      <c r="J4390" t="n">
        <v>3</v>
      </c>
      <c r="K4390" t="inlineStr">
        <is>
          <t>On Time</t>
        </is>
      </c>
      <c r="L4390" t="n">
        <v>3</v>
      </c>
      <c r="M4390">
        <f>VLOOKUP(D4390,State_Lookup!$A$2:$B$28,2,FALSE)</f>
        <v/>
      </c>
    </row>
    <row r="4391">
      <c r="A4391" t="inlineStr">
        <is>
          <t>6a83e5c040d9fc9d14c1035925ecee1f</t>
        </is>
      </c>
      <c r="B4391" t="inlineStr">
        <is>
          <t>2018-07-02</t>
        </is>
      </c>
      <c r="C4391" t="inlineStr">
        <is>
          <t>2018-07</t>
        </is>
      </c>
      <c r="D4391" t="inlineStr">
        <is>
          <t>GO</t>
        </is>
      </c>
      <c r="E4391" t="inlineStr">
        <is>
          <t>baby</t>
        </is>
      </c>
      <c r="F4391" t="n">
        <v>1</v>
      </c>
      <c r="G4391" t="n">
        <v>89.90000000000001</v>
      </c>
      <c r="H4391" t="n">
        <v>19.82</v>
      </c>
      <c r="I4391" t="inlineStr">
        <is>
          <t>credit_card</t>
        </is>
      </c>
      <c r="J4391" t="n">
        <v>24</v>
      </c>
      <c r="K4391" t="inlineStr">
        <is>
          <t>Late</t>
        </is>
      </c>
      <c r="L4391" t="n">
        <v>1</v>
      </c>
      <c r="M4391">
        <f>VLOOKUP(D4391,State_Lookup!$A$2:$B$28,2,FALSE)</f>
        <v/>
      </c>
    </row>
    <row r="4392">
      <c r="A4392" t="inlineStr">
        <is>
          <t>65c103df35abbe57462ae508a41fe3a3</t>
        </is>
      </c>
      <c r="B4392" t="inlineStr">
        <is>
          <t>2018-07-03</t>
        </is>
      </c>
      <c r="C4392" t="inlineStr">
        <is>
          <t>2018-07</t>
        </is>
      </c>
      <c r="D4392" t="inlineStr">
        <is>
          <t>SP</t>
        </is>
      </c>
      <c r="E4392" t="inlineStr">
        <is>
          <t>computers_accessories</t>
        </is>
      </c>
      <c r="F4392" t="n">
        <v>1</v>
      </c>
      <c r="G4392" t="n">
        <v>124.89</v>
      </c>
      <c r="H4392" t="n">
        <v>14.21</v>
      </c>
      <c r="I4392" t="inlineStr">
        <is>
          <t>debit_card</t>
        </is>
      </c>
      <c r="J4392" t="n">
        <v>8</v>
      </c>
      <c r="K4392" t="inlineStr">
        <is>
          <t>On Time</t>
        </is>
      </c>
      <c r="L4392" t="n">
        <v>4</v>
      </c>
      <c r="M4392">
        <f>VLOOKUP(D4392,State_Lookup!$A$2:$B$28,2,FALSE)</f>
        <v/>
      </c>
    </row>
    <row r="4393">
      <c r="A4393" t="inlineStr">
        <is>
          <t>95807754346c1a01b8040f29f42f74d7</t>
        </is>
      </c>
      <c r="B4393" t="inlineStr">
        <is>
          <t>2018-07-03</t>
        </is>
      </c>
      <c r="C4393" t="inlineStr">
        <is>
          <t>2018-07</t>
        </is>
      </c>
      <c r="D4393" t="inlineStr">
        <is>
          <t>SC</t>
        </is>
      </c>
      <c r="E4393" t="inlineStr">
        <is>
          <t>baby</t>
        </is>
      </c>
      <c r="F4393" t="n">
        <v>1</v>
      </c>
      <c r="G4393" t="n">
        <v>109.9</v>
      </c>
      <c r="H4393" t="n">
        <v>15.22</v>
      </c>
      <c r="I4393" t="inlineStr">
        <is>
          <t>credit_card</t>
        </is>
      </c>
      <c r="J4393" t="n">
        <v>6</v>
      </c>
      <c r="K4393" t="inlineStr">
        <is>
          <t>On Time</t>
        </is>
      </c>
      <c r="L4393" t="n">
        <v>5</v>
      </c>
      <c r="M4393">
        <f>VLOOKUP(D4393,State_Lookup!$A$2:$B$28,2,FALSE)</f>
        <v/>
      </c>
    </row>
    <row r="4394">
      <c r="A4394" t="inlineStr">
        <is>
          <t>d32e51406daab72e2dceefb08b096e13</t>
        </is>
      </c>
      <c r="B4394" t="inlineStr">
        <is>
          <t>2018-07-03</t>
        </is>
      </c>
      <c r="C4394" t="inlineStr">
        <is>
          <t>2018-07</t>
        </is>
      </c>
      <c r="D4394" t="inlineStr">
        <is>
          <t>MT</t>
        </is>
      </c>
      <c r="E4394" t="inlineStr">
        <is>
          <t>stationery</t>
        </is>
      </c>
      <c r="F4394" t="n">
        <v>1</v>
      </c>
      <c r="G4394" t="n">
        <v>109</v>
      </c>
      <c r="H4394" t="n">
        <v>51.05</v>
      </c>
      <c r="I4394" t="inlineStr">
        <is>
          <t>credit_card</t>
        </is>
      </c>
      <c r="J4394" t="n">
        <v>10</v>
      </c>
      <c r="K4394" t="inlineStr">
        <is>
          <t>On Time</t>
        </is>
      </c>
      <c r="L4394" t="n">
        <v>5</v>
      </c>
      <c r="M4394">
        <f>VLOOKUP(D4394,State_Lookup!$A$2:$B$28,2,FALSE)</f>
        <v/>
      </c>
    </row>
    <row r="4395">
      <c r="A4395" t="inlineStr">
        <is>
          <t>88d55d6258872b31bf45ce51a6675c2b</t>
        </is>
      </c>
      <c r="B4395" t="inlineStr">
        <is>
          <t>2018-07-03</t>
        </is>
      </c>
      <c r="C4395" t="inlineStr">
        <is>
          <t>2018-07</t>
        </is>
      </c>
      <c r="D4395" t="inlineStr">
        <is>
          <t>MG</t>
        </is>
      </c>
      <c r="E4395" t="inlineStr">
        <is>
          <t>watches_gifts</t>
        </is>
      </c>
      <c r="F4395" t="n">
        <v>1</v>
      </c>
      <c r="G4395" t="n">
        <v>149.8</v>
      </c>
      <c r="H4395" t="n">
        <v>19.15</v>
      </c>
      <c r="I4395" t="inlineStr">
        <is>
          <t>credit_card</t>
        </is>
      </c>
      <c r="J4395" t="n">
        <v>6</v>
      </c>
      <c r="K4395" t="inlineStr">
        <is>
          <t>On Time</t>
        </is>
      </c>
      <c r="L4395" t="n">
        <v>5</v>
      </c>
      <c r="M4395">
        <f>VLOOKUP(D4395,State_Lookup!$A$2:$B$28,2,FALSE)</f>
        <v/>
      </c>
    </row>
    <row r="4396">
      <c r="A4396" t="inlineStr">
        <is>
          <t>b5b79bbbc8693953906951dad6a55f07</t>
        </is>
      </c>
      <c r="B4396" t="inlineStr">
        <is>
          <t>2018-07-03</t>
        </is>
      </c>
      <c r="C4396" t="inlineStr">
        <is>
          <t>2018-07</t>
        </is>
      </c>
      <c r="D4396" t="inlineStr">
        <is>
          <t>SC</t>
        </is>
      </c>
      <c r="E4396" t="inlineStr">
        <is>
          <t>sports_leisure</t>
        </is>
      </c>
      <c r="F4396" t="n">
        <v>1</v>
      </c>
      <c r="G4396" t="n">
        <v>109.9</v>
      </c>
      <c r="H4396" t="n">
        <v>18.82</v>
      </c>
      <c r="I4396" t="inlineStr">
        <is>
          <t>boleto</t>
        </is>
      </c>
      <c r="J4396" t="n">
        <v>6</v>
      </c>
      <c r="K4396" t="inlineStr">
        <is>
          <t>On Time</t>
        </is>
      </c>
      <c r="L4396" t="n">
        <v>5</v>
      </c>
      <c r="M4396">
        <f>VLOOKUP(D4396,State_Lookup!$A$2:$B$28,2,FALSE)</f>
        <v/>
      </c>
    </row>
    <row r="4397">
      <c r="A4397" t="inlineStr">
        <is>
          <t>b3c2fc7374cd5dbb27c84f1a0315594d</t>
        </is>
      </c>
      <c r="B4397" t="inlineStr">
        <is>
          <t>2018-07-03</t>
        </is>
      </c>
      <c r="C4397" t="inlineStr">
        <is>
          <t>2018-07</t>
        </is>
      </c>
      <c r="D4397" t="inlineStr">
        <is>
          <t>RS</t>
        </is>
      </c>
      <c r="E4397" t="inlineStr">
        <is>
          <t>bed_bath_table</t>
        </is>
      </c>
      <c r="F4397" t="n">
        <v>1</v>
      </c>
      <c r="G4397" t="n">
        <v>79</v>
      </c>
      <c r="H4397" t="n">
        <v>23.35</v>
      </c>
      <c r="I4397" t="inlineStr">
        <is>
          <t>credit_card</t>
        </is>
      </c>
      <c r="J4397" t="n">
        <v>6</v>
      </c>
      <c r="K4397" t="inlineStr">
        <is>
          <t>On Time</t>
        </is>
      </c>
      <c r="L4397" t="n">
        <v>5</v>
      </c>
      <c r="M4397">
        <f>VLOOKUP(D4397,State_Lookup!$A$2:$B$28,2,FALSE)</f>
        <v/>
      </c>
    </row>
    <row r="4398">
      <c r="A4398" t="inlineStr">
        <is>
          <t>b8a33fa5ef27e365f04703b899401762</t>
        </is>
      </c>
      <c r="B4398" t="inlineStr">
        <is>
          <t>2018-07-03</t>
        </is>
      </c>
      <c r="C4398" t="inlineStr">
        <is>
          <t>2018-07</t>
        </is>
      </c>
      <c r="D4398" t="inlineStr">
        <is>
          <t>RS</t>
        </is>
      </c>
      <c r="E4398" t="inlineStr">
        <is>
          <t>toys</t>
        </is>
      </c>
      <c r="F4398" t="n">
        <v>1</v>
      </c>
      <c r="G4398" t="n">
        <v>87.90000000000001</v>
      </c>
      <c r="H4398" t="n">
        <v>23.42</v>
      </c>
      <c r="I4398" t="inlineStr">
        <is>
          <t>credit_card</t>
        </is>
      </c>
      <c r="J4398" t="n">
        <v>10</v>
      </c>
      <c r="K4398" t="inlineStr">
        <is>
          <t>On Time</t>
        </is>
      </c>
      <c r="L4398" t="n">
        <v>4</v>
      </c>
      <c r="M4398">
        <f>VLOOKUP(D4398,State_Lookup!$A$2:$B$28,2,FALSE)</f>
        <v/>
      </c>
    </row>
    <row r="4399">
      <c r="A4399" t="inlineStr">
        <is>
          <t>6672ea757b340c6ebd644244a2c982ae</t>
        </is>
      </c>
      <c r="B4399" t="inlineStr">
        <is>
          <t>2018-07-03</t>
        </is>
      </c>
      <c r="C4399" t="inlineStr">
        <is>
          <t>2018-07</t>
        </is>
      </c>
      <c r="D4399" t="inlineStr">
        <is>
          <t>SP</t>
        </is>
      </c>
      <c r="E4399" t="inlineStr">
        <is>
          <t>fashion_bags_accessories</t>
        </is>
      </c>
      <c r="F4399" t="n">
        <v>1</v>
      </c>
      <c r="G4399" t="n">
        <v>49</v>
      </c>
      <c r="H4399" t="n">
        <v>7.6</v>
      </c>
      <c r="I4399" t="inlineStr">
        <is>
          <t>boleto</t>
        </is>
      </c>
      <c r="J4399" t="n">
        <v>2</v>
      </c>
      <c r="K4399" t="inlineStr">
        <is>
          <t>On Time</t>
        </is>
      </c>
      <c r="L4399" t="n">
        <v>4</v>
      </c>
      <c r="M4399">
        <f>VLOOKUP(D4399,State_Lookup!$A$2:$B$28,2,FALSE)</f>
        <v/>
      </c>
    </row>
    <row r="4400">
      <c r="A4400" t="inlineStr">
        <is>
          <t>4d513811c3447933c3472defe4992141</t>
        </is>
      </c>
      <c r="B4400" t="inlineStr">
        <is>
          <t>2018-07-03</t>
        </is>
      </c>
      <c r="C4400" t="inlineStr">
        <is>
          <t>2018-07</t>
        </is>
      </c>
      <c r="D4400" t="inlineStr">
        <is>
          <t>SP</t>
        </is>
      </c>
      <c r="E4400" t="inlineStr">
        <is>
          <t>health_beauty</t>
        </is>
      </c>
      <c r="F4400" t="n">
        <v>1</v>
      </c>
      <c r="G4400" t="n">
        <v>227.17</v>
      </c>
      <c r="H4400" t="n">
        <v>10.34</v>
      </c>
      <c r="I4400" t="inlineStr">
        <is>
          <t>credit_card</t>
        </is>
      </c>
      <c r="J4400" t="n">
        <v>8</v>
      </c>
      <c r="K4400" t="inlineStr">
        <is>
          <t>On Time</t>
        </is>
      </c>
      <c r="L4400" t="n">
        <v>5</v>
      </c>
      <c r="M4400">
        <f>VLOOKUP(D4400,State_Lookup!$A$2:$B$28,2,FALSE)</f>
        <v/>
      </c>
    </row>
    <row r="4401">
      <c r="A4401" t="inlineStr">
        <is>
          <t>af79819a5f90540c8d9a0eb9a4ed589c</t>
        </is>
      </c>
      <c r="B4401" t="inlineStr">
        <is>
          <t>2018-07-03</t>
        </is>
      </c>
      <c r="C4401" t="inlineStr">
        <is>
          <t>2018-07</t>
        </is>
      </c>
      <c r="D4401" t="inlineStr">
        <is>
          <t>SC</t>
        </is>
      </c>
      <c r="E4401" t="inlineStr">
        <is>
          <t>costruction_tools_garden</t>
        </is>
      </c>
      <c r="F4401" t="n">
        <v>1</v>
      </c>
      <c r="G4401" t="n">
        <v>16.4</v>
      </c>
      <c r="H4401" t="n">
        <v>18.23</v>
      </c>
      <c r="I4401" t="inlineStr">
        <is>
          <t>boleto</t>
        </is>
      </c>
      <c r="J4401" t="n">
        <v>6</v>
      </c>
      <c r="K4401" t="inlineStr">
        <is>
          <t>On Time</t>
        </is>
      </c>
      <c r="L4401" t="n">
        <v>5</v>
      </c>
      <c r="M4401">
        <f>VLOOKUP(D4401,State_Lookup!$A$2:$B$28,2,FALSE)</f>
        <v/>
      </c>
    </row>
    <row r="4402">
      <c r="A4402" t="inlineStr">
        <is>
          <t>f15eda4eee582fbfebc330748f24e208</t>
        </is>
      </c>
      <c r="B4402" t="inlineStr">
        <is>
          <t>2018-07-04</t>
        </is>
      </c>
      <c r="C4402" t="inlineStr">
        <is>
          <t>2018-07</t>
        </is>
      </c>
      <c r="D4402" t="inlineStr">
        <is>
          <t>RS</t>
        </is>
      </c>
      <c r="E4402" t="inlineStr">
        <is>
          <t>telephony</t>
        </is>
      </c>
      <c r="F4402" t="n">
        <v>2</v>
      </c>
      <c r="G4402" t="n">
        <v>123.99</v>
      </c>
      <c r="H4402" t="n">
        <v>37.07</v>
      </c>
      <c r="I4402" t="inlineStr">
        <is>
          <t>boleto</t>
        </is>
      </c>
      <c r="J4402" t="n">
        <v>8</v>
      </c>
      <c r="K4402" t="inlineStr">
        <is>
          <t>On Time</t>
        </is>
      </c>
      <c r="L4402" t="n">
        <v>1</v>
      </c>
      <c r="M4402">
        <f>VLOOKUP(D4402,State_Lookup!$A$2:$B$28,2,FALSE)</f>
        <v/>
      </c>
    </row>
    <row r="4403">
      <c r="A4403" t="inlineStr">
        <is>
          <t>b090db406a3c2b8c132d12115b575fa8</t>
        </is>
      </c>
      <c r="B4403" t="inlineStr">
        <is>
          <t>2018-07-04</t>
        </is>
      </c>
      <c r="C4403" t="inlineStr">
        <is>
          <t>2018-07</t>
        </is>
      </c>
      <c r="D4403" t="inlineStr">
        <is>
          <t>SP</t>
        </is>
      </c>
      <c r="E4403" t="inlineStr">
        <is>
          <t>bed_bath_table</t>
        </is>
      </c>
      <c r="F4403" t="n">
        <v>1</v>
      </c>
      <c r="G4403" t="n">
        <v>219.9</v>
      </c>
      <c r="H4403" t="n">
        <v>18.67</v>
      </c>
      <c r="I4403" t="inlineStr">
        <is>
          <t>credit_card</t>
        </is>
      </c>
      <c r="J4403" t="n">
        <v>6</v>
      </c>
      <c r="K4403" t="inlineStr">
        <is>
          <t>On Time</t>
        </is>
      </c>
      <c r="L4403" t="n">
        <v>4</v>
      </c>
      <c r="M4403">
        <f>VLOOKUP(D4403,State_Lookup!$A$2:$B$28,2,FALSE)</f>
        <v/>
      </c>
    </row>
    <row r="4404">
      <c r="A4404" t="inlineStr">
        <is>
          <t>000576fe39319847cbb9d288c5617fa6</t>
        </is>
      </c>
      <c r="B4404" t="inlineStr">
        <is>
          <t>2018-07-04</t>
        </is>
      </c>
      <c r="C4404" t="inlineStr">
        <is>
          <t>2018-07</t>
        </is>
      </c>
      <c r="D4404" t="inlineStr">
        <is>
          <t>SP</t>
        </is>
      </c>
      <c r="E4404" t="inlineStr">
        <is>
          <t>garden_tools</t>
        </is>
      </c>
      <c r="F4404" t="n">
        <v>1</v>
      </c>
      <c r="G4404" t="n">
        <v>810</v>
      </c>
      <c r="H4404" t="n">
        <v>70.75</v>
      </c>
      <c r="I4404" t="inlineStr">
        <is>
          <t>credit_card</t>
        </is>
      </c>
      <c r="J4404" t="n">
        <v>5</v>
      </c>
      <c r="K4404" t="inlineStr">
        <is>
          <t>On Time</t>
        </is>
      </c>
      <c r="L4404" t="n">
        <v>5</v>
      </c>
      <c r="M4404">
        <f>VLOOKUP(D4404,State_Lookup!$A$2:$B$28,2,FALSE)</f>
        <v/>
      </c>
    </row>
    <row r="4405">
      <c r="A4405" t="inlineStr">
        <is>
          <t>159da9914b51de617fe80162939965c5</t>
        </is>
      </c>
      <c r="B4405" t="inlineStr">
        <is>
          <t>2018-07-04</t>
        </is>
      </c>
      <c r="C4405" t="inlineStr">
        <is>
          <t>2018-07</t>
        </is>
      </c>
      <c r="D4405" t="inlineStr">
        <is>
          <t>SP</t>
        </is>
      </c>
      <c r="E4405" t="inlineStr">
        <is>
          <t>auto</t>
        </is>
      </c>
      <c r="F4405" t="n">
        <v>1</v>
      </c>
      <c r="G4405" t="n">
        <v>27.9</v>
      </c>
      <c r="H4405" t="n">
        <v>12.86</v>
      </c>
      <c r="I4405" t="inlineStr">
        <is>
          <t>debit_card</t>
        </is>
      </c>
      <c r="J4405" t="n">
        <v>8</v>
      </c>
      <c r="K4405" t="inlineStr">
        <is>
          <t>On Time</t>
        </is>
      </c>
      <c r="L4405" t="n">
        <v>5</v>
      </c>
      <c r="M4405">
        <f>VLOOKUP(D4405,State_Lookup!$A$2:$B$28,2,FALSE)</f>
        <v/>
      </c>
    </row>
    <row r="4406">
      <c r="A4406" t="inlineStr">
        <is>
          <t>51ee9ef5d831b5f76f97d2819e7f94a9</t>
        </is>
      </c>
      <c r="B4406" t="inlineStr">
        <is>
          <t>2018-07-04</t>
        </is>
      </c>
      <c r="C4406" t="inlineStr">
        <is>
          <t>2018-07</t>
        </is>
      </c>
      <c r="D4406" t="inlineStr">
        <is>
          <t>SP</t>
        </is>
      </c>
      <c r="E4406" t="inlineStr">
        <is>
          <t>furniture_decor</t>
        </is>
      </c>
      <c r="F4406" t="n">
        <v>1</v>
      </c>
      <c r="G4406" t="n">
        <v>75.90000000000001</v>
      </c>
      <c r="H4406" t="n">
        <v>13.87</v>
      </c>
      <c r="I4406" t="inlineStr">
        <is>
          <t>credit_card</t>
        </is>
      </c>
      <c r="J4406" t="n">
        <v>4</v>
      </c>
      <c r="K4406" t="inlineStr">
        <is>
          <t>On Time</t>
        </is>
      </c>
      <c r="L4406" t="n">
        <v>5</v>
      </c>
      <c r="M4406">
        <f>VLOOKUP(D4406,State_Lookup!$A$2:$B$28,2,FALSE)</f>
        <v/>
      </c>
    </row>
    <row r="4407">
      <c r="A4407" t="inlineStr">
        <is>
          <t>c9e7721790d06c21ff6fcd2dee7a2f73</t>
        </is>
      </c>
      <c r="B4407" t="inlineStr">
        <is>
          <t>2018-07-04</t>
        </is>
      </c>
      <c r="C4407" t="inlineStr">
        <is>
          <t>2018-07</t>
        </is>
      </c>
      <c r="D4407" t="inlineStr">
        <is>
          <t>SP</t>
        </is>
      </c>
      <c r="E4407" t="inlineStr">
        <is>
          <t>cine_photo</t>
        </is>
      </c>
      <c r="F4407" t="n">
        <v>1</v>
      </c>
      <c r="G4407" t="n">
        <v>112.9</v>
      </c>
      <c r="H4407" t="n">
        <v>8.050000000000001</v>
      </c>
      <c r="I4407" t="inlineStr">
        <is>
          <t>credit_card</t>
        </is>
      </c>
      <c r="J4407" t="n">
        <v>1</v>
      </c>
      <c r="K4407" t="inlineStr">
        <is>
          <t>On Time</t>
        </is>
      </c>
      <c r="L4407" t="n">
        <v>5</v>
      </c>
      <c r="M4407">
        <f>VLOOKUP(D4407,State_Lookup!$A$2:$B$28,2,FALSE)</f>
        <v/>
      </c>
    </row>
    <row r="4408">
      <c r="A4408" t="inlineStr">
        <is>
          <t>7889e9a569a5488a0c9d93381a13d5ba</t>
        </is>
      </c>
      <c r="B4408" t="inlineStr">
        <is>
          <t>2018-07-04</t>
        </is>
      </c>
      <c r="C4408" t="inlineStr">
        <is>
          <t>2018-07</t>
        </is>
      </c>
      <c r="D4408" t="inlineStr">
        <is>
          <t>SP</t>
        </is>
      </c>
      <c r="E4408" t="inlineStr">
        <is>
          <t>watches_gifts</t>
        </is>
      </c>
      <c r="F4408" t="n">
        <v>1</v>
      </c>
      <c r="G4408" t="n">
        <v>175.99</v>
      </c>
      <c r="H4408" t="n">
        <v>20.42</v>
      </c>
      <c r="I4408" t="inlineStr">
        <is>
          <t>credit_card</t>
        </is>
      </c>
      <c r="J4408" t="n">
        <v>6</v>
      </c>
      <c r="K4408" t="inlineStr">
        <is>
          <t>On Time</t>
        </is>
      </c>
      <c r="L4408" t="n">
        <v>1</v>
      </c>
      <c r="M4408">
        <f>VLOOKUP(D4408,State_Lookup!$A$2:$B$28,2,FALSE)</f>
        <v/>
      </c>
    </row>
    <row r="4409">
      <c r="A4409" t="inlineStr">
        <is>
          <t>c2320c404179d2b8805c42b8b8de9668</t>
        </is>
      </c>
      <c r="B4409" t="inlineStr">
        <is>
          <t>2018-07-04</t>
        </is>
      </c>
      <c r="C4409" t="inlineStr">
        <is>
          <t>2018-07</t>
        </is>
      </c>
      <c r="D4409" t="inlineStr">
        <is>
          <t>SP</t>
        </is>
      </c>
      <c r="E4409" t="inlineStr">
        <is>
          <t>unknown</t>
        </is>
      </c>
      <c r="F4409" t="n">
        <v>2</v>
      </c>
      <c r="G4409" t="n">
        <v>315.8</v>
      </c>
      <c r="H4409" t="n">
        <v>56.38</v>
      </c>
      <c r="I4409" t="inlineStr">
        <is>
          <t>credit_card</t>
        </is>
      </c>
      <c r="J4409" t="n">
        <v>6</v>
      </c>
      <c r="K4409" t="inlineStr">
        <is>
          <t>On Time</t>
        </is>
      </c>
      <c r="L4409" t="n">
        <v>5</v>
      </c>
      <c r="M4409">
        <f>VLOOKUP(D4409,State_Lookup!$A$2:$B$28,2,FALSE)</f>
        <v/>
      </c>
    </row>
    <row r="4410">
      <c r="A4410" t="inlineStr">
        <is>
          <t>15dd36b746e48dfec9824dcebef22b7f</t>
        </is>
      </c>
      <c r="B4410" t="inlineStr">
        <is>
          <t>2018-07-04</t>
        </is>
      </c>
      <c r="C4410" t="inlineStr">
        <is>
          <t>2018-07</t>
        </is>
      </c>
      <c r="D4410" t="inlineStr">
        <is>
          <t>RJ</t>
        </is>
      </c>
      <c r="E4410" t="inlineStr">
        <is>
          <t>home_appliances</t>
        </is>
      </c>
      <c r="F4410" t="n">
        <v>1</v>
      </c>
      <c r="G4410" t="n">
        <v>26.19</v>
      </c>
      <c r="H4410" t="n">
        <v>18.28</v>
      </c>
      <c r="I4410" t="inlineStr">
        <is>
          <t>credit_card</t>
        </is>
      </c>
      <c r="J4410" t="n">
        <v>6</v>
      </c>
      <c r="K4410" t="inlineStr">
        <is>
          <t>On Time</t>
        </is>
      </c>
      <c r="L4410" t="n">
        <v>3</v>
      </c>
      <c r="M4410">
        <f>VLOOKUP(D4410,State_Lookup!$A$2:$B$28,2,FALSE)</f>
        <v/>
      </c>
    </row>
    <row r="4411">
      <c r="A4411" t="inlineStr">
        <is>
          <t>994572d6e67b97ce9c9ceb7cc0f6445f</t>
        </is>
      </c>
      <c r="B4411" t="inlineStr">
        <is>
          <t>2018-07-04</t>
        </is>
      </c>
      <c r="C4411" t="inlineStr">
        <is>
          <t>2018-07</t>
        </is>
      </c>
      <c r="D4411" t="inlineStr">
        <is>
          <t>RS</t>
        </is>
      </c>
      <c r="E4411" t="inlineStr">
        <is>
          <t>fashion_bags_accessories</t>
        </is>
      </c>
      <c r="F4411" t="n">
        <v>1</v>
      </c>
      <c r="G4411" t="n">
        <v>29.99</v>
      </c>
      <c r="H4411" t="n">
        <v>7.79</v>
      </c>
      <c r="I4411" t="inlineStr">
        <is>
          <t>boleto</t>
        </is>
      </c>
      <c r="J4411" t="n">
        <v>2</v>
      </c>
      <c r="K4411" t="inlineStr">
        <is>
          <t>On Time</t>
        </is>
      </c>
      <c r="L4411" t="n">
        <v>5</v>
      </c>
      <c r="M4411">
        <f>VLOOKUP(D4411,State_Lookup!$A$2:$B$28,2,FALSE)</f>
        <v/>
      </c>
    </row>
    <row r="4412">
      <c r="A4412" t="inlineStr">
        <is>
          <t>8ad43a57bb88d52531c6facae014a8ae</t>
        </is>
      </c>
      <c r="B4412" t="inlineStr">
        <is>
          <t>2018-07-04</t>
        </is>
      </c>
      <c r="C4412" t="inlineStr">
        <is>
          <t>2018-07</t>
        </is>
      </c>
      <c r="D4412" t="inlineStr">
        <is>
          <t>MG</t>
        </is>
      </c>
      <c r="E4412" t="inlineStr">
        <is>
          <t>fashion_bags_accessories</t>
        </is>
      </c>
      <c r="F4412" t="n">
        <v>1</v>
      </c>
      <c r="G4412" t="n">
        <v>96.8</v>
      </c>
      <c r="H4412" t="n">
        <v>14.98</v>
      </c>
      <c r="I4412" t="inlineStr">
        <is>
          <t>credit_card</t>
        </is>
      </c>
      <c r="J4412" t="n">
        <v>6</v>
      </c>
      <c r="K4412" t="inlineStr">
        <is>
          <t>On Time</t>
        </is>
      </c>
      <c r="L4412" t="n">
        <v>4</v>
      </c>
      <c r="M4412">
        <f>VLOOKUP(D4412,State_Lookup!$A$2:$B$28,2,FALSE)</f>
        <v/>
      </c>
    </row>
    <row r="4413">
      <c r="A4413" t="inlineStr">
        <is>
          <t>aea67f89b3841f780d8eed0beabd3398</t>
        </is>
      </c>
      <c r="B4413" t="inlineStr">
        <is>
          <t>2018-07-05</t>
        </is>
      </c>
      <c r="C4413" t="inlineStr">
        <is>
          <t>2018-07</t>
        </is>
      </c>
      <c r="D4413" t="inlineStr">
        <is>
          <t>SP</t>
        </is>
      </c>
      <c r="E4413" t="inlineStr">
        <is>
          <t>telephony</t>
        </is>
      </c>
      <c r="F4413" t="n">
        <v>1</v>
      </c>
      <c r="G4413" t="n">
        <v>44.9</v>
      </c>
      <c r="H4413" t="n">
        <v>7.57</v>
      </c>
      <c r="I4413" t="inlineStr">
        <is>
          <t>credit_card</t>
        </is>
      </c>
      <c r="J4413" t="n">
        <v>4</v>
      </c>
      <c r="K4413" t="inlineStr">
        <is>
          <t>On Time</t>
        </is>
      </c>
      <c r="L4413" t="n">
        <v>1</v>
      </c>
      <c r="M4413">
        <f>VLOOKUP(D4413,State_Lookup!$A$2:$B$28,2,FALSE)</f>
        <v/>
      </c>
    </row>
    <row r="4414">
      <c r="A4414" t="inlineStr">
        <is>
          <t>7da29e735c26d64e18e421e8eadf2f1b</t>
        </is>
      </c>
      <c r="B4414" t="inlineStr">
        <is>
          <t>2018-07-05</t>
        </is>
      </c>
      <c r="C4414" t="inlineStr">
        <is>
          <t>2018-07</t>
        </is>
      </c>
      <c r="D4414" t="inlineStr">
        <is>
          <t>SP</t>
        </is>
      </c>
      <c r="E4414" t="inlineStr">
        <is>
          <t>bed_bath_table</t>
        </is>
      </c>
      <c r="F4414" t="n">
        <v>1</v>
      </c>
      <c r="G4414" t="n">
        <v>89</v>
      </c>
      <c r="H4414" t="n">
        <v>8.359999999999999</v>
      </c>
      <c r="I4414" t="inlineStr">
        <is>
          <t>credit_card</t>
        </is>
      </c>
      <c r="J4414" t="n">
        <v>6</v>
      </c>
      <c r="K4414" t="inlineStr">
        <is>
          <t>On Time</t>
        </is>
      </c>
      <c r="L4414" t="n">
        <v>5</v>
      </c>
      <c r="M4414">
        <f>VLOOKUP(D4414,State_Lookup!$A$2:$B$28,2,FALSE)</f>
        <v/>
      </c>
    </row>
    <row r="4415">
      <c r="A4415" t="inlineStr">
        <is>
          <t>7a8f0c1255003a0de7fd484dbab75fdb</t>
        </is>
      </c>
      <c r="B4415" t="inlineStr">
        <is>
          <t>2018-07-05</t>
        </is>
      </c>
      <c r="C4415" t="inlineStr">
        <is>
          <t>2018-07</t>
        </is>
      </c>
      <c r="D4415" t="inlineStr">
        <is>
          <t>RJ</t>
        </is>
      </c>
      <c r="E4415" t="inlineStr">
        <is>
          <t>health_beauty</t>
        </is>
      </c>
      <c r="F4415" t="n">
        <v>1</v>
      </c>
      <c r="G4415" t="n">
        <v>122.99</v>
      </c>
      <c r="H4415" t="n">
        <v>30.11</v>
      </c>
      <c r="I4415" t="inlineStr">
        <is>
          <t>boleto</t>
        </is>
      </c>
      <c r="J4415" t="n">
        <v>18</v>
      </c>
      <c r="K4415" t="inlineStr">
        <is>
          <t>On Time</t>
        </is>
      </c>
      <c r="L4415" t="n">
        <v>5</v>
      </c>
      <c r="M4415">
        <f>VLOOKUP(D4415,State_Lookup!$A$2:$B$28,2,FALSE)</f>
        <v/>
      </c>
    </row>
    <row r="4416">
      <c r="A4416" t="inlineStr">
        <is>
          <t>75e6eea3103ed05319ebfb5947e94b02</t>
        </is>
      </c>
      <c r="B4416" t="inlineStr">
        <is>
          <t>2018-07-05</t>
        </is>
      </c>
      <c r="C4416" t="inlineStr">
        <is>
          <t>2018-07</t>
        </is>
      </c>
      <c r="D4416" t="inlineStr">
        <is>
          <t>PE</t>
        </is>
      </c>
      <c r="E4416" t="inlineStr">
        <is>
          <t>electronics</t>
        </is>
      </c>
      <c r="F4416" t="n">
        <v>1</v>
      </c>
      <c r="G4416" t="n">
        <v>13.65</v>
      </c>
      <c r="H4416" t="n">
        <v>19.04</v>
      </c>
      <c r="I4416" t="inlineStr">
        <is>
          <t>credit_card</t>
        </is>
      </c>
      <c r="J4416" t="n">
        <v>22</v>
      </c>
      <c r="K4416" t="inlineStr">
        <is>
          <t>On Time</t>
        </is>
      </c>
      <c r="L4416" t="n">
        <v>4</v>
      </c>
      <c r="M4416">
        <f>VLOOKUP(D4416,State_Lookup!$A$2:$B$28,2,FALSE)</f>
        <v/>
      </c>
    </row>
    <row r="4417">
      <c r="A4417" t="inlineStr">
        <is>
          <t>87bad102fdebff40d7f35773874f5c5d</t>
        </is>
      </c>
      <c r="B4417" t="inlineStr">
        <is>
          <t>2018-07-05</t>
        </is>
      </c>
      <c r="C4417" t="inlineStr">
        <is>
          <t>2018-07</t>
        </is>
      </c>
      <c r="D4417" t="inlineStr">
        <is>
          <t>RJ</t>
        </is>
      </c>
      <c r="E4417" t="inlineStr">
        <is>
          <t>baby</t>
        </is>
      </c>
      <c r="F4417" t="n">
        <v>1</v>
      </c>
      <c r="G4417" t="n">
        <v>39.99</v>
      </c>
      <c r="H4417" t="n">
        <v>18.38</v>
      </c>
      <c r="I4417" t="inlineStr">
        <is>
          <t>credit_card</t>
        </is>
      </c>
      <c r="J4417" t="n">
        <v>29</v>
      </c>
      <c r="K4417" t="inlineStr">
        <is>
          <t>Late</t>
        </is>
      </c>
      <c r="L4417" t="n">
        <v>1</v>
      </c>
      <c r="M4417">
        <f>VLOOKUP(D4417,State_Lookup!$A$2:$B$28,2,FALSE)</f>
        <v/>
      </c>
    </row>
    <row r="4418">
      <c r="A4418" t="inlineStr">
        <is>
          <t>a56a7f475df6154f6e6ad0311578f697</t>
        </is>
      </c>
      <c r="B4418" t="inlineStr">
        <is>
          <t>2018-07-05</t>
        </is>
      </c>
      <c r="C4418" t="inlineStr">
        <is>
          <t>2018-07</t>
        </is>
      </c>
      <c r="D4418" t="inlineStr">
        <is>
          <t>MG</t>
        </is>
      </c>
      <c r="E4418" t="inlineStr">
        <is>
          <t>toys</t>
        </is>
      </c>
      <c r="F4418" t="n">
        <v>1</v>
      </c>
      <c r="G4418" t="n">
        <v>69.90000000000001</v>
      </c>
      <c r="H4418" t="n">
        <v>27.44</v>
      </c>
      <c r="I4418" t="inlineStr">
        <is>
          <t>boleto</t>
        </is>
      </c>
      <c r="J4418" t="n">
        <v>6</v>
      </c>
      <c r="K4418" t="inlineStr">
        <is>
          <t>On Time</t>
        </is>
      </c>
      <c r="L4418" t="n">
        <v>5</v>
      </c>
      <c r="M4418">
        <f>VLOOKUP(D4418,State_Lookup!$A$2:$B$28,2,FALSE)</f>
        <v/>
      </c>
    </row>
    <row r="4419">
      <c r="A4419" t="inlineStr">
        <is>
          <t>ec6fe04836bc8811fedf31b14bd8b549</t>
        </is>
      </c>
      <c r="B4419" t="inlineStr">
        <is>
          <t>2018-07-05</t>
        </is>
      </c>
      <c r="C4419" t="inlineStr">
        <is>
          <t>2018-07</t>
        </is>
      </c>
      <c r="D4419" t="inlineStr">
        <is>
          <t>GO</t>
        </is>
      </c>
      <c r="E4419" t="inlineStr">
        <is>
          <t>health_beauty</t>
        </is>
      </c>
      <c r="F4419" t="n">
        <v>1</v>
      </c>
      <c r="G4419" t="n">
        <v>130</v>
      </c>
      <c r="H4419" t="n">
        <v>17.84</v>
      </c>
      <c r="I4419" t="inlineStr">
        <is>
          <t>credit_card</t>
        </is>
      </c>
      <c r="J4419" t="n">
        <v>7</v>
      </c>
      <c r="K4419" t="inlineStr">
        <is>
          <t>On Time</t>
        </is>
      </c>
      <c r="L4419" t="n">
        <v>5</v>
      </c>
      <c r="M4419">
        <f>VLOOKUP(D4419,State_Lookup!$A$2:$B$28,2,FALSE)</f>
        <v/>
      </c>
    </row>
    <row r="4420">
      <c r="A4420" t="inlineStr">
        <is>
          <t>020f04b3da1d597b9a00b825762299ba</t>
        </is>
      </c>
      <c r="B4420" t="inlineStr">
        <is>
          <t>2018-07-05</t>
        </is>
      </c>
      <c r="C4420" t="inlineStr">
        <is>
          <t>2018-07</t>
        </is>
      </c>
      <c r="D4420" t="inlineStr">
        <is>
          <t>SP</t>
        </is>
      </c>
      <c r="E4420" t="inlineStr">
        <is>
          <t>toys</t>
        </is>
      </c>
      <c r="F4420" t="n">
        <v>1</v>
      </c>
      <c r="G4420" t="n">
        <v>125</v>
      </c>
      <c r="H4420" t="n">
        <v>18.98</v>
      </c>
      <c r="I4420" t="inlineStr">
        <is>
          <t>credit_card</t>
        </is>
      </c>
      <c r="J4420" t="n">
        <v>8</v>
      </c>
      <c r="K4420" t="inlineStr">
        <is>
          <t>On Time</t>
        </is>
      </c>
      <c r="L4420" t="n">
        <v>5</v>
      </c>
      <c r="M4420">
        <f>VLOOKUP(D4420,State_Lookup!$A$2:$B$28,2,FALSE)</f>
        <v/>
      </c>
    </row>
    <row r="4421">
      <c r="A4421" t="inlineStr">
        <is>
          <t>c0ebb2411df290b3d4e15a8409f419b2</t>
        </is>
      </c>
      <c r="B4421" t="inlineStr">
        <is>
          <t>2018-07-05</t>
        </is>
      </c>
      <c r="C4421" t="inlineStr">
        <is>
          <t>2018-07</t>
        </is>
      </c>
      <c r="D4421" t="inlineStr">
        <is>
          <t>SP</t>
        </is>
      </c>
      <c r="E4421" t="inlineStr">
        <is>
          <t>computers_accessories</t>
        </is>
      </c>
      <c r="F4421" t="n">
        <v>1</v>
      </c>
      <c r="G4421" t="n">
        <v>149.9</v>
      </c>
      <c r="H4421" t="n">
        <v>25.4</v>
      </c>
      <c r="I4421" t="inlineStr">
        <is>
          <t>credit_card</t>
        </is>
      </c>
      <c r="J4421" t="n">
        <v>8</v>
      </c>
      <c r="K4421" t="inlineStr">
        <is>
          <t>On Time</t>
        </is>
      </c>
      <c r="L4421" t="n">
        <v>5</v>
      </c>
      <c r="M4421">
        <f>VLOOKUP(D4421,State_Lookup!$A$2:$B$28,2,FALSE)</f>
        <v/>
      </c>
    </row>
    <row r="4422">
      <c r="A4422" t="inlineStr">
        <is>
          <t>c22f4f00d48f26a217d8f07c7653b588</t>
        </is>
      </c>
      <c r="B4422" t="inlineStr">
        <is>
          <t>2018-07-05</t>
        </is>
      </c>
      <c r="C4422" t="inlineStr">
        <is>
          <t>2018-07</t>
        </is>
      </c>
      <c r="D4422" t="inlineStr">
        <is>
          <t>DF</t>
        </is>
      </c>
      <c r="E4422" t="inlineStr">
        <is>
          <t>bed_bath_table</t>
        </is>
      </c>
      <c r="F4422" t="n">
        <v>1</v>
      </c>
      <c r="G4422" t="n">
        <v>114.9</v>
      </c>
      <c r="H4422" t="n">
        <v>23.6</v>
      </c>
      <c r="I4422" t="inlineStr">
        <is>
          <t>credit_card</t>
        </is>
      </c>
      <c r="J4422" t="n">
        <v>5</v>
      </c>
      <c r="K4422" t="inlineStr">
        <is>
          <t>On Time</t>
        </is>
      </c>
      <c r="L4422" t="n">
        <v>4</v>
      </c>
      <c r="M4422">
        <f>VLOOKUP(D4422,State_Lookup!$A$2:$B$28,2,FALSE)</f>
        <v/>
      </c>
    </row>
    <row r="4423">
      <c r="A4423" t="inlineStr">
        <is>
          <t>fd5bd3708628df1f0104d49b995f87d7</t>
        </is>
      </c>
      <c r="B4423" t="inlineStr">
        <is>
          <t>2018-07-05</t>
        </is>
      </c>
      <c r="C4423" t="inlineStr">
        <is>
          <t>2018-07</t>
        </is>
      </c>
      <c r="D4423" t="inlineStr">
        <is>
          <t>RJ</t>
        </is>
      </c>
      <c r="E4423" t="inlineStr">
        <is>
          <t>electronics</t>
        </is>
      </c>
      <c r="F4423" t="n">
        <v>1</v>
      </c>
      <c r="G4423" t="n">
        <v>17.99</v>
      </c>
      <c r="H4423" t="n">
        <v>15.23</v>
      </c>
      <c r="I4423" t="inlineStr">
        <is>
          <t>debit_card</t>
        </is>
      </c>
      <c r="J4423" t="n">
        <v>7</v>
      </c>
      <c r="K4423" t="inlineStr">
        <is>
          <t>On Time</t>
        </is>
      </c>
      <c r="L4423" t="n">
        <v>4</v>
      </c>
      <c r="M4423">
        <f>VLOOKUP(D4423,State_Lookup!$A$2:$B$28,2,FALSE)</f>
        <v/>
      </c>
    </row>
    <row r="4424">
      <c r="A4424" t="inlineStr">
        <is>
          <t>aafd725a98bce75b9d5c31adbe708cb7</t>
        </is>
      </c>
      <c r="B4424" t="inlineStr">
        <is>
          <t>2018-07-06</t>
        </is>
      </c>
      <c r="C4424" t="inlineStr">
        <is>
          <t>2018-07</t>
        </is>
      </c>
      <c r="D4424" t="inlineStr">
        <is>
          <t>SP</t>
        </is>
      </c>
      <c r="E4424" t="inlineStr">
        <is>
          <t>sports_leisure</t>
        </is>
      </c>
      <c r="F4424" t="n">
        <v>1</v>
      </c>
      <c r="G4424" t="n">
        <v>95</v>
      </c>
      <c r="H4424" t="n">
        <v>13.77</v>
      </c>
      <c r="I4424" t="inlineStr">
        <is>
          <t>boleto</t>
        </is>
      </c>
      <c r="J4424" t="n">
        <v>7</v>
      </c>
      <c r="K4424" t="inlineStr">
        <is>
          <t>On Time</t>
        </is>
      </c>
      <c r="L4424" t="n">
        <v>5</v>
      </c>
      <c r="M4424">
        <f>VLOOKUP(D4424,State_Lookup!$A$2:$B$28,2,FALSE)</f>
        <v/>
      </c>
    </row>
    <row r="4425">
      <c r="A4425" t="inlineStr">
        <is>
          <t>06d77e4ba21f283252286b6a72fb8fe2</t>
        </is>
      </c>
      <c r="B4425" t="inlineStr">
        <is>
          <t>2018-07-06</t>
        </is>
      </c>
      <c r="C4425" t="inlineStr">
        <is>
          <t>2018-07</t>
        </is>
      </c>
      <c r="D4425" t="inlineStr">
        <is>
          <t>SP</t>
        </is>
      </c>
      <c r="E4425" t="inlineStr">
        <is>
          <t>housewares</t>
        </is>
      </c>
      <c r="F4425" t="n">
        <v>1</v>
      </c>
      <c r="G4425" t="n">
        <v>78</v>
      </c>
      <c r="H4425" t="n">
        <v>18.35</v>
      </c>
      <c r="I4425" t="inlineStr">
        <is>
          <t>credit_card</t>
        </is>
      </c>
      <c r="J4425" t="n">
        <v>3</v>
      </c>
      <c r="K4425" t="inlineStr">
        <is>
          <t>On Time</t>
        </is>
      </c>
      <c r="L4425" t="n">
        <v>5</v>
      </c>
      <c r="M4425">
        <f>VLOOKUP(D4425,State_Lookup!$A$2:$B$28,2,FALSE)</f>
        <v/>
      </c>
    </row>
    <row r="4426">
      <c r="A4426" t="inlineStr">
        <is>
          <t>2305a735f5b64c8b4e0e7e3d64b5a39f</t>
        </is>
      </c>
      <c r="B4426" t="inlineStr">
        <is>
          <t>2018-07-06</t>
        </is>
      </c>
      <c r="C4426" t="inlineStr">
        <is>
          <t>2018-07</t>
        </is>
      </c>
      <c r="D4426" t="inlineStr">
        <is>
          <t>SP</t>
        </is>
      </c>
      <c r="E4426" t="inlineStr">
        <is>
          <t>furniture_decor</t>
        </is>
      </c>
      <c r="F4426" t="n">
        <v>1</v>
      </c>
      <c r="G4426" t="n">
        <v>65</v>
      </c>
      <c r="H4426" t="n">
        <v>9.210000000000001</v>
      </c>
      <c r="I4426" t="inlineStr">
        <is>
          <t>debit_card</t>
        </is>
      </c>
      <c r="J4426" t="n">
        <v>7</v>
      </c>
      <c r="K4426" t="inlineStr">
        <is>
          <t>On Time</t>
        </is>
      </c>
      <c r="L4426" t="n">
        <v>5</v>
      </c>
      <c r="M4426">
        <f>VLOOKUP(D4426,State_Lookup!$A$2:$B$28,2,FALSE)</f>
        <v/>
      </c>
    </row>
    <row r="4427">
      <c r="A4427" t="inlineStr">
        <is>
          <t>4d4c65feca16bc9de359cb5d4feef10d</t>
        </is>
      </c>
      <c r="B4427" t="inlineStr">
        <is>
          <t>2018-07-06</t>
        </is>
      </c>
      <c r="C4427" t="inlineStr">
        <is>
          <t>2018-07</t>
        </is>
      </c>
      <c r="D4427" t="inlineStr">
        <is>
          <t>BA</t>
        </is>
      </c>
      <c r="E4427" t="inlineStr">
        <is>
          <t>furniture_decor</t>
        </is>
      </c>
      <c r="F4427" t="n">
        <v>2</v>
      </c>
      <c r="G4427" t="n">
        <v>97.98</v>
      </c>
      <c r="H4427" t="n">
        <v>46.98</v>
      </c>
      <c r="I4427" t="inlineStr">
        <is>
          <t>voucher</t>
        </is>
      </c>
      <c r="J4427" t="n">
        <v>18</v>
      </c>
      <c r="K4427" t="inlineStr">
        <is>
          <t>On Time</t>
        </is>
      </c>
      <c r="L4427" t="n">
        <v>5</v>
      </c>
      <c r="M4427">
        <f>VLOOKUP(D4427,State_Lookup!$A$2:$B$28,2,FALSE)</f>
        <v/>
      </c>
    </row>
    <row r="4428">
      <c r="A4428" t="inlineStr">
        <is>
          <t>270405232941d7da4e2b02fb8580f571</t>
        </is>
      </c>
      <c r="B4428" t="inlineStr">
        <is>
          <t>2018-07-06</t>
        </is>
      </c>
      <c r="C4428" t="inlineStr">
        <is>
          <t>2018-07</t>
        </is>
      </c>
      <c r="D4428" t="inlineStr">
        <is>
          <t>AP</t>
        </is>
      </c>
      <c r="E4428" t="inlineStr">
        <is>
          <t>furniture_decor</t>
        </is>
      </c>
      <c r="F4428" t="n">
        <v>1</v>
      </c>
      <c r="G4428" t="n">
        <v>75</v>
      </c>
      <c r="H4428" t="n">
        <v>44.45</v>
      </c>
      <c r="I4428" t="inlineStr">
        <is>
          <t>credit_card</t>
        </is>
      </c>
      <c r="J4428" t="n">
        <v>27</v>
      </c>
      <c r="K4428" t="inlineStr">
        <is>
          <t>On Time</t>
        </is>
      </c>
      <c r="L4428" t="n">
        <v>5</v>
      </c>
      <c r="M4428">
        <f>VLOOKUP(D4428,State_Lookup!$A$2:$B$28,2,FALSE)</f>
        <v/>
      </c>
    </row>
    <row r="4429">
      <c r="A4429" t="inlineStr">
        <is>
          <t>d5d3b4b504a59a416704978bb72fce3d</t>
        </is>
      </c>
      <c r="B4429" t="inlineStr">
        <is>
          <t>2018-07-06</t>
        </is>
      </c>
      <c r="C4429" t="inlineStr">
        <is>
          <t>2018-07</t>
        </is>
      </c>
      <c r="D4429" t="inlineStr">
        <is>
          <t>SP</t>
        </is>
      </c>
      <c r="E4429" t="inlineStr">
        <is>
          <t>health_beauty</t>
        </is>
      </c>
      <c r="F4429" t="n">
        <v>1</v>
      </c>
      <c r="G4429" t="n">
        <v>24.9</v>
      </c>
      <c r="H4429" t="n">
        <v>7.43</v>
      </c>
      <c r="I4429" t="inlineStr">
        <is>
          <t>credit_card</t>
        </is>
      </c>
      <c r="J4429" t="n">
        <v>6</v>
      </c>
      <c r="K4429" t="inlineStr">
        <is>
          <t>On Time</t>
        </is>
      </c>
      <c r="L4429" t="n">
        <v>5</v>
      </c>
      <c r="M4429">
        <f>VLOOKUP(D4429,State_Lookup!$A$2:$B$28,2,FALSE)</f>
        <v/>
      </c>
    </row>
    <row r="4430">
      <c r="A4430" t="inlineStr">
        <is>
          <t>9a7e8939f3e332415b9915a209e3607e</t>
        </is>
      </c>
      <c r="B4430" t="inlineStr">
        <is>
          <t>2018-07-07</t>
        </is>
      </c>
      <c r="C4430" t="inlineStr">
        <is>
          <t>2018-07</t>
        </is>
      </c>
      <c r="D4430" t="inlineStr">
        <is>
          <t>SP</t>
        </is>
      </c>
      <c r="E4430" t="inlineStr">
        <is>
          <t>fashion_bags_accessories</t>
        </is>
      </c>
      <c r="F4430" t="n">
        <v>1</v>
      </c>
      <c r="G4430" t="n">
        <v>35</v>
      </c>
      <c r="H4430" t="n">
        <v>7.51</v>
      </c>
      <c r="I4430" t="inlineStr">
        <is>
          <t>credit_card</t>
        </is>
      </c>
      <c r="J4430" t="n">
        <v>5</v>
      </c>
      <c r="K4430" t="inlineStr">
        <is>
          <t>On Time</t>
        </is>
      </c>
      <c r="L4430" t="n">
        <v>5</v>
      </c>
      <c r="M4430">
        <f>VLOOKUP(D4430,State_Lookup!$A$2:$B$28,2,FALSE)</f>
        <v/>
      </c>
    </row>
    <row r="4431">
      <c r="A4431" t="inlineStr">
        <is>
          <t>d6df3e183721aa30b30577e1184eaa7f</t>
        </is>
      </c>
      <c r="B4431" t="inlineStr">
        <is>
          <t>2018-07-07</t>
        </is>
      </c>
      <c r="C4431" t="inlineStr">
        <is>
          <t>2018-07</t>
        </is>
      </c>
      <c r="D4431" t="inlineStr">
        <is>
          <t>SP</t>
        </is>
      </c>
      <c r="E4431" t="inlineStr">
        <is>
          <t>watches_gifts</t>
        </is>
      </c>
      <c r="F4431" t="n">
        <v>1</v>
      </c>
      <c r="G4431" t="n">
        <v>89</v>
      </c>
      <c r="H4431" t="n">
        <v>7.88</v>
      </c>
      <c r="I4431" t="inlineStr">
        <is>
          <t>credit_card</t>
        </is>
      </c>
      <c r="J4431" t="n">
        <v>3</v>
      </c>
      <c r="K4431" t="inlineStr">
        <is>
          <t>On Time</t>
        </is>
      </c>
      <c r="L4431" t="n">
        <v>5</v>
      </c>
      <c r="M4431">
        <f>VLOOKUP(D4431,State_Lookup!$A$2:$B$28,2,FALSE)</f>
        <v/>
      </c>
    </row>
    <row r="4432">
      <c r="A4432" t="inlineStr">
        <is>
          <t>4d0bd88af1748e0658ddfad3100b2958</t>
        </is>
      </c>
      <c r="B4432" t="inlineStr">
        <is>
          <t>2018-07-07</t>
        </is>
      </c>
      <c r="C4432" t="inlineStr">
        <is>
          <t>2018-07</t>
        </is>
      </c>
      <c r="D4432" t="inlineStr">
        <is>
          <t>MG</t>
        </is>
      </c>
      <c r="E4432" t="inlineStr">
        <is>
          <t>costruction_tools_tools</t>
        </is>
      </c>
      <c r="F4432" t="n">
        <v>2</v>
      </c>
      <c r="G4432" t="n">
        <v>438</v>
      </c>
      <c r="H4432" t="n">
        <v>41.44</v>
      </c>
      <c r="I4432" t="inlineStr">
        <is>
          <t>credit_card</t>
        </is>
      </c>
      <c r="J4432" t="n">
        <v>6</v>
      </c>
      <c r="K4432" t="inlineStr">
        <is>
          <t>On Time</t>
        </is>
      </c>
      <c r="L4432" t="n">
        <v>5</v>
      </c>
      <c r="M4432">
        <f>VLOOKUP(D4432,State_Lookup!$A$2:$B$28,2,FALSE)</f>
        <v/>
      </c>
    </row>
    <row r="4433">
      <c r="A4433" t="inlineStr">
        <is>
          <t>55d03c0ad1a4743f9845da6d9444beaa</t>
        </is>
      </c>
      <c r="B4433" t="inlineStr">
        <is>
          <t>2018-07-07</t>
        </is>
      </c>
      <c r="C4433" t="inlineStr">
        <is>
          <t>2018-07</t>
        </is>
      </c>
      <c r="D4433" t="inlineStr">
        <is>
          <t>SP</t>
        </is>
      </c>
      <c r="E4433" t="inlineStr">
        <is>
          <t>bed_bath_table</t>
        </is>
      </c>
      <c r="F4433" t="n">
        <v>1</v>
      </c>
      <c r="G4433" t="n">
        <v>69.90000000000001</v>
      </c>
      <c r="H4433" t="n">
        <v>14.8</v>
      </c>
      <c r="I4433" t="inlineStr">
        <is>
          <t>credit_card</t>
        </is>
      </c>
      <c r="J4433" t="n">
        <v>8</v>
      </c>
      <c r="K4433" t="inlineStr">
        <is>
          <t>On Time</t>
        </is>
      </c>
      <c r="L4433" t="n">
        <v>5</v>
      </c>
      <c r="M4433">
        <f>VLOOKUP(D4433,State_Lookup!$A$2:$B$28,2,FALSE)</f>
        <v/>
      </c>
    </row>
    <row r="4434">
      <c r="A4434" t="inlineStr">
        <is>
          <t>b8b12c952ae497fb7389315cd2a101e1</t>
        </is>
      </c>
      <c r="B4434" t="inlineStr">
        <is>
          <t>2018-07-08</t>
        </is>
      </c>
      <c r="C4434" t="inlineStr">
        <is>
          <t>2018-07</t>
        </is>
      </c>
      <c r="D4434" t="inlineStr">
        <is>
          <t>PE</t>
        </is>
      </c>
      <c r="E4434" t="inlineStr">
        <is>
          <t>sports_leisure</t>
        </is>
      </c>
      <c r="F4434" t="n">
        <v>1</v>
      </c>
      <c r="G4434" t="n">
        <v>79</v>
      </c>
      <c r="H4434" t="n">
        <v>47.21</v>
      </c>
      <c r="I4434" t="inlineStr">
        <is>
          <t>credit_card</t>
        </is>
      </c>
      <c r="J4434" t="n">
        <v>17</v>
      </c>
      <c r="K4434" t="inlineStr">
        <is>
          <t>On Time</t>
        </is>
      </c>
      <c r="L4434" t="n">
        <v>5</v>
      </c>
      <c r="M4434">
        <f>VLOOKUP(D4434,State_Lookup!$A$2:$B$28,2,FALSE)</f>
        <v/>
      </c>
    </row>
    <row r="4435">
      <c r="A4435" t="inlineStr">
        <is>
          <t>e37cb83a77f2c53e5710ace789c66a97</t>
        </is>
      </c>
      <c r="B4435" t="inlineStr">
        <is>
          <t>2018-07-08</t>
        </is>
      </c>
      <c r="C4435" t="inlineStr">
        <is>
          <t>2018-07</t>
        </is>
      </c>
      <c r="D4435" t="inlineStr">
        <is>
          <t>SP</t>
        </is>
      </c>
      <c r="E4435" t="inlineStr">
        <is>
          <t>furniture_decor</t>
        </is>
      </c>
      <c r="F4435" t="n">
        <v>2</v>
      </c>
      <c r="G4435" t="n">
        <v>258</v>
      </c>
      <c r="H4435" t="n">
        <v>55.86</v>
      </c>
      <c r="I4435" t="inlineStr">
        <is>
          <t>credit_card</t>
        </is>
      </c>
      <c r="J4435" t="n">
        <v>4</v>
      </c>
      <c r="K4435" t="inlineStr">
        <is>
          <t>On Time</t>
        </is>
      </c>
      <c r="L4435" t="n">
        <v>5</v>
      </c>
      <c r="M4435">
        <f>VLOOKUP(D4435,State_Lookup!$A$2:$B$28,2,FALSE)</f>
        <v/>
      </c>
    </row>
    <row r="4436">
      <c r="A4436" t="inlineStr">
        <is>
          <t>52b5d339bbba7bd8f18ca836ab540227</t>
        </is>
      </c>
      <c r="B4436" t="inlineStr">
        <is>
          <t>2018-07-08</t>
        </is>
      </c>
      <c r="C4436" t="inlineStr">
        <is>
          <t>2018-07</t>
        </is>
      </c>
      <c r="D4436" t="inlineStr">
        <is>
          <t>RJ</t>
        </is>
      </c>
      <c r="E4436" t="inlineStr">
        <is>
          <t>health_beauty</t>
        </is>
      </c>
      <c r="F4436" t="n">
        <v>1</v>
      </c>
      <c r="G4436" t="n">
        <v>21</v>
      </c>
      <c r="H4436" t="n">
        <v>22.08</v>
      </c>
      <c r="I4436" t="inlineStr">
        <is>
          <t>credit_card</t>
        </is>
      </c>
      <c r="J4436" t="n">
        <v>5</v>
      </c>
      <c r="K4436" t="inlineStr">
        <is>
          <t>On Time</t>
        </is>
      </c>
      <c r="L4436" t="n">
        <v>5</v>
      </c>
      <c r="M4436">
        <f>VLOOKUP(D4436,State_Lookup!$A$2:$B$28,2,FALSE)</f>
        <v/>
      </c>
    </row>
    <row r="4437">
      <c r="A4437" t="inlineStr">
        <is>
          <t>3777fdee1e90e53636623e02ecccc4ba</t>
        </is>
      </c>
      <c r="B4437" t="inlineStr">
        <is>
          <t>2018-07-08</t>
        </is>
      </c>
      <c r="C4437" t="inlineStr">
        <is>
          <t>2018-07</t>
        </is>
      </c>
      <c r="D4437" t="inlineStr">
        <is>
          <t>SP</t>
        </is>
      </c>
      <c r="E4437" t="inlineStr">
        <is>
          <t>perfumery</t>
        </is>
      </c>
      <c r="F4437" t="n">
        <v>1</v>
      </c>
      <c r="G4437" t="n">
        <v>129.99</v>
      </c>
      <c r="H4437" t="n">
        <v>8.17</v>
      </c>
      <c r="I4437" t="inlineStr">
        <is>
          <t>credit_card</t>
        </is>
      </c>
      <c r="J4437" t="n">
        <v>3</v>
      </c>
      <c r="K4437" t="inlineStr">
        <is>
          <t>On Time</t>
        </is>
      </c>
      <c r="L4437" t="n">
        <v>5</v>
      </c>
      <c r="M4437">
        <f>VLOOKUP(D4437,State_Lookup!$A$2:$B$28,2,FALSE)</f>
        <v/>
      </c>
    </row>
    <row r="4438">
      <c r="A4438" t="inlineStr">
        <is>
          <t>6931075877d7cbb8cc81cad6c66d67c7</t>
        </is>
      </c>
      <c r="B4438" t="inlineStr">
        <is>
          <t>2018-07-08</t>
        </is>
      </c>
      <c r="C4438" t="inlineStr">
        <is>
          <t>2018-07</t>
        </is>
      </c>
      <c r="D4438" t="inlineStr">
        <is>
          <t>SP</t>
        </is>
      </c>
      <c r="E4438" t="inlineStr">
        <is>
          <t>construction_tools_lights</t>
        </is>
      </c>
      <c r="F4438" t="n">
        <v>1</v>
      </c>
      <c r="G4438" t="n">
        <v>169.99</v>
      </c>
      <c r="H4438" t="n">
        <v>12.92</v>
      </c>
      <c r="I4438" t="inlineStr">
        <is>
          <t>credit_card</t>
        </is>
      </c>
      <c r="J4438" t="n">
        <v>4</v>
      </c>
      <c r="K4438" t="inlineStr">
        <is>
          <t>On Time</t>
        </is>
      </c>
      <c r="L4438" t="n">
        <v>5</v>
      </c>
      <c r="M4438">
        <f>VLOOKUP(D4438,State_Lookup!$A$2:$B$28,2,FALSE)</f>
        <v/>
      </c>
    </row>
    <row r="4439">
      <c r="A4439" t="inlineStr">
        <is>
          <t>051c701261744807b2535ab976842f7e</t>
        </is>
      </c>
      <c r="B4439" t="inlineStr">
        <is>
          <t>2018-07-08</t>
        </is>
      </c>
      <c r="C4439" t="inlineStr">
        <is>
          <t>2018-07</t>
        </is>
      </c>
      <c r="D4439" t="inlineStr">
        <is>
          <t>SP</t>
        </is>
      </c>
      <c r="E4439" t="inlineStr">
        <is>
          <t>bed_bath_table</t>
        </is>
      </c>
      <c r="F4439" t="n">
        <v>1</v>
      </c>
      <c r="G4439" t="n">
        <v>159.9</v>
      </c>
      <c r="H4439" t="n">
        <v>18.33</v>
      </c>
      <c r="I4439" t="inlineStr">
        <is>
          <t>credit_card</t>
        </is>
      </c>
      <c r="J4439" t="n">
        <v>3</v>
      </c>
      <c r="K4439" t="inlineStr">
        <is>
          <t>On Time</t>
        </is>
      </c>
      <c r="L4439" t="n">
        <v>5</v>
      </c>
      <c r="M4439">
        <f>VLOOKUP(D4439,State_Lookup!$A$2:$B$28,2,FALSE)</f>
        <v/>
      </c>
    </row>
    <row r="4440">
      <c r="A4440" t="inlineStr">
        <is>
          <t>5227f2736ccc6b82c2bdf19be46b1320</t>
        </is>
      </c>
      <c r="B4440" t="inlineStr">
        <is>
          <t>2018-07-08</t>
        </is>
      </c>
      <c r="C4440" t="inlineStr">
        <is>
          <t>2018-07</t>
        </is>
      </c>
      <c r="D4440" t="inlineStr">
        <is>
          <t>MG</t>
        </is>
      </c>
      <c r="E4440" t="inlineStr">
        <is>
          <t>health_beauty</t>
        </is>
      </c>
      <c r="F4440" t="n">
        <v>1</v>
      </c>
      <c r="G4440" t="n">
        <v>160</v>
      </c>
      <c r="H4440" t="n">
        <v>14.46</v>
      </c>
      <c r="I4440" t="inlineStr">
        <is>
          <t>credit_card</t>
        </is>
      </c>
      <c r="J4440" t="n">
        <v>4</v>
      </c>
      <c r="K4440" t="inlineStr">
        <is>
          <t>On Time</t>
        </is>
      </c>
      <c r="L4440" t="n">
        <v>3</v>
      </c>
      <c r="M4440">
        <f>VLOOKUP(D4440,State_Lookup!$A$2:$B$28,2,FALSE)</f>
        <v/>
      </c>
    </row>
    <row r="4441">
      <c r="A4441" t="inlineStr">
        <is>
          <t>d30d0c9c3a766ca0d558a205d4579320</t>
        </is>
      </c>
      <c r="B4441" t="inlineStr">
        <is>
          <t>2018-07-09</t>
        </is>
      </c>
      <c r="C4441" t="inlineStr">
        <is>
          <t>2018-07</t>
        </is>
      </c>
      <c r="D4441" t="inlineStr">
        <is>
          <t>MG</t>
        </is>
      </c>
      <c r="E4441" t="inlineStr">
        <is>
          <t>watches_gifts</t>
        </is>
      </c>
      <c r="F4441" t="n">
        <v>1</v>
      </c>
      <c r="G4441" t="n">
        <v>149</v>
      </c>
      <c r="H4441" t="n">
        <v>14.38</v>
      </c>
      <c r="I4441" t="inlineStr">
        <is>
          <t>credit_card</t>
        </is>
      </c>
      <c r="J4441" t="n">
        <v>4</v>
      </c>
      <c r="K4441" t="inlineStr">
        <is>
          <t>On Time</t>
        </is>
      </c>
      <c r="L4441" t="n">
        <v>5</v>
      </c>
      <c r="M4441">
        <f>VLOOKUP(D4441,State_Lookup!$A$2:$B$28,2,FALSE)</f>
        <v/>
      </c>
    </row>
    <row r="4442">
      <c r="A4442" t="inlineStr">
        <is>
          <t>47ce198e173de34ed4c92187e82717ac</t>
        </is>
      </c>
      <c r="B4442" t="inlineStr">
        <is>
          <t>2018-07-09</t>
        </is>
      </c>
      <c r="C4442" t="inlineStr">
        <is>
          <t>2018-07</t>
        </is>
      </c>
      <c r="D4442" t="inlineStr">
        <is>
          <t>SP</t>
        </is>
      </c>
      <c r="E4442" t="inlineStr">
        <is>
          <t>home_appliances_2</t>
        </is>
      </c>
      <c r="F4442" t="n">
        <v>1</v>
      </c>
      <c r="G4442" t="n">
        <v>1129.99</v>
      </c>
      <c r="H4442" t="n">
        <v>32.89</v>
      </c>
      <c r="I4442" t="inlineStr">
        <is>
          <t>credit_card</t>
        </is>
      </c>
      <c r="J4442" t="n">
        <v>1</v>
      </c>
      <c r="K4442" t="inlineStr">
        <is>
          <t>On Time</t>
        </is>
      </c>
      <c r="L4442" t="n">
        <v>5</v>
      </c>
      <c r="M4442">
        <f>VLOOKUP(D4442,State_Lookup!$A$2:$B$28,2,FALSE)</f>
        <v/>
      </c>
    </row>
    <row r="4443">
      <c r="A4443" t="inlineStr">
        <is>
          <t>30597e915fa41c74c59cf5f8ce640d3d</t>
        </is>
      </c>
      <c r="B4443" t="inlineStr">
        <is>
          <t>2018-07-09</t>
        </is>
      </c>
      <c r="C4443" t="inlineStr">
        <is>
          <t>2018-07</t>
        </is>
      </c>
      <c r="D4443" t="inlineStr">
        <is>
          <t>CE</t>
        </is>
      </c>
      <c r="E4443" t="inlineStr">
        <is>
          <t>telephony</t>
        </is>
      </c>
      <c r="F4443" t="n">
        <v>1</v>
      </c>
      <c r="G4443" t="n">
        <v>19.99</v>
      </c>
      <c r="H4443" t="n">
        <v>37.05</v>
      </c>
      <c r="I4443" t="inlineStr">
        <is>
          <t>credit_card</t>
        </is>
      </c>
      <c r="J4443" t="n">
        <v>10</v>
      </c>
      <c r="K4443" t="inlineStr">
        <is>
          <t>On Time</t>
        </is>
      </c>
      <c r="L4443" t="n">
        <v>5</v>
      </c>
      <c r="M4443">
        <f>VLOOKUP(D4443,State_Lookup!$A$2:$B$28,2,FALSE)</f>
        <v/>
      </c>
    </row>
    <row r="4444">
      <c r="A4444" t="inlineStr">
        <is>
          <t>ef0e9ebf18b0033d57b60ee42b12d65f</t>
        </is>
      </c>
      <c r="B4444" t="inlineStr">
        <is>
          <t>2018-07-09</t>
        </is>
      </c>
      <c r="C4444" t="inlineStr">
        <is>
          <t>2018-07</t>
        </is>
      </c>
      <c r="D4444" t="inlineStr">
        <is>
          <t>RJ</t>
        </is>
      </c>
      <c r="E4444" t="inlineStr">
        <is>
          <t>watches_gifts</t>
        </is>
      </c>
      <c r="F4444" t="n">
        <v>1</v>
      </c>
      <c r="G4444" t="n">
        <v>173.9</v>
      </c>
      <c r="H4444" t="n">
        <v>16.32</v>
      </c>
      <c r="I4444" t="inlineStr">
        <is>
          <t>credit_card</t>
        </is>
      </c>
      <c r="J4444" t="n">
        <v>16</v>
      </c>
      <c r="K4444" t="inlineStr">
        <is>
          <t>On Time</t>
        </is>
      </c>
      <c r="L4444" t="n">
        <v>2</v>
      </c>
      <c r="M4444">
        <f>VLOOKUP(D4444,State_Lookup!$A$2:$B$28,2,FALSE)</f>
        <v/>
      </c>
    </row>
    <row r="4445">
      <c r="A4445" t="inlineStr">
        <is>
          <t>d17eedcc5d276d0eb9ea566289f89352</t>
        </is>
      </c>
      <c r="B4445" t="inlineStr">
        <is>
          <t>2018-07-09</t>
        </is>
      </c>
      <c r="C4445" t="inlineStr">
        <is>
          <t>2018-07</t>
        </is>
      </c>
      <c r="D4445" t="inlineStr">
        <is>
          <t>RJ</t>
        </is>
      </c>
      <c r="E4445" t="inlineStr">
        <is>
          <t>cool_stuff</t>
        </is>
      </c>
      <c r="F4445" t="n">
        <v>1</v>
      </c>
      <c r="G4445" t="n">
        <v>135</v>
      </c>
      <c r="H4445" t="n">
        <v>22.88</v>
      </c>
      <c r="I4445" t="inlineStr">
        <is>
          <t>credit_card</t>
        </is>
      </c>
      <c r="J4445" t="n">
        <v>14</v>
      </c>
      <c r="K4445" t="inlineStr">
        <is>
          <t>On Time</t>
        </is>
      </c>
      <c r="L4445" t="n">
        <v>1</v>
      </c>
      <c r="M4445">
        <f>VLOOKUP(D4445,State_Lookup!$A$2:$B$28,2,FALSE)</f>
        <v/>
      </c>
    </row>
    <row r="4446">
      <c r="A4446" t="inlineStr">
        <is>
          <t>d1632cdbf90f11c2d5fa53d5c3deeadf</t>
        </is>
      </c>
      <c r="B4446" t="inlineStr">
        <is>
          <t>2018-07-09</t>
        </is>
      </c>
      <c r="C4446" t="inlineStr">
        <is>
          <t>2018-07</t>
        </is>
      </c>
      <c r="D4446" t="inlineStr">
        <is>
          <t>SP</t>
        </is>
      </c>
      <c r="E4446" t="inlineStr">
        <is>
          <t>toys</t>
        </is>
      </c>
      <c r="F4446" t="n">
        <v>1</v>
      </c>
      <c r="G4446" t="n">
        <v>79.90000000000001</v>
      </c>
      <c r="H4446" t="n">
        <v>8.720000000000001</v>
      </c>
      <c r="I4446" t="inlineStr">
        <is>
          <t>credit_card</t>
        </is>
      </c>
      <c r="J4446" t="n">
        <v>3</v>
      </c>
      <c r="K4446" t="inlineStr">
        <is>
          <t>On Time</t>
        </is>
      </c>
      <c r="L4446" t="n">
        <v>5</v>
      </c>
      <c r="M4446">
        <f>VLOOKUP(D4446,State_Lookup!$A$2:$B$28,2,FALSE)</f>
        <v/>
      </c>
    </row>
    <row r="4447">
      <c r="A4447" t="inlineStr">
        <is>
          <t>e0f57f06590a2aee981778faa5b7c80c</t>
        </is>
      </c>
      <c r="B4447" t="inlineStr">
        <is>
          <t>2018-07-09</t>
        </is>
      </c>
      <c r="C4447" t="inlineStr">
        <is>
          <t>2018-07</t>
        </is>
      </c>
      <c r="D4447" t="inlineStr">
        <is>
          <t>MA</t>
        </is>
      </c>
      <c r="E4447" t="inlineStr">
        <is>
          <t>sports_leisure</t>
        </is>
      </c>
      <c r="F4447" t="n">
        <v>2</v>
      </c>
      <c r="G4447" t="n">
        <v>299.8</v>
      </c>
      <c r="H4447" t="n">
        <v>126.14</v>
      </c>
      <c r="I4447" t="inlineStr">
        <is>
          <t>boleto</t>
        </is>
      </c>
      <c r="J4447" t="n">
        <v>17</v>
      </c>
      <c r="K4447" t="inlineStr">
        <is>
          <t>On Time</t>
        </is>
      </c>
      <c r="L4447" t="n">
        <v>5</v>
      </c>
      <c r="M4447">
        <f>VLOOKUP(D4447,State_Lookup!$A$2:$B$28,2,FALSE)</f>
        <v/>
      </c>
    </row>
    <row r="4448">
      <c r="A4448" t="inlineStr">
        <is>
          <t>20a1b5b821806e87157587550af9d52e</t>
        </is>
      </c>
      <c r="B4448" t="inlineStr">
        <is>
          <t>2018-07-09</t>
        </is>
      </c>
      <c r="C4448" t="inlineStr">
        <is>
          <t>2018-07</t>
        </is>
      </c>
      <c r="D4448" t="inlineStr">
        <is>
          <t>RS</t>
        </is>
      </c>
      <c r="E4448" t="inlineStr">
        <is>
          <t>bed_bath_table</t>
        </is>
      </c>
      <c r="F4448" t="n">
        <v>1</v>
      </c>
      <c r="G4448" t="n">
        <v>90.09999999999999</v>
      </c>
      <c r="H4448" t="n">
        <v>19.82</v>
      </c>
      <c r="I4448" t="inlineStr">
        <is>
          <t>credit_card</t>
        </is>
      </c>
      <c r="J4448" t="n">
        <v>28</v>
      </c>
      <c r="K4448" t="inlineStr">
        <is>
          <t>Late</t>
        </is>
      </c>
      <c r="L4448" t="n">
        <v>5</v>
      </c>
      <c r="M4448">
        <f>VLOOKUP(D4448,State_Lookup!$A$2:$B$28,2,FALSE)</f>
        <v/>
      </c>
    </row>
    <row r="4449">
      <c r="A4449" t="inlineStr">
        <is>
          <t>78420988bdc7bf4dac19e4fe4ccdbd6a</t>
        </is>
      </c>
      <c r="B4449" t="inlineStr">
        <is>
          <t>2018-07-09</t>
        </is>
      </c>
      <c r="C4449" t="inlineStr">
        <is>
          <t>2018-07</t>
        </is>
      </c>
      <c r="D4449" t="inlineStr">
        <is>
          <t>MA</t>
        </is>
      </c>
      <c r="E4449" t="inlineStr">
        <is>
          <t>watches_gifts</t>
        </is>
      </c>
      <c r="F4449" t="n">
        <v>1</v>
      </c>
      <c r="G4449" t="n">
        <v>194.91</v>
      </c>
      <c r="H4449" t="n">
        <v>24.08</v>
      </c>
      <c r="I4449" t="inlineStr">
        <is>
          <t>credit_card</t>
        </is>
      </c>
      <c r="J4449" t="n">
        <v>25</v>
      </c>
      <c r="K4449" t="inlineStr">
        <is>
          <t>On Time</t>
        </is>
      </c>
      <c r="L4449" t="n">
        <v>3</v>
      </c>
      <c r="M4449">
        <f>VLOOKUP(D4449,State_Lookup!$A$2:$B$28,2,FALSE)</f>
        <v/>
      </c>
    </row>
    <row r="4450">
      <c r="A4450" t="inlineStr">
        <is>
          <t>86c411cc5e0c28b069f3e98edc6e6290</t>
        </is>
      </c>
      <c r="B4450" t="inlineStr">
        <is>
          <t>2018-07-10</t>
        </is>
      </c>
      <c r="C4450" t="inlineStr">
        <is>
          <t>2018-07</t>
        </is>
      </c>
      <c r="D4450" t="inlineStr">
        <is>
          <t>SP</t>
        </is>
      </c>
      <c r="E4450" t="inlineStr">
        <is>
          <t>pet_shop</t>
        </is>
      </c>
      <c r="F4450" t="n">
        <v>1</v>
      </c>
      <c r="G4450" t="n">
        <v>51.31</v>
      </c>
      <c r="H4450" t="n">
        <v>7.94</v>
      </c>
      <c r="I4450" t="inlineStr">
        <is>
          <t>credit_card</t>
        </is>
      </c>
      <c r="J4450" t="n">
        <v>2</v>
      </c>
      <c r="K4450" t="inlineStr">
        <is>
          <t>On Time</t>
        </is>
      </c>
      <c r="L4450" t="n">
        <v>2</v>
      </c>
      <c r="M4450">
        <f>VLOOKUP(D4450,State_Lookup!$A$2:$B$28,2,FALSE)</f>
        <v/>
      </c>
    </row>
    <row r="4451">
      <c r="A4451" t="inlineStr">
        <is>
          <t>b1e7ea6ef4104c3bcd94c0b9260717b2</t>
        </is>
      </c>
      <c r="B4451" t="inlineStr">
        <is>
          <t>2018-07-10</t>
        </is>
      </c>
      <c r="C4451" t="inlineStr">
        <is>
          <t>2018-07</t>
        </is>
      </c>
      <c r="D4451" t="inlineStr">
        <is>
          <t>SP</t>
        </is>
      </c>
      <c r="E4451" t="inlineStr">
        <is>
          <t>health_beauty</t>
        </is>
      </c>
      <c r="F4451" t="n">
        <v>1</v>
      </c>
      <c r="G4451" t="n">
        <v>64.98999999999999</v>
      </c>
      <c r="H4451" t="n">
        <v>8.619999999999999</v>
      </c>
      <c r="I4451" t="inlineStr">
        <is>
          <t>credit_card</t>
        </is>
      </c>
      <c r="J4451" t="n">
        <v>1</v>
      </c>
      <c r="K4451" t="inlineStr">
        <is>
          <t>On Time</t>
        </is>
      </c>
      <c r="L4451" t="n">
        <v>5</v>
      </c>
      <c r="M4451">
        <f>VLOOKUP(D4451,State_Lookup!$A$2:$B$28,2,FALSE)</f>
        <v/>
      </c>
    </row>
    <row r="4452">
      <c r="A4452" t="inlineStr">
        <is>
          <t>28a1ff56441c9df5d5bfaead83cd76fd</t>
        </is>
      </c>
      <c r="B4452" t="inlineStr">
        <is>
          <t>2018-07-10</t>
        </is>
      </c>
      <c r="C4452" t="inlineStr">
        <is>
          <t>2018-07</t>
        </is>
      </c>
      <c r="D4452" t="inlineStr">
        <is>
          <t>SP</t>
        </is>
      </c>
      <c r="E4452" t="inlineStr">
        <is>
          <t>health_beauty</t>
        </is>
      </c>
      <c r="F4452" t="n">
        <v>2</v>
      </c>
      <c r="G4452" t="n">
        <v>267.98</v>
      </c>
      <c r="H4452" t="n">
        <v>58.4</v>
      </c>
      <c r="I4452" t="inlineStr">
        <is>
          <t>credit_card</t>
        </is>
      </c>
      <c r="J4452" t="n">
        <v>13</v>
      </c>
      <c r="K4452" t="inlineStr">
        <is>
          <t>On Time</t>
        </is>
      </c>
      <c r="L4452" t="n">
        <v>3</v>
      </c>
      <c r="M4452">
        <f>VLOOKUP(D4452,State_Lookup!$A$2:$B$28,2,FALSE)</f>
        <v/>
      </c>
    </row>
    <row r="4453">
      <c r="A4453" t="inlineStr">
        <is>
          <t>c3d8d92b4371e7710cdc67fcb1f49a34</t>
        </is>
      </c>
      <c r="B4453" t="inlineStr">
        <is>
          <t>2018-07-10</t>
        </is>
      </c>
      <c r="C4453" t="inlineStr">
        <is>
          <t>2018-07</t>
        </is>
      </c>
      <c r="D4453" t="inlineStr">
        <is>
          <t>BA</t>
        </is>
      </c>
      <c r="E4453" t="inlineStr">
        <is>
          <t>sports_leisure</t>
        </is>
      </c>
      <c r="F4453" t="n">
        <v>1</v>
      </c>
      <c r="G4453" t="n">
        <v>11</v>
      </c>
      <c r="H4453" t="n">
        <v>22.06</v>
      </c>
      <c r="I4453" t="inlineStr">
        <is>
          <t>credit_card</t>
        </is>
      </c>
      <c r="J4453" t="n">
        <v>15</v>
      </c>
      <c r="K4453" t="inlineStr">
        <is>
          <t>On Time</t>
        </is>
      </c>
      <c r="L4453" t="n">
        <v>5</v>
      </c>
      <c r="M4453">
        <f>VLOOKUP(D4453,State_Lookup!$A$2:$B$28,2,FALSE)</f>
        <v/>
      </c>
    </row>
    <row r="4454">
      <c r="A4454" t="inlineStr">
        <is>
          <t>d10503eeef371049c26e11de7d6552dc</t>
        </is>
      </c>
      <c r="B4454" t="inlineStr">
        <is>
          <t>2018-07-11</t>
        </is>
      </c>
      <c r="C4454" t="inlineStr">
        <is>
          <t>2018-07</t>
        </is>
      </c>
      <c r="D4454" t="inlineStr">
        <is>
          <t>SP</t>
        </is>
      </c>
      <c r="E4454" t="inlineStr">
        <is>
          <t>health_beauty</t>
        </is>
      </c>
      <c r="F4454" t="n">
        <v>1</v>
      </c>
      <c r="G4454" t="n">
        <v>24.9</v>
      </c>
      <c r="H4454" t="n">
        <v>7.43</v>
      </c>
      <c r="I4454" t="inlineStr">
        <is>
          <t>credit_card</t>
        </is>
      </c>
      <c r="J4454" t="n">
        <v>1</v>
      </c>
      <c r="K4454" t="inlineStr">
        <is>
          <t>On Time</t>
        </is>
      </c>
      <c r="L4454" t="n">
        <v>5</v>
      </c>
      <c r="M4454">
        <f>VLOOKUP(D4454,State_Lookup!$A$2:$B$28,2,FALSE)</f>
        <v/>
      </c>
    </row>
    <row r="4455">
      <c r="A4455" t="inlineStr">
        <is>
          <t>8a9424899aac432d80d8e580932b5ee9</t>
        </is>
      </c>
      <c r="B4455" t="inlineStr">
        <is>
          <t>2018-07-11</t>
        </is>
      </c>
      <c r="C4455" t="inlineStr">
        <is>
          <t>2018-07</t>
        </is>
      </c>
      <c r="D4455" t="inlineStr">
        <is>
          <t>PE</t>
        </is>
      </c>
      <c r="E4455" t="inlineStr">
        <is>
          <t>watches_gifts</t>
        </is>
      </c>
      <c r="F4455" t="n">
        <v>1</v>
      </c>
      <c r="G4455" t="n">
        <v>55</v>
      </c>
      <c r="H4455" t="n">
        <v>37.3</v>
      </c>
      <c r="I4455" t="inlineStr">
        <is>
          <t>voucher</t>
        </is>
      </c>
      <c r="J4455" t="n">
        <v>12</v>
      </c>
      <c r="K4455" t="inlineStr">
        <is>
          <t>On Time</t>
        </is>
      </c>
      <c r="L4455" t="n">
        <v>5</v>
      </c>
      <c r="M4455">
        <f>VLOOKUP(D4455,State_Lookup!$A$2:$B$28,2,FALSE)</f>
        <v/>
      </c>
    </row>
    <row r="4456">
      <c r="A4456" t="inlineStr">
        <is>
          <t>977649a07fb7be354cc39d9a79ee83e1</t>
        </is>
      </c>
      <c r="B4456" t="inlineStr">
        <is>
          <t>2018-07-11</t>
        </is>
      </c>
      <c r="C4456" t="inlineStr">
        <is>
          <t>2018-07</t>
        </is>
      </c>
      <c r="D4456" t="inlineStr">
        <is>
          <t>PI</t>
        </is>
      </c>
      <c r="E4456" t="inlineStr">
        <is>
          <t>computers</t>
        </is>
      </c>
      <c r="F4456" t="n">
        <v>1</v>
      </c>
      <c r="G4456" t="n">
        <v>770</v>
      </c>
      <c r="H4456" t="n">
        <v>91.23999999999999</v>
      </c>
      <c r="I4456" t="inlineStr">
        <is>
          <t>credit_card</t>
        </is>
      </c>
      <c r="J4456" t="n">
        <v>16</v>
      </c>
      <c r="K4456" t="inlineStr">
        <is>
          <t>On Time</t>
        </is>
      </c>
      <c r="L4456" t="n">
        <v>5</v>
      </c>
      <c r="M4456">
        <f>VLOOKUP(D4456,State_Lookup!$A$2:$B$28,2,FALSE)</f>
        <v/>
      </c>
    </row>
    <row r="4457">
      <c r="A4457" t="inlineStr">
        <is>
          <t>15f8e1e2abf48b0c5161b2f0110ba6eb</t>
        </is>
      </c>
      <c r="B4457" t="inlineStr">
        <is>
          <t>2018-07-11</t>
        </is>
      </c>
      <c r="C4457" t="inlineStr">
        <is>
          <t>2018-07</t>
        </is>
      </c>
      <c r="D4457" t="inlineStr">
        <is>
          <t>SP</t>
        </is>
      </c>
      <c r="E4457" t="inlineStr">
        <is>
          <t>cool_stuff</t>
        </is>
      </c>
      <c r="F4457" t="n">
        <v>1</v>
      </c>
      <c r="G4457" t="n">
        <v>133.9</v>
      </c>
      <c r="H4457" t="n">
        <v>19.04</v>
      </c>
      <c r="I4457" t="inlineStr">
        <is>
          <t>boleto</t>
        </is>
      </c>
      <c r="J4457" t="n">
        <v>12</v>
      </c>
      <c r="K4457" t="inlineStr">
        <is>
          <t>On Time</t>
        </is>
      </c>
      <c r="L4457" t="n">
        <v>5</v>
      </c>
      <c r="M4457">
        <f>VLOOKUP(D4457,State_Lookup!$A$2:$B$28,2,FALSE)</f>
        <v/>
      </c>
    </row>
    <row r="4458">
      <c r="A4458" t="inlineStr">
        <is>
          <t>58346246ea802a21cb34124ed2326770</t>
        </is>
      </c>
      <c r="B4458" t="inlineStr">
        <is>
          <t>2018-07-11</t>
        </is>
      </c>
      <c r="C4458" t="inlineStr">
        <is>
          <t>2018-07</t>
        </is>
      </c>
      <c r="D4458" t="inlineStr">
        <is>
          <t>SP</t>
        </is>
      </c>
      <c r="E4458" t="inlineStr">
        <is>
          <t>perfumery</t>
        </is>
      </c>
      <c r="F4458" t="n">
        <v>4</v>
      </c>
      <c r="G4458" t="n">
        <v>179.96</v>
      </c>
      <c r="H4458" t="n">
        <v>30.32</v>
      </c>
      <c r="I4458" t="inlineStr">
        <is>
          <t>credit_card</t>
        </is>
      </c>
      <c r="J4458" t="n">
        <v>2</v>
      </c>
      <c r="K4458" t="inlineStr">
        <is>
          <t>On Time</t>
        </is>
      </c>
      <c r="L4458" t="n">
        <v>5</v>
      </c>
      <c r="M4458">
        <f>VLOOKUP(D4458,State_Lookup!$A$2:$B$28,2,FALSE)</f>
        <v/>
      </c>
    </row>
    <row r="4459">
      <c r="A4459" t="inlineStr">
        <is>
          <t>789ef8e547844763c96f5e815b5478e3</t>
        </is>
      </c>
      <c r="B4459" t="inlineStr">
        <is>
          <t>2018-07-12</t>
        </is>
      </c>
      <c r="C4459" t="inlineStr">
        <is>
          <t>2018-07</t>
        </is>
      </c>
      <c r="D4459" t="inlineStr">
        <is>
          <t>RJ</t>
        </is>
      </c>
      <c r="E4459" t="inlineStr">
        <is>
          <t>watches_gifts</t>
        </is>
      </c>
      <c r="F4459" t="n">
        <v>1</v>
      </c>
      <c r="G4459" t="n">
        <v>1534.9</v>
      </c>
      <c r="H4459" t="n">
        <v>27.67</v>
      </c>
      <c r="I4459" t="inlineStr">
        <is>
          <t>debit_card</t>
        </is>
      </c>
      <c r="J4459" t="n">
        <v>25</v>
      </c>
      <c r="K4459" t="inlineStr">
        <is>
          <t>On Time</t>
        </is>
      </c>
      <c r="L4459" t="n">
        <v>3</v>
      </c>
      <c r="M4459">
        <f>VLOOKUP(D4459,State_Lookup!$A$2:$B$28,2,FALSE)</f>
        <v/>
      </c>
    </row>
    <row r="4460">
      <c r="A4460" t="inlineStr">
        <is>
          <t>490a97982e956ca7dcafe2282467dccb</t>
        </is>
      </c>
      <c r="B4460" t="inlineStr">
        <is>
          <t>2018-07-12</t>
        </is>
      </c>
      <c r="C4460" t="inlineStr">
        <is>
          <t>2018-07</t>
        </is>
      </c>
      <c r="D4460" t="inlineStr">
        <is>
          <t>AL</t>
        </is>
      </c>
      <c r="E4460" t="inlineStr">
        <is>
          <t>auto</t>
        </is>
      </c>
      <c r="F4460" t="n">
        <v>1</v>
      </c>
      <c r="G4460" t="n">
        <v>43</v>
      </c>
      <c r="H4460" t="n">
        <v>23.02</v>
      </c>
      <c r="I4460" t="inlineStr">
        <is>
          <t>credit_card</t>
        </is>
      </c>
      <c r="J4460" t="n">
        <v>21</v>
      </c>
      <c r="K4460" t="inlineStr">
        <is>
          <t>On Time</t>
        </is>
      </c>
      <c r="L4460" t="n">
        <v>5</v>
      </c>
      <c r="M4460">
        <f>VLOOKUP(D4460,State_Lookup!$A$2:$B$28,2,FALSE)</f>
        <v/>
      </c>
    </row>
    <row r="4461">
      <c r="A4461" t="inlineStr">
        <is>
          <t>75d5ef4d60406619e9be0c9be3c3d92c</t>
        </is>
      </c>
      <c r="B4461" t="inlineStr">
        <is>
          <t>2018-07-12</t>
        </is>
      </c>
      <c r="C4461" t="inlineStr">
        <is>
          <t>2018-07</t>
        </is>
      </c>
      <c r="D4461" t="inlineStr">
        <is>
          <t>MG</t>
        </is>
      </c>
      <c r="E4461" t="inlineStr">
        <is>
          <t>art</t>
        </is>
      </c>
      <c r="F4461" t="n">
        <v>1</v>
      </c>
      <c r="G4461" t="n">
        <v>99.98999999999999</v>
      </c>
      <c r="H4461" t="n">
        <v>23.5</v>
      </c>
      <c r="I4461" t="inlineStr">
        <is>
          <t>credit_card</t>
        </is>
      </c>
      <c r="J4461" t="n">
        <v>11</v>
      </c>
      <c r="K4461" t="inlineStr">
        <is>
          <t>On Time</t>
        </is>
      </c>
      <c r="L4461" t="n">
        <v>5</v>
      </c>
      <c r="M4461">
        <f>VLOOKUP(D4461,State_Lookup!$A$2:$B$28,2,FALSE)</f>
        <v/>
      </c>
    </row>
    <row r="4462">
      <c r="A4462" t="inlineStr">
        <is>
          <t>e051aa19f5f2e6a98406c005cf5c656b</t>
        </is>
      </c>
      <c r="B4462" t="inlineStr">
        <is>
          <t>2018-07-12</t>
        </is>
      </c>
      <c r="C4462" t="inlineStr">
        <is>
          <t>2018-07</t>
        </is>
      </c>
      <c r="D4462" t="inlineStr">
        <is>
          <t>RS</t>
        </is>
      </c>
      <c r="E4462" t="inlineStr">
        <is>
          <t>electronics</t>
        </is>
      </c>
      <c r="F4462" t="n">
        <v>1</v>
      </c>
      <c r="G4462" t="n">
        <v>88.90000000000001</v>
      </c>
      <c r="H4462" t="n">
        <v>24.97</v>
      </c>
      <c r="I4462" t="inlineStr">
        <is>
          <t>voucher</t>
        </is>
      </c>
      <c r="J4462" t="n">
        <v>3</v>
      </c>
      <c r="K4462" t="inlineStr">
        <is>
          <t>On Time</t>
        </is>
      </c>
      <c r="L4462" t="n">
        <v>1</v>
      </c>
      <c r="M4462">
        <f>VLOOKUP(D4462,State_Lookup!$A$2:$B$28,2,FALSE)</f>
        <v/>
      </c>
    </row>
    <row r="4463">
      <c r="A4463" t="inlineStr">
        <is>
          <t>15ea2ff54aafb487d482a527b120464b</t>
        </is>
      </c>
      <c r="B4463" t="inlineStr">
        <is>
          <t>2018-07-12</t>
        </is>
      </c>
      <c r="C4463" t="inlineStr">
        <is>
          <t>2018-07</t>
        </is>
      </c>
      <c r="D4463" t="inlineStr">
        <is>
          <t>PE</t>
        </is>
      </c>
      <c r="E4463" t="inlineStr">
        <is>
          <t>stationery</t>
        </is>
      </c>
      <c r="F4463" t="n">
        <v>1</v>
      </c>
      <c r="G4463" t="n">
        <v>169.9</v>
      </c>
      <c r="H4463" t="n">
        <v>20.1</v>
      </c>
      <c r="I4463" t="inlineStr">
        <is>
          <t>boleto</t>
        </is>
      </c>
      <c r="J4463" t="n">
        <v>12</v>
      </c>
      <c r="K4463" t="inlineStr">
        <is>
          <t>On Time</t>
        </is>
      </c>
      <c r="L4463" t="n">
        <v>5</v>
      </c>
      <c r="M4463">
        <f>VLOOKUP(D4463,State_Lookup!$A$2:$B$28,2,FALSE)</f>
        <v/>
      </c>
    </row>
    <row r="4464">
      <c r="A4464" t="inlineStr">
        <is>
          <t>308163f9666c3f335e92b0f0f61554ed</t>
        </is>
      </c>
      <c r="B4464" t="inlineStr">
        <is>
          <t>2018-07-12</t>
        </is>
      </c>
      <c r="C4464" t="inlineStr">
        <is>
          <t>2018-07</t>
        </is>
      </c>
      <c r="D4464" t="inlineStr">
        <is>
          <t>RJ</t>
        </is>
      </c>
      <c r="E4464" t="inlineStr">
        <is>
          <t>baby</t>
        </is>
      </c>
      <c r="F4464" t="n">
        <v>1</v>
      </c>
      <c r="G4464" t="n">
        <v>20</v>
      </c>
      <c r="H4464" t="n">
        <v>18.24</v>
      </c>
      <c r="I4464" t="inlineStr">
        <is>
          <t>boleto</t>
        </is>
      </c>
      <c r="J4464" t="n">
        <v>19</v>
      </c>
      <c r="K4464" t="inlineStr">
        <is>
          <t>Late</t>
        </is>
      </c>
      <c r="L4464" t="n">
        <v>3</v>
      </c>
      <c r="M4464">
        <f>VLOOKUP(D4464,State_Lookup!$A$2:$B$28,2,FALSE)</f>
        <v/>
      </c>
    </row>
    <row r="4465">
      <c r="A4465" t="inlineStr">
        <is>
          <t>da3dc62f13188f2866f5775585107a7f</t>
        </is>
      </c>
      <c r="B4465" t="inlineStr">
        <is>
          <t>2018-07-12</t>
        </is>
      </c>
      <c r="C4465" t="inlineStr">
        <is>
          <t>2018-07</t>
        </is>
      </c>
      <c r="D4465" t="inlineStr">
        <is>
          <t>RJ</t>
        </is>
      </c>
      <c r="E4465" t="inlineStr">
        <is>
          <t>bed_bath_table</t>
        </is>
      </c>
      <c r="F4465" t="n">
        <v>1</v>
      </c>
      <c r="G4465" t="n">
        <v>70.25</v>
      </c>
      <c r="H4465" t="n">
        <v>27.44</v>
      </c>
      <c r="I4465" t="inlineStr">
        <is>
          <t>voucher</t>
        </is>
      </c>
      <c r="J4465" t="n">
        <v>12</v>
      </c>
      <c r="K4465" t="inlineStr">
        <is>
          <t>On Time</t>
        </is>
      </c>
      <c r="L4465" t="n">
        <v>1</v>
      </c>
      <c r="M4465">
        <f>VLOOKUP(D4465,State_Lookup!$A$2:$B$28,2,FALSE)</f>
        <v/>
      </c>
    </row>
    <row r="4466">
      <c r="A4466" t="inlineStr">
        <is>
          <t>49df58eca26497b2af5a5685006f9615</t>
        </is>
      </c>
      <c r="B4466" t="inlineStr">
        <is>
          <t>2018-07-12</t>
        </is>
      </c>
      <c r="C4466" t="inlineStr">
        <is>
          <t>2018-07</t>
        </is>
      </c>
      <c r="D4466" t="inlineStr">
        <is>
          <t>SP</t>
        </is>
      </c>
      <c r="E4466" t="inlineStr">
        <is>
          <t>health_beauty</t>
        </is>
      </c>
      <c r="F4466" t="n">
        <v>1</v>
      </c>
      <c r="G4466" t="n">
        <v>27.9</v>
      </c>
      <c r="H4466" t="n">
        <v>7.46</v>
      </c>
      <c r="I4466" t="inlineStr">
        <is>
          <t>credit_card</t>
        </is>
      </c>
      <c r="J4466" t="n">
        <v>1</v>
      </c>
      <c r="K4466" t="inlineStr">
        <is>
          <t>On Time</t>
        </is>
      </c>
      <c r="L4466" t="n">
        <v>5</v>
      </c>
      <c r="M4466">
        <f>VLOOKUP(D4466,State_Lookup!$A$2:$B$28,2,FALSE)</f>
        <v/>
      </c>
    </row>
    <row r="4467">
      <c r="A4467" t="inlineStr">
        <is>
          <t>58435d6ff97216c2ca1eab87aba77dff</t>
        </is>
      </c>
      <c r="B4467" t="inlineStr">
        <is>
          <t>2018-07-13</t>
        </is>
      </c>
      <c r="C4467" t="inlineStr">
        <is>
          <t>2018-07</t>
        </is>
      </c>
      <c r="D4467" t="inlineStr">
        <is>
          <t>RJ</t>
        </is>
      </c>
      <c r="E4467" t="inlineStr">
        <is>
          <t>drinks</t>
        </is>
      </c>
      <c r="F4467" t="n">
        <v>1</v>
      </c>
      <c r="G4467" t="n">
        <v>58</v>
      </c>
      <c r="H4467" t="n">
        <v>18.51</v>
      </c>
      <c r="I4467" t="inlineStr">
        <is>
          <t>credit_card</t>
        </is>
      </c>
      <c r="J4467" t="n">
        <v>10</v>
      </c>
      <c r="K4467" t="inlineStr">
        <is>
          <t>On Time</t>
        </is>
      </c>
      <c r="L4467" t="n">
        <v>5</v>
      </c>
      <c r="M4467">
        <f>VLOOKUP(D4467,State_Lookup!$A$2:$B$28,2,FALSE)</f>
        <v/>
      </c>
    </row>
    <row r="4468">
      <c r="A4468" t="inlineStr">
        <is>
          <t>b8eaf5e9d1583c47190523695464e441</t>
        </is>
      </c>
      <c r="B4468" t="inlineStr">
        <is>
          <t>2018-07-13</t>
        </is>
      </c>
      <c r="C4468" t="inlineStr">
        <is>
          <t>2018-07</t>
        </is>
      </c>
      <c r="D4468" t="inlineStr">
        <is>
          <t>SP</t>
        </is>
      </c>
      <c r="E4468" t="inlineStr">
        <is>
          <t>health_beauty</t>
        </is>
      </c>
      <c r="F4468" t="n">
        <v>1</v>
      </c>
      <c r="G4468" t="n">
        <v>35.9</v>
      </c>
      <c r="H4468" t="n">
        <v>18.35</v>
      </c>
      <c r="I4468" t="inlineStr">
        <is>
          <t>debit_card</t>
        </is>
      </c>
      <c r="J4468" t="n">
        <v>11</v>
      </c>
      <c r="K4468" t="inlineStr">
        <is>
          <t>On Time</t>
        </is>
      </c>
      <c r="L4468" t="n">
        <v>5</v>
      </c>
      <c r="M4468">
        <f>VLOOKUP(D4468,State_Lookup!$A$2:$B$28,2,FALSE)</f>
        <v/>
      </c>
    </row>
    <row r="4469">
      <c r="A4469" t="inlineStr">
        <is>
          <t>53302305754d77daab8c64a29db8d8c4</t>
        </is>
      </c>
      <c r="B4469" t="inlineStr">
        <is>
          <t>2018-07-13</t>
        </is>
      </c>
      <c r="C4469" t="inlineStr">
        <is>
          <t>2018-07</t>
        </is>
      </c>
      <c r="D4469" t="inlineStr">
        <is>
          <t>PE</t>
        </is>
      </c>
      <c r="E4469" t="inlineStr">
        <is>
          <t>health_beauty</t>
        </is>
      </c>
      <c r="F4469" t="n">
        <v>1</v>
      </c>
      <c r="G4469" t="n">
        <v>69.90000000000001</v>
      </c>
      <c r="H4469" t="n">
        <v>19.4</v>
      </c>
      <c r="I4469" t="inlineStr">
        <is>
          <t>credit_card</t>
        </is>
      </c>
      <c r="J4469" t="n">
        <v>13</v>
      </c>
      <c r="K4469" t="inlineStr">
        <is>
          <t>On Time</t>
        </is>
      </c>
      <c r="L4469" t="n">
        <v>5</v>
      </c>
      <c r="M4469">
        <f>VLOOKUP(D4469,State_Lookup!$A$2:$B$28,2,FALSE)</f>
        <v/>
      </c>
    </row>
    <row r="4470">
      <c r="A4470" t="inlineStr">
        <is>
          <t>c37d41945512f0cfbcdd0f085bbd04d8</t>
        </is>
      </c>
      <c r="B4470" t="inlineStr">
        <is>
          <t>2018-07-13</t>
        </is>
      </c>
      <c r="C4470" t="inlineStr">
        <is>
          <t>2018-07</t>
        </is>
      </c>
      <c r="D4470" t="inlineStr">
        <is>
          <t>GO</t>
        </is>
      </c>
      <c r="E4470" t="inlineStr">
        <is>
          <t>signaling_and_security</t>
        </is>
      </c>
      <c r="F4470" t="n">
        <v>2</v>
      </c>
      <c r="G4470" t="n">
        <v>190.54</v>
      </c>
      <c r="H4470" t="n">
        <v>31.54</v>
      </c>
      <c r="I4470" t="inlineStr">
        <is>
          <t>boleto</t>
        </is>
      </c>
      <c r="J4470" t="n">
        <v>11</v>
      </c>
      <c r="K4470" t="inlineStr">
        <is>
          <t>On Time</t>
        </is>
      </c>
      <c r="L4470" t="n">
        <v>5</v>
      </c>
      <c r="M4470">
        <f>VLOOKUP(D4470,State_Lookup!$A$2:$B$28,2,FALSE)</f>
        <v/>
      </c>
    </row>
    <row r="4471">
      <c r="A4471" t="inlineStr">
        <is>
          <t>dacb857612778747b96d5afcad0adbd4</t>
        </is>
      </c>
      <c r="B4471" t="inlineStr">
        <is>
          <t>2018-07-13</t>
        </is>
      </c>
      <c r="C4471" t="inlineStr">
        <is>
          <t>2018-07</t>
        </is>
      </c>
      <c r="D4471" t="inlineStr">
        <is>
          <t>PR</t>
        </is>
      </c>
      <c r="E4471" t="inlineStr">
        <is>
          <t>health_beauty</t>
        </is>
      </c>
      <c r="F4471" t="n">
        <v>3</v>
      </c>
      <c r="G4471" t="n">
        <v>116.97</v>
      </c>
      <c r="H4471" t="n">
        <v>55.11</v>
      </c>
      <c r="I4471" t="inlineStr">
        <is>
          <t>boleto</t>
        </is>
      </c>
      <c r="J4471" t="n">
        <v>10</v>
      </c>
      <c r="K4471" t="inlineStr">
        <is>
          <t>On Time</t>
        </is>
      </c>
      <c r="L4471" t="n">
        <v>5</v>
      </c>
      <c r="M4471">
        <f>VLOOKUP(D4471,State_Lookup!$A$2:$B$28,2,FALSE)</f>
        <v/>
      </c>
    </row>
    <row r="4472">
      <c r="A4472" t="inlineStr">
        <is>
          <t>a6ecc5068e6e585b2dca3e496ba4b277</t>
        </is>
      </c>
      <c r="B4472" t="inlineStr">
        <is>
          <t>2018-07-13</t>
        </is>
      </c>
      <c r="C4472" t="inlineStr">
        <is>
          <t>2018-07</t>
        </is>
      </c>
      <c r="D4472" t="inlineStr">
        <is>
          <t>SP</t>
        </is>
      </c>
      <c r="E4472" t="inlineStr">
        <is>
          <t>perfumery</t>
        </is>
      </c>
      <c r="F4472" t="n">
        <v>1</v>
      </c>
      <c r="G4472" t="n">
        <v>132.2</v>
      </c>
      <c r="H4472" t="n">
        <v>19.03</v>
      </c>
      <c r="I4472" t="inlineStr">
        <is>
          <t>credit_card</t>
        </is>
      </c>
      <c r="J4472" t="n">
        <v>11</v>
      </c>
      <c r="K4472" t="inlineStr">
        <is>
          <t>On Time</t>
        </is>
      </c>
      <c r="L4472" t="n">
        <v>5</v>
      </c>
      <c r="M4472">
        <f>VLOOKUP(D4472,State_Lookup!$A$2:$B$28,2,FALSE)</f>
        <v/>
      </c>
    </row>
    <row r="4473">
      <c r="A4473" t="inlineStr">
        <is>
          <t>b3c22881ab836451fc66d6cbf6a2083e</t>
        </is>
      </c>
      <c r="B4473" t="inlineStr">
        <is>
          <t>2018-07-13</t>
        </is>
      </c>
      <c r="C4473" t="inlineStr">
        <is>
          <t>2018-07</t>
        </is>
      </c>
      <c r="D4473" t="inlineStr">
        <is>
          <t>SC</t>
        </is>
      </c>
      <c r="E4473" t="inlineStr">
        <is>
          <t>furniture_decor</t>
        </is>
      </c>
      <c r="F4473" t="n">
        <v>1</v>
      </c>
      <c r="G4473" t="n">
        <v>120</v>
      </c>
      <c r="H4473" t="n">
        <v>74.79000000000001</v>
      </c>
      <c r="I4473" t="inlineStr">
        <is>
          <t>credit_card</t>
        </is>
      </c>
      <c r="J4473" t="n">
        <v>11</v>
      </c>
      <c r="K4473" t="inlineStr">
        <is>
          <t>On Time</t>
        </is>
      </c>
      <c r="L4473" t="n">
        <v>5</v>
      </c>
      <c r="M4473">
        <f>VLOOKUP(D4473,State_Lookup!$A$2:$B$28,2,FALSE)</f>
        <v/>
      </c>
    </row>
    <row r="4474">
      <c r="A4474" t="inlineStr">
        <is>
          <t>70f3d00cfbc9cc2a465887a6edeb1149</t>
        </is>
      </c>
      <c r="B4474" t="inlineStr">
        <is>
          <t>2018-07-14</t>
        </is>
      </c>
      <c r="C4474" t="inlineStr">
        <is>
          <t>2018-07</t>
        </is>
      </c>
      <c r="D4474" t="inlineStr">
        <is>
          <t>BA</t>
        </is>
      </c>
      <c r="E4474" t="inlineStr">
        <is>
          <t>auto</t>
        </is>
      </c>
      <c r="F4474" t="n">
        <v>1</v>
      </c>
      <c r="G4474" t="n">
        <v>1280</v>
      </c>
      <c r="H4474" t="n">
        <v>63.44</v>
      </c>
      <c r="I4474" t="inlineStr">
        <is>
          <t>credit_card</t>
        </is>
      </c>
      <c r="J4474" t="n">
        <v>9</v>
      </c>
      <c r="K4474" t="inlineStr">
        <is>
          <t>On Time</t>
        </is>
      </c>
      <c r="L4474" t="n">
        <v>5</v>
      </c>
      <c r="M4474">
        <f>VLOOKUP(D4474,State_Lookup!$A$2:$B$28,2,FALSE)</f>
        <v/>
      </c>
    </row>
    <row r="4475">
      <c r="A4475" t="inlineStr">
        <is>
          <t>ca5194dbc94536f842d03241b5a223bb</t>
        </is>
      </c>
      <c r="B4475" t="inlineStr">
        <is>
          <t>2018-07-14</t>
        </is>
      </c>
      <c r="C4475" t="inlineStr">
        <is>
          <t>2018-07</t>
        </is>
      </c>
      <c r="D4475" t="inlineStr">
        <is>
          <t>CE</t>
        </is>
      </c>
      <c r="E4475" t="inlineStr">
        <is>
          <t>musical_instruments</t>
        </is>
      </c>
      <c r="F4475" t="n">
        <v>1</v>
      </c>
      <c r="G4475" t="n">
        <v>55</v>
      </c>
      <c r="H4475" t="n">
        <v>38.66</v>
      </c>
      <c r="I4475" t="inlineStr">
        <is>
          <t>credit_card</t>
        </is>
      </c>
      <c r="J4475" t="n">
        <v>12</v>
      </c>
      <c r="K4475" t="inlineStr">
        <is>
          <t>On Time</t>
        </is>
      </c>
      <c r="L4475" t="n">
        <v>4</v>
      </c>
      <c r="M4475">
        <f>VLOOKUP(D4475,State_Lookup!$A$2:$B$28,2,FALSE)</f>
        <v/>
      </c>
    </row>
    <row r="4476">
      <c r="A4476" t="inlineStr">
        <is>
          <t>fffcd46ef2263f404302a634eb57f7eb</t>
        </is>
      </c>
      <c r="B4476" t="inlineStr">
        <is>
          <t>2018-07-14</t>
        </is>
      </c>
      <c r="C4476" t="inlineStr">
        <is>
          <t>2018-07</t>
        </is>
      </c>
      <c r="D4476" t="inlineStr">
        <is>
          <t>PR</t>
        </is>
      </c>
      <c r="E4476" t="inlineStr">
        <is>
          <t>computers_accessories</t>
        </is>
      </c>
      <c r="F4476" t="n">
        <v>1</v>
      </c>
      <c r="G4476" t="n">
        <v>350</v>
      </c>
      <c r="H4476" t="n">
        <v>36.53</v>
      </c>
      <c r="I4476" t="inlineStr">
        <is>
          <t>boleto</t>
        </is>
      </c>
      <c r="J4476" t="n">
        <v>9</v>
      </c>
      <c r="K4476" t="inlineStr">
        <is>
          <t>On Time</t>
        </is>
      </c>
      <c r="L4476" t="n">
        <v>5</v>
      </c>
      <c r="M4476">
        <f>VLOOKUP(D4476,State_Lookup!$A$2:$B$28,2,FALSE)</f>
        <v/>
      </c>
    </row>
    <row r="4477">
      <c r="A4477" t="inlineStr">
        <is>
          <t>94205d5566885abf3cb4da408bdb1ae9</t>
        </is>
      </c>
      <c r="B4477" t="inlineStr">
        <is>
          <t>2018-07-14</t>
        </is>
      </c>
      <c r="C4477" t="inlineStr">
        <is>
          <t>2018-07</t>
        </is>
      </c>
      <c r="D4477" t="inlineStr">
        <is>
          <t>SC</t>
        </is>
      </c>
      <c r="E4477" t="inlineStr">
        <is>
          <t>telephony</t>
        </is>
      </c>
      <c r="F4477" t="n">
        <v>1</v>
      </c>
      <c r="G4477" t="n">
        <v>29.99</v>
      </c>
      <c r="H4477" t="n">
        <v>18.31</v>
      </c>
      <c r="I4477" t="inlineStr">
        <is>
          <t>credit_card</t>
        </is>
      </c>
      <c r="J4477" t="n">
        <v>12</v>
      </c>
      <c r="K4477" t="inlineStr">
        <is>
          <t>On Time</t>
        </is>
      </c>
      <c r="L4477" t="n">
        <v>3</v>
      </c>
      <c r="M4477">
        <f>VLOOKUP(D4477,State_Lookup!$A$2:$B$28,2,FALSE)</f>
        <v/>
      </c>
    </row>
    <row r="4478">
      <c r="A4478" t="inlineStr">
        <is>
          <t>8780697430377d453d0cf3f29848a515</t>
        </is>
      </c>
      <c r="B4478" t="inlineStr">
        <is>
          <t>2018-07-14</t>
        </is>
      </c>
      <c r="C4478" t="inlineStr">
        <is>
          <t>2018-07</t>
        </is>
      </c>
      <c r="D4478" t="inlineStr">
        <is>
          <t>RJ</t>
        </is>
      </c>
      <c r="E4478" t="inlineStr">
        <is>
          <t>office_furniture</t>
        </is>
      </c>
      <c r="F4478" t="n">
        <v>1</v>
      </c>
      <c r="G4478" t="n">
        <v>79.98</v>
      </c>
      <c r="H4478" t="n">
        <v>40.17</v>
      </c>
      <c r="I4478" t="inlineStr">
        <is>
          <t>credit_card</t>
        </is>
      </c>
      <c r="J4478" t="n">
        <v>23</v>
      </c>
      <c r="K4478" t="inlineStr">
        <is>
          <t>On Time</t>
        </is>
      </c>
      <c r="L4478" t="n">
        <v>5</v>
      </c>
      <c r="M4478">
        <f>VLOOKUP(D4478,State_Lookup!$A$2:$B$28,2,FALSE)</f>
        <v/>
      </c>
    </row>
    <row r="4479">
      <c r="A4479" t="inlineStr">
        <is>
          <t>fafc6736ffc73023e2685c30aa3822c2</t>
        </is>
      </c>
      <c r="B4479" t="inlineStr">
        <is>
          <t>2018-07-15</t>
        </is>
      </c>
      <c r="C4479" t="inlineStr">
        <is>
          <t>2018-07</t>
        </is>
      </c>
      <c r="D4479" t="inlineStr">
        <is>
          <t>RJ</t>
        </is>
      </c>
      <c r="E4479" t="inlineStr">
        <is>
          <t>construction_tools_construction</t>
        </is>
      </c>
      <c r="F4479" t="n">
        <v>1</v>
      </c>
      <c r="G4479" t="n">
        <v>65.48999999999999</v>
      </c>
      <c r="H4479" t="n">
        <v>18.56</v>
      </c>
      <c r="I4479" t="inlineStr">
        <is>
          <t>credit_card</t>
        </is>
      </c>
      <c r="J4479" t="n">
        <v>5</v>
      </c>
      <c r="K4479" t="inlineStr">
        <is>
          <t>On Time</t>
        </is>
      </c>
      <c r="L4479" t="n">
        <v>5</v>
      </c>
      <c r="M4479">
        <f>VLOOKUP(D4479,State_Lookup!$A$2:$B$28,2,FALSE)</f>
        <v/>
      </c>
    </row>
    <row r="4480">
      <c r="A4480" t="inlineStr">
        <is>
          <t>6c825e27cef5e047f570be83dd1feaba</t>
        </is>
      </c>
      <c r="B4480" t="inlineStr">
        <is>
          <t>2018-07-15</t>
        </is>
      </c>
      <c r="C4480" t="inlineStr">
        <is>
          <t>2018-07</t>
        </is>
      </c>
      <c r="D4480" t="inlineStr">
        <is>
          <t>SP</t>
        </is>
      </c>
      <c r="E4480" t="inlineStr">
        <is>
          <t>sports_leisure</t>
        </is>
      </c>
      <c r="F4480" t="n">
        <v>1</v>
      </c>
      <c r="G4480" t="n">
        <v>43</v>
      </c>
      <c r="H4480" t="n">
        <v>12.96</v>
      </c>
      <c r="I4480" t="inlineStr">
        <is>
          <t>credit_card</t>
        </is>
      </c>
      <c r="J4480" t="n">
        <v>8</v>
      </c>
      <c r="K4480" t="inlineStr">
        <is>
          <t>On Time</t>
        </is>
      </c>
      <c r="L4480" t="n">
        <v>5</v>
      </c>
      <c r="M4480">
        <f>VLOOKUP(D4480,State_Lookup!$A$2:$B$28,2,FALSE)</f>
        <v/>
      </c>
    </row>
    <row r="4481">
      <c r="A4481" t="inlineStr">
        <is>
          <t>dd42be32e12fb6ede27f5debb852e94a</t>
        </is>
      </c>
      <c r="B4481" t="inlineStr">
        <is>
          <t>2018-07-15</t>
        </is>
      </c>
      <c r="C4481" t="inlineStr">
        <is>
          <t>2018-07</t>
        </is>
      </c>
      <c r="D4481" t="inlineStr">
        <is>
          <t>SP</t>
        </is>
      </c>
      <c r="E4481" t="inlineStr">
        <is>
          <t>watches_gifts</t>
        </is>
      </c>
      <c r="F4481" t="n">
        <v>1</v>
      </c>
      <c r="G4481" t="n">
        <v>155.97</v>
      </c>
      <c r="H4481" t="n">
        <v>8.35</v>
      </c>
      <c r="I4481" t="inlineStr">
        <is>
          <t>credit_card</t>
        </is>
      </c>
      <c r="J4481" t="n">
        <v>10</v>
      </c>
      <c r="K4481" t="inlineStr">
        <is>
          <t>On Time</t>
        </is>
      </c>
      <c r="L4481" t="n">
        <v>5</v>
      </c>
      <c r="M4481">
        <f>VLOOKUP(D4481,State_Lookup!$A$2:$B$28,2,FALSE)</f>
        <v/>
      </c>
    </row>
    <row r="4482">
      <c r="A4482" t="inlineStr">
        <is>
          <t>0c283c8e0c146f4528295a6f4ade284f</t>
        </is>
      </c>
      <c r="B4482" t="inlineStr">
        <is>
          <t>2018-07-15</t>
        </is>
      </c>
      <c r="C4482" t="inlineStr">
        <is>
          <t>2018-07</t>
        </is>
      </c>
      <c r="D4482" t="inlineStr">
        <is>
          <t>SP</t>
        </is>
      </c>
      <c r="E4482" t="inlineStr">
        <is>
          <t>watches_gifts</t>
        </is>
      </c>
      <c r="F4482" t="n">
        <v>1</v>
      </c>
      <c r="G4482" t="n">
        <v>139</v>
      </c>
      <c r="H4482" t="n">
        <v>19.07</v>
      </c>
      <c r="I4482" t="inlineStr">
        <is>
          <t>boleto</t>
        </is>
      </c>
      <c r="J4482" t="n">
        <v>9</v>
      </c>
      <c r="K4482" t="inlineStr">
        <is>
          <t>On Time</t>
        </is>
      </c>
      <c r="L4482" t="n">
        <v>5</v>
      </c>
      <c r="M4482">
        <f>VLOOKUP(D4482,State_Lookup!$A$2:$B$28,2,FALSE)</f>
        <v/>
      </c>
    </row>
    <row r="4483">
      <c r="A4483" t="inlineStr">
        <is>
          <t>a77391cdf600460b495855e76f6938c8</t>
        </is>
      </c>
      <c r="B4483" t="inlineStr">
        <is>
          <t>2018-07-15</t>
        </is>
      </c>
      <c r="C4483" t="inlineStr">
        <is>
          <t>2018-07</t>
        </is>
      </c>
      <c r="D4483" t="inlineStr">
        <is>
          <t>MG</t>
        </is>
      </c>
      <c r="E4483" t="inlineStr">
        <is>
          <t>furniture_decor</t>
        </is>
      </c>
      <c r="F4483" t="n">
        <v>1</v>
      </c>
      <c r="G4483" t="n">
        <v>39.9</v>
      </c>
      <c r="H4483" t="n">
        <v>23.43</v>
      </c>
      <c r="I4483" t="inlineStr">
        <is>
          <t>credit_card</t>
        </is>
      </c>
      <c r="J4483" t="n">
        <v>4</v>
      </c>
      <c r="K4483" t="inlineStr">
        <is>
          <t>On Time</t>
        </is>
      </c>
      <c r="L4483" t="n">
        <v>5</v>
      </c>
      <c r="M4483">
        <f>VLOOKUP(D4483,State_Lookup!$A$2:$B$28,2,FALSE)</f>
        <v/>
      </c>
    </row>
    <row r="4484">
      <c r="A4484" t="inlineStr">
        <is>
          <t>214e3e63d08a54a0670daa8ce72df870</t>
        </is>
      </c>
      <c r="B4484" t="inlineStr">
        <is>
          <t>2018-07-16</t>
        </is>
      </c>
      <c r="C4484" t="inlineStr">
        <is>
          <t>2018-07</t>
        </is>
      </c>
      <c r="D4484" t="inlineStr">
        <is>
          <t>SP</t>
        </is>
      </c>
      <c r="E4484" t="inlineStr">
        <is>
          <t>stationery</t>
        </is>
      </c>
      <c r="F4484" t="n">
        <v>1</v>
      </c>
      <c r="G4484" t="n">
        <v>129.9</v>
      </c>
      <c r="H4484" t="n">
        <v>50.43</v>
      </c>
      <c r="I4484" t="inlineStr">
        <is>
          <t>boleto</t>
        </is>
      </c>
      <c r="J4484" t="n">
        <v>14</v>
      </c>
      <c r="K4484" t="inlineStr">
        <is>
          <t>On Time</t>
        </is>
      </c>
      <c r="L4484" t="n">
        <v>5</v>
      </c>
      <c r="M4484">
        <f>VLOOKUP(D4484,State_Lookup!$A$2:$B$28,2,FALSE)</f>
        <v/>
      </c>
    </row>
    <row r="4485">
      <c r="A4485" t="inlineStr">
        <is>
          <t>cf5f9668e80998cdc237f43f27857570</t>
        </is>
      </c>
      <c r="B4485" t="inlineStr">
        <is>
          <t>2018-07-16</t>
        </is>
      </c>
      <c r="C4485" t="inlineStr">
        <is>
          <t>2018-07</t>
        </is>
      </c>
      <c r="D4485" t="inlineStr">
        <is>
          <t>SP</t>
        </is>
      </c>
      <c r="E4485" t="inlineStr">
        <is>
          <t>health_beauty</t>
        </is>
      </c>
      <c r="F4485" t="n">
        <v>1</v>
      </c>
      <c r="G4485" t="n">
        <v>30.5</v>
      </c>
      <c r="H4485" t="n">
        <v>18.31</v>
      </c>
      <c r="I4485" t="inlineStr">
        <is>
          <t>credit_card</t>
        </is>
      </c>
      <c r="J4485" t="n">
        <v>7</v>
      </c>
      <c r="K4485" t="inlineStr">
        <is>
          <t>On Time</t>
        </is>
      </c>
      <c r="L4485" t="n">
        <v>5</v>
      </c>
      <c r="M4485">
        <f>VLOOKUP(D4485,State_Lookup!$A$2:$B$28,2,FALSE)</f>
        <v/>
      </c>
    </row>
    <row r="4486">
      <c r="A4486" t="inlineStr">
        <is>
          <t>d9770884f02a4e0d5e0f9d8fc5f5b9c4</t>
        </is>
      </c>
      <c r="B4486" t="inlineStr">
        <is>
          <t>2018-07-16</t>
        </is>
      </c>
      <c r="C4486" t="inlineStr">
        <is>
          <t>2018-07</t>
        </is>
      </c>
      <c r="D4486" t="inlineStr">
        <is>
          <t>RJ</t>
        </is>
      </c>
      <c r="E4486" t="inlineStr">
        <is>
          <t>garden_tools</t>
        </is>
      </c>
      <c r="F4486" t="n">
        <v>1</v>
      </c>
      <c r="G4486" t="n">
        <v>50</v>
      </c>
      <c r="H4486" t="n">
        <v>23.15</v>
      </c>
      <c r="I4486" t="inlineStr">
        <is>
          <t>credit_card</t>
        </is>
      </c>
      <c r="J4486" t="n">
        <v>8</v>
      </c>
      <c r="K4486" t="inlineStr">
        <is>
          <t>On Time</t>
        </is>
      </c>
      <c r="L4486" t="n">
        <v>5</v>
      </c>
      <c r="M4486">
        <f>VLOOKUP(D4486,State_Lookup!$A$2:$B$28,2,FALSE)</f>
        <v/>
      </c>
    </row>
    <row r="4487">
      <c r="A4487" t="inlineStr">
        <is>
          <t>e3d1d37007a4d31d2269ba250664f6b2</t>
        </is>
      </c>
      <c r="B4487" t="inlineStr">
        <is>
          <t>2018-07-16</t>
        </is>
      </c>
      <c r="C4487" t="inlineStr">
        <is>
          <t>2018-07</t>
        </is>
      </c>
      <c r="D4487" t="inlineStr">
        <is>
          <t>SP</t>
        </is>
      </c>
      <c r="E4487" t="inlineStr">
        <is>
          <t>health_beauty</t>
        </is>
      </c>
      <c r="F4487" t="n">
        <v>2</v>
      </c>
      <c r="G4487" t="n">
        <v>220.64</v>
      </c>
      <c r="H4487" t="n">
        <v>16.06</v>
      </c>
      <c r="I4487" t="inlineStr">
        <is>
          <t>debit_card</t>
        </is>
      </c>
      <c r="J4487" t="n">
        <v>10</v>
      </c>
      <c r="K4487" t="inlineStr">
        <is>
          <t>Late</t>
        </is>
      </c>
      <c r="L4487" t="n">
        <v>4</v>
      </c>
      <c r="M4487">
        <f>VLOOKUP(D4487,State_Lookup!$A$2:$B$28,2,FALSE)</f>
        <v/>
      </c>
    </row>
    <row r="4488">
      <c r="A4488" t="inlineStr">
        <is>
          <t>6ffc78c9003aa616f58b4de610bcce29</t>
        </is>
      </c>
      <c r="B4488" t="inlineStr">
        <is>
          <t>2018-07-16</t>
        </is>
      </c>
      <c r="C4488" t="inlineStr">
        <is>
          <t>2018-07</t>
        </is>
      </c>
      <c r="D4488" t="inlineStr">
        <is>
          <t>SP</t>
        </is>
      </c>
      <c r="E4488" t="inlineStr">
        <is>
          <t>health_beauty</t>
        </is>
      </c>
      <c r="F4488" t="n">
        <v>1</v>
      </c>
      <c r="G4488" t="n">
        <v>66.98999999999999</v>
      </c>
      <c r="H4488" t="n">
        <v>27.75</v>
      </c>
      <c r="I4488" t="inlineStr">
        <is>
          <t>credit_card</t>
        </is>
      </c>
      <c r="J4488" t="n">
        <v>25</v>
      </c>
      <c r="K4488" t="inlineStr">
        <is>
          <t>Late</t>
        </is>
      </c>
      <c r="L4488" t="n">
        <v>1</v>
      </c>
      <c r="M4488">
        <f>VLOOKUP(D4488,State_Lookup!$A$2:$B$28,2,FALSE)</f>
        <v/>
      </c>
    </row>
    <row r="4489">
      <c r="A4489" t="inlineStr">
        <is>
          <t>9645ec392b0691767c5d0e2fabca23d7</t>
        </is>
      </c>
      <c r="B4489" t="inlineStr">
        <is>
          <t>2018-07-16</t>
        </is>
      </c>
      <c r="C4489" t="inlineStr">
        <is>
          <t>2018-07</t>
        </is>
      </c>
      <c r="D4489" t="inlineStr">
        <is>
          <t>CE</t>
        </is>
      </c>
      <c r="E4489" t="inlineStr">
        <is>
          <t>perfumery</t>
        </is>
      </c>
      <c r="F4489" t="n">
        <v>1</v>
      </c>
      <c r="G4489" t="n">
        <v>44.99</v>
      </c>
      <c r="H4489" t="n">
        <v>19.23</v>
      </c>
      <c r="I4489" t="inlineStr">
        <is>
          <t>credit_card</t>
        </is>
      </c>
      <c r="J4489" t="n">
        <v>10</v>
      </c>
      <c r="K4489" t="inlineStr">
        <is>
          <t>On Time</t>
        </is>
      </c>
      <c r="L4489" t="n">
        <v>5</v>
      </c>
      <c r="M4489">
        <f>VLOOKUP(D4489,State_Lookup!$A$2:$B$28,2,FALSE)</f>
        <v/>
      </c>
    </row>
    <row r="4490">
      <c r="A4490" t="inlineStr">
        <is>
          <t>afc68d1f35e9dfe8220c9b9e27647065</t>
        </is>
      </c>
      <c r="B4490" t="inlineStr">
        <is>
          <t>2018-07-16</t>
        </is>
      </c>
      <c r="C4490" t="inlineStr">
        <is>
          <t>2018-07</t>
        </is>
      </c>
      <c r="D4490" t="inlineStr">
        <is>
          <t>MG</t>
        </is>
      </c>
      <c r="E4490" t="inlineStr">
        <is>
          <t>computers_accessories</t>
        </is>
      </c>
      <c r="F4490" t="n">
        <v>1</v>
      </c>
      <c r="G4490" t="n">
        <v>49</v>
      </c>
      <c r="H4490" t="n">
        <v>18.44</v>
      </c>
      <c r="I4490" t="inlineStr">
        <is>
          <t>credit_card</t>
        </is>
      </c>
      <c r="J4490" t="n">
        <v>9</v>
      </c>
      <c r="K4490" t="inlineStr">
        <is>
          <t>On Time</t>
        </is>
      </c>
      <c r="L4490" t="n">
        <v>5</v>
      </c>
      <c r="M4490">
        <f>VLOOKUP(D4490,State_Lookup!$A$2:$B$28,2,FALSE)</f>
        <v/>
      </c>
    </row>
    <row r="4491">
      <c r="A4491" t="inlineStr">
        <is>
          <t>82f4c933483d577ca9f00f49b1203155</t>
        </is>
      </c>
      <c r="B4491" t="inlineStr">
        <is>
          <t>2018-07-16</t>
        </is>
      </c>
      <c r="C4491" t="inlineStr">
        <is>
          <t>2018-07</t>
        </is>
      </c>
      <c r="D4491" t="inlineStr">
        <is>
          <t>SP</t>
        </is>
      </c>
      <c r="E4491" t="inlineStr">
        <is>
          <t>health_beauty</t>
        </is>
      </c>
      <c r="F4491" t="n">
        <v>1</v>
      </c>
      <c r="G4491" t="n">
        <v>14.9</v>
      </c>
      <c r="H4491" t="n">
        <v>8.880000000000001</v>
      </c>
      <c r="I4491" t="inlineStr">
        <is>
          <t>boleto</t>
        </is>
      </c>
      <c r="J4491" t="inlineStr"/>
      <c r="K4491" t="inlineStr">
        <is>
          <t>Not Delivered</t>
        </is>
      </c>
      <c r="L4491" t="n">
        <v>1</v>
      </c>
      <c r="M4491">
        <f>VLOOKUP(D4491,State_Lookup!$A$2:$B$28,2,FALSE)</f>
        <v/>
      </c>
    </row>
    <row r="4492">
      <c r="A4492" t="inlineStr">
        <is>
          <t>7a40bb8803549af172ca4403ff436229</t>
        </is>
      </c>
      <c r="B4492" t="inlineStr">
        <is>
          <t>2018-07-16</t>
        </is>
      </c>
      <c r="C4492" t="inlineStr">
        <is>
          <t>2018-07</t>
        </is>
      </c>
      <c r="D4492" t="inlineStr">
        <is>
          <t>SP</t>
        </is>
      </c>
      <c r="E4492" t="inlineStr">
        <is>
          <t>watches_gifts</t>
        </is>
      </c>
      <c r="F4492" t="n">
        <v>1</v>
      </c>
      <c r="G4492" t="n">
        <v>259</v>
      </c>
      <c r="H4492" t="n">
        <v>14.47</v>
      </c>
      <c r="I4492" t="inlineStr">
        <is>
          <t>credit_card</t>
        </is>
      </c>
      <c r="J4492" t="n">
        <v>7</v>
      </c>
      <c r="K4492" t="inlineStr">
        <is>
          <t>On Time</t>
        </is>
      </c>
      <c r="L4492" t="n">
        <v>1</v>
      </c>
      <c r="M4492">
        <f>VLOOKUP(D4492,State_Lookup!$A$2:$B$28,2,FALSE)</f>
        <v/>
      </c>
    </row>
    <row r="4493">
      <c r="A4493" t="inlineStr">
        <is>
          <t>455dbd3c7fa4666ddb7b723bbdd09076</t>
        </is>
      </c>
      <c r="B4493" t="inlineStr">
        <is>
          <t>2018-07-16</t>
        </is>
      </c>
      <c r="C4493" t="inlineStr">
        <is>
          <t>2018-07</t>
        </is>
      </c>
      <c r="D4493" t="inlineStr">
        <is>
          <t>PR</t>
        </is>
      </c>
      <c r="E4493" t="inlineStr">
        <is>
          <t>auto</t>
        </is>
      </c>
      <c r="F4493" t="n">
        <v>1</v>
      </c>
      <c r="G4493" t="n">
        <v>59.8</v>
      </c>
      <c r="H4493" t="n">
        <v>23.22</v>
      </c>
      <c r="I4493" t="inlineStr">
        <is>
          <t>credit_card</t>
        </is>
      </c>
      <c r="J4493" t="n">
        <v>4</v>
      </c>
      <c r="K4493" t="inlineStr">
        <is>
          <t>On Time</t>
        </is>
      </c>
      <c r="L4493" t="n">
        <v>5</v>
      </c>
      <c r="M4493">
        <f>VLOOKUP(D4493,State_Lookup!$A$2:$B$28,2,FALSE)</f>
        <v/>
      </c>
    </row>
    <row r="4494">
      <c r="A4494" t="inlineStr">
        <is>
          <t>5dea57306e01caa42ad0b07b85042953</t>
        </is>
      </c>
      <c r="B4494" t="inlineStr">
        <is>
          <t>2018-07-16</t>
        </is>
      </c>
      <c r="C4494" t="inlineStr">
        <is>
          <t>2018-07</t>
        </is>
      </c>
      <c r="D4494" t="inlineStr">
        <is>
          <t>SC</t>
        </is>
      </c>
      <c r="E4494" t="inlineStr">
        <is>
          <t>watches_gifts</t>
        </is>
      </c>
      <c r="F4494" t="n">
        <v>1</v>
      </c>
      <c r="G4494" t="n">
        <v>155.97</v>
      </c>
      <c r="H4494" t="n">
        <v>19.19</v>
      </c>
      <c r="I4494" t="inlineStr">
        <is>
          <t>credit_card</t>
        </is>
      </c>
      <c r="J4494" t="n">
        <v>17</v>
      </c>
      <c r="K4494" t="inlineStr">
        <is>
          <t>On Time</t>
        </is>
      </c>
      <c r="L4494" t="n">
        <v>5</v>
      </c>
      <c r="M4494">
        <f>VLOOKUP(D4494,State_Lookup!$A$2:$B$28,2,FALSE)</f>
        <v/>
      </c>
    </row>
    <row r="4495">
      <c r="A4495" t="inlineStr">
        <is>
          <t>c8e2288c4eab2cbafdf32fbde78f5a0e</t>
        </is>
      </c>
      <c r="B4495" t="inlineStr">
        <is>
          <t>2018-07-16</t>
        </is>
      </c>
      <c r="C4495" t="inlineStr">
        <is>
          <t>2018-07</t>
        </is>
      </c>
      <c r="D4495" t="inlineStr">
        <is>
          <t>RS</t>
        </is>
      </c>
      <c r="E4495" t="inlineStr">
        <is>
          <t>construction_tools_lights</t>
        </is>
      </c>
      <c r="F4495" t="n">
        <v>2</v>
      </c>
      <c r="G4495" t="n">
        <v>59.8</v>
      </c>
      <c r="H4495" t="n">
        <v>36.62</v>
      </c>
      <c r="I4495" t="inlineStr">
        <is>
          <t>credit_card</t>
        </is>
      </c>
      <c r="J4495" t="n">
        <v>6</v>
      </c>
      <c r="K4495" t="inlineStr">
        <is>
          <t>On Time</t>
        </is>
      </c>
      <c r="L4495" t="n">
        <v>5</v>
      </c>
      <c r="M4495">
        <f>VLOOKUP(D4495,State_Lookup!$A$2:$B$28,2,FALSE)</f>
        <v/>
      </c>
    </row>
    <row r="4496">
      <c r="A4496" t="inlineStr">
        <is>
          <t>37754393d4f73d9ef01dc61d6bac379b</t>
        </is>
      </c>
      <c r="B4496" t="inlineStr">
        <is>
          <t>2018-07-16</t>
        </is>
      </c>
      <c r="C4496" t="inlineStr">
        <is>
          <t>2018-07</t>
        </is>
      </c>
      <c r="D4496" t="inlineStr">
        <is>
          <t>MG</t>
        </is>
      </c>
      <c r="E4496" t="inlineStr">
        <is>
          <t>health_beauty</t>
        </is>
      </c>
      <c r="F4496" t="n">
        <v>1</v>
      </c>
      <c r="G4496" t="n">
        <v>99.90000000000001</v>
      </c>
      <c r="H4496" t="n">
        <v>27</v>
      </c>
      <c r="I4496" t="inlineStr">
        <is>
          <t>credit_card</t>
        </is>
      </c>
      <c r="J4496" t="n">
        <v>8</v>
      </c>
      <c r="K4496" t="inlineStr">
        <is>
          <t>On Time</t>
        </is>
      </c>
      <c r="L4496" t="n">
        <v>5</v>
      </c>
      <c r="M4496">
        <f>VLOOKUP(D4496,State_Lookup!$A$2:$B$28,2,FALSE)</f>
        <v/>
      </c>
    </row>
    <row r="4497">
      <c r="A4497" t="inlineStr">
        <is>
          <t>02521a906b13fc8ff9314bf88adc31ed</t>
        </is>
      </c>
      <c r="B4497" t="inlineStr">
        <is>
          <t>2018-07-16</t>
        </is>
      </c>
      <c r="C4497" t="inlineStr">
        <is>
          <t>2018-07</t>
        </is>
      </c>
      <c r="D4497" t="inlineStr">
        <is>
          <t>SP</t>
        </is>
      </c>
      <c r="E4497" t="inlineStr">
        <is>
          <t>watches_gifts</t>
        </is>
      </c>
      <c r="F4497" t="n">
        <v>1</v>
      </c>
      <c r="G4497" t="n">
        <v>509</v>
      </c>
      <c r="H4497" t="n">
        <v>12.31</v>
      </c>
      <c r="I4497" t="inlineStr">
        <is>
          <t>credit_card</t>
        </is>
      </c>
      <c r="J4497" t="n">
        <v>4</v>
      </c>
      <c r="K4497" t="inlineStr">
        <is>
          <t>On Time</t>
        </is>
      </c>
      <c r="L4497" t="n">
        <v>5</v>
      </c>
      <c r="M4497">
        <f>VLOOKUP(D4497,State_Lookup!$A$2:$B$28,2,FALSE)</f>
        <v/>
      </c>
    </row>
    <row r="4498">
      <c r="A4498" t="inlineStr">
        <is>
          <t>274f33c3b4d5612a37e3a223a2d9bc5a</t>
        </is>
      </c>
      <c r="B4498" t="inlineStr">
        <is>
          <t>2018-07-17</t>
        </is>
      </c>
      <c r="C4498" t="inlineStr">
        <is>
          <t>2018-07</t>
        </is>
      </c>
      <c r="D4498" t="inlineStr">
        <is>
          <t>PR</t>
        </is>
      </c>
      <c r="E4498" t="inlineStr">
        <is>
          <t>construction_tools_lights</t>
        </is>
      </c>
      <c r="F4498" t="n">
        <v>1</v>
      </c>
      <c r="G4498" t="n">
        <v>326</v>
      </c>
      <c r="H4498" t="n">
        <v>85.69</v>
      </c>
      <c r="I4498" t="inlineStr">
        <is>
          <t>credit_card</t>
        </is>
      </c>
      <c r="J4498" t="n">
        <v>6</v>
      </c>
      <c r="K4498" t="inlineStr">
        <is>
          <t>On Time</t>
        </is>
      </c>
      <c r="L4498" t="n">
        <v>5</v>
      </c>
      <c r="M4498">
        <f>VLOOKUP(D4498,State_Lookup!$A$2:$B$28,2,FALSE)</f>
        <v/>
      </c>
    </row>
    <row r="4499">
      <c r="A4499" t="inlineStr">
        <is>
          <t>e918a18483ed36b716b6fbc8cf570e83</t>
        </is>
      </c>
      <c r="B4499" t="inlineStr">
        <is>
          <t>2018-07-17</t>
        </is>
      </c>
      <c r="C4499" t="inlineStr">
        <is>
          <t>2018-07</t>
        </is>
      </c>
      <c r="D4499" t="inlineStr">
        <is>
          <t>MG</t>
        </is>
      </c>
      <c r="E4499" t="inlineStr">
        <is>
          <t>computers_accessories</t>
        </is>
      </c>
      <c r="F4499" t="n">
        <v>1</v>
      </c>
      <c r="G4499" t="n">
        <v>38.9</v>
      </c>
      <c r="H4499" t="n">
        <v>13.61</v>
      </c>
      <c r="I4499" t="inlineStr">
        <is>
          <t>boleto</t>
        </is>
      </c>
      <c r="J4499" t="n">
        <v>8</v>
      </c>
      <c r="K4499" t="inlineStr">
        <is>
          <t>On Time</t>
        </is>
      </c>
      <c r="L4499" t="n">
        <v>5</v>
      </c>
      <c r="M4499">
        <f>VLOOKUP(D4499,State_Lookup!$A$2:$B$28,2,FALSE)</f>
        <v/>
      </c>
    </row>
    <row r="4500">
      <c r="A4500" t="inlineStr">
        <is>
          <t>07294ed0ece67bb004a4813c77dfc3e3</t>
        </is>
      </c>
      <c r="B4500" t="inlineStr">
        <is>
          <t>2018-07-17</t>
        </is>
      </c>
      <c r="C4500" t="inlineStr">
        <is>
          <t>2018-07</t>
        </is>
      </c>
      <c r="D4500" t="inlineStr">
        <is>
          <t>SC</t>
        </is>
      </c>
      <c r="E4500" t="inlineStr">
        <is>
          <t>construction_tools_construction</t>
        </is>
      </c>
      <c r="F4500" t="n">
        <v>1</v>
      </c>
      <c r="G4500" t="n">
        <v>45.97</v>
      </c>
      <c r="H4500" t="n">
        <v>19.51</v>
      </c>
      <c r="I4500" t="inlineStr">
        <is>
          <t>credit_card</t>
        </is>
      </c>
      <c r="J4500" t="n">
        <v>7</v>
      </c>
      <c r="K4500" t="inlineStr">
        <is>
          <t>On Time</t>
        </is>
      </c>
      <c r="L4500" t="n">
        <v>5</v>
      </c>
      <c r="M4500">
        <f>VLOOKUP(D4500,State_Lookup!$A$2:$B$28,2,FALSE)</f>
        <v/>
      </c>
    </row>
    <row r="4501">
      <c r="A4501" t="inlineStr">
        <is>
          <t>c027f3c5515fef73b9212d8381c33b25</t>
        </is>
      </c>
      <c r="B4501" t="inlineStr">
        <is>
          <t>2018-07-17</t>
        </is>
      </c>
      <c r="C4501" t="inlineStr">
        <is>
          <t>2018-07</t>
        </is>
      </c>
      <c r="D4501" t="inlineStr">
        <is>
          <t>PR</t>
        </is>
      </c>
      <c r="E4501" t="inlineStr">
        <is>
          <t>stationery</t>
        </is>
      </c>
      <c r="F4501" t="n">
        <v>1</v>
      </c>
      <c r="G4501" t="n">
        <v>199.9</v>
      </c>
      <c r="H4501" t="n">
        <v>45.2</v>
      </c>
      <c r="I4501" t="inlineStr">
        <is>
          <t>credit_card</t>
        </is>
      </c>
      <c r="J4501" t="n">
        <v>8</v>
      </c>
      <c r="K4501" t="inlineStr">
        <is>
          <t>On Time</t>
        </is>
      </c>
      <c r="L4501" t="n">
        <v>5</v>
      </c>
      <c r="M4501">
        <f>VLOOKUP(D4501,State_Lookup!$A$2:$B$28,2,FALSE)</f>
        <v/>
      </c>
    </row>
    <row r="4502">
      <c r="A4502" t="inlineStr">
        <is>
          <t>c85e13fa13301ec2cb996db10353e737</t>
        </is>
      </c>
      <c r="B4502" t="inlineStr">
        <is>
          <t>2018-07-17</t>
        </is>
      </c>
      <c r="C4502" t="inlineStr">
        <is>
          <t>2018-07</t>
        </is>
      </c>
      <c r="D4502" t="inlineStr">
        <is>
          <t>RJ</t>
        </is>
      </c>
      <c r="E4502" t="inlineStr">
        <is>
          <t>bed_bath_table</t>
        </is>
      </c>
      <c r="F4502" t="n">
        <v>1</v>
      </c>
      <c r="G4502" t="n">
        <v>49.95</v>
      </c>
      <c r="H4502" t="n">
        <v>18.45</v>
      </c>
      <c r="I4502" t="inlineStr">
        <is>
          <t>credit_card</t>
        </is>
      </c>
      <c r="J4502" t="n">
        <v>9</v>
      </c>
      <c r="K4502" t="inlineStr">
        <is>
          <t>On Time</t>
        </is>
      </c>
      <c r="L4502" t="n">
        <v>4</v>
      </c>
      <c r="M4502">
        <f>VLOOKUP(D4502,State_Lookup!$A$2:$B$28,2,FALSE)</f>
        <v/>
      </c>
    </row>
    <row r="4503">
      <c r="A4503" t="inlineStr">
        <is>
          <t>7caa2aaed7e9a56d1bc1004eb7d296e5</t>
        </is>
      </c>
      <c r="B4503" t="inlineStr">
        <is>
          <t>2018-07-17</t>
        </is>
      </c>
      <c r="C4503" t="inlineStr">
        <is>
          <t>2018-07</t>
        </is>
      </c>
      <c r="D4503" t="inlineStr">
        <is>
          <t>SP</t>
        </is>
      </c>
      <c r="E4503" t="inlineStr">
        <is>
          <t>baby</t>
        </is>
      </c>
      <c r="F4503" t="n">
        <v>1</v>
      </c>
      <c r="G4503" t="n">
        <v>144.97</v>
      </c>
      <c r="H4503" t="n">
        <v>9.18</v>
      </c>
      <c r="I4503" t="inlineStr">
        <is>
          <t>voucher</t>
        </is>
      </c>
      <c r="J4503" t="n">
        <v>2</v>
      </c>
      <c r="K4503" t="inlineStr">
        <is>
          <t>On Time</t>
        </is>
      </c>
      <c r="L4503" t="n">
        <v>5</v>
      </c>
      <c r="M4503">
        <f>VLOOKUP(D4503,State_Lookup!$A$2:$B$28,2,FALSE)</f>
        <v/>
      </c>
    </row>
    <row r="4504">
      <c r="A4504" t="inlineStr">
        <is>
          <t>7c92284adbec8033d160303d83065dbf</t>
        </is>
      </c>
      <c r="B4504" t="inlineStr">
        <is>
          <t>2018-07-17</t>
        </is>
      </c>
      <c r="C4504" t="inlineStr">
        <is>
          <t>2018-07</t>
        </is>
      </c>
      <c r="D4504" t="inlineStr">
        <is>
          <t>RS</t>
        </is>
      </c>
      <c r="E4504" t="inlineStr">
        <is>
          <t>housewares</t>
        </is>
      </c>
      <c r="F4504" t="n">
        <v>3</v>
      </c>
      <c r="G4504" t="n">
        <v>9.18</v>
      </c>
      <c r="H4504" t="n">
        <v>54.69</v>
      </c>
      <c r="I4504" t="inlineStr">
        <is>
          <t>credit_card</t>
        </is>
      </c>
      <c r="J4504" t="n">
        <v>9</v>
      </c>
      <c r="K4504" t="inlineStr">
        <is>
          <t>On Time</t>
        </is>
      </c>
      <c r="L4504" t="n">
        <v>3</v>
      </c>
      <c r="M4504">
        <f>VLOOKUP(D4504,State_Lookup!$A$2:$B$28,2,FALSE)</f>
        <v/>
      </c>
    </row>
    <row r="4505">
      <c r="A4505" t="inlineStr">
        <is>
          <t>81fffc4a57c371d20f822517c9e4f9ae</t>
        </is>
      </c>
      <c r="B4505" t="inlineStr">
        <is>
          <t>2018-07-17</t>
        </is>
      </c>
      <c r="C4505" t="inlineStr">
        <is>
          <t>2018-07</t>
        </is>
      </c>
      <c r="D4505" t="inlineStr">
        <is>
          <t>MG</t>
        </is>
      </c>
      <c r="E4505" t="inlineStr">
        <is>
          <t>baby</t>
        </is>
      </c>
      <c r="F4505" t="n">
        <v>1</v>
      </c>
      <c r="G4505" t="n">
        <v>29.99</v>
      </c>
      <c r="H4505" t="n">
        <v>22.14</v>
      </c>
      <c r="I4505" t="inlineStr">
        <is>
          <t>boleto</t>
        </is>
      </c>
      <c r="J4505" t="n">
        <v>7</v>
      </c>
      <c r="K4505" t="inlineStr">
        <is>
          <t>On Time</t>
        </is>
      </c>
      <c r="L4505" t="n">
        <v>5</v>
      </c>
      <c r="M4505">
        <f>VLOOKUP(D4505,State_Lookup!$A$2:$B$28,2,FALSE)</f>
        <v/>
      </c>
    </row>
    <row r="4506">
      <c r="A4506" t="inlineStr">
        <is>
          <t>715b8576b74d53796bcbb107a201eb55</t>
        </is>
      </c>
      <c r="B4506" t="inlineStr">
        <is>
          <t>2018-07-18</t>
        </is>
      </c>
      <c r="C4506" t="inlineStr">
        <is>
          <t>2018-07</t>
        </is>
      </c>
      <c r="D4506" t="inlineStr">
        <is>
          <t>SP</t>
        </is>
      </c>
      <c r="E4506" t="inlineStr">
        <is>
          <t>construction_tools_lights</t>
        </is>
      </c>
      <c r="F4506" t="n">
        <v>1</v>
      </c>
      <c r="G4506" t="n">
        <v>228</v>
      </c>
      <c r="H4506" t="n">
        <v>26.58</v>
      </c>
      <c r="I4506" t="inlineStr">
        <is>
          <t>credit_card</t>
        </is>
      </c>
      <c r="J4506" t="n">
        <v>3</v>
      </c>
      <c r="K4506" t="inlineStr">
        <is>
          <t>On Time</t>
        </is>
      </c>
      <c r="L4506" t="n">
        <v>5</v>
      </c>
      <c r="M4506">
        <f>VLOOKUP(D4506,State_Lookup!$A$2:$B$28,2,FALSE)</f>
        <v/>
      </c>
    </row>
    <row r="4507">
      <c r="A4507" t="inlineStr">
        <is>
          <t>af249ad76f0a378300eb8de655b82166</t>
        </is>
      </c>
      <c r="B4507" t="inlineStr">
        <is>
          <t>2018-07-18</t>
        </is>
      </c>
      <c r="C4507" t="inlineStr">
        <is>
          <t>2018-07</t>
        </is>
      </c>
      <c r="D4507" t="inlineStr">
        <is>
          <t>PE</t>
        </is>
      </c>
      <c r="E4507" t="inlineStr">
        <is>
          <t>watches_gifts</t>
        </is>
      </c>
      <c r="F4507" t="n">
        <v>1</v>
      </c>
      <c r="G4507" t="n">
        <v>516.9</v>
      </c>
      <c r="H4507" t="n">
        <v>23.89</v>
      </c>
      <c r="I4507" t="inlineStr">
        <is>
          <t>credit_card</t>
        </is>
      </c>
      <c r="J4507" t="n">
        <v>7</v>
      </c>
      <c r="K4507" t="inlineStr">
        <is>
          <t>On Time</t>
        </is>
      </c>
      <c r="L4507" t="n">
        <v>5</v>
      </c>
      <c r="M4507">
        <f>VLOOKUP(D4507,State_Lookup!$A$2:$B$28,2,FALSE)</f>
        <v/>
      </c>
    </row>
    <row r="4508">
      <c r="A4508" t="inlineStr">
        <is>
          <t>af8f5e473ef8dd20e4357b3bddf1accd</t>
        </is>
      </c>
      <c r="B4508" t="inlineStr">
        <is>
          <t>2018-07-18</t>
        </is>
      </c>
      <c r="C4508" t="inlineStr">
        <is>
          <t>2018-07</t>
        </is>
      </c>
      <c r="D4508" t="inlineStr">
        <is>
          <t>MS</t>
        </is>
      </c>
      <c r="E4508" t="inlineStr">
        <is>
          <t>bed_bath_table</t>
        </is>
      </c>
      <c r="F4508" t="n">
        <v>1</v>
      </c>
      <c r="G4508" t="n">
        <v>126</v>
      </c>
      <c r="H4508" t="n">
        <v>15.98</v>
      </c>
      <c r="I4508" t="inlineStr">
        <is>
          <t>credit_card</t>
        </is>
      </c>
      <c r="J4508" t="n">
        <v>7</v>
      </c>
      <c r="K4508" t="inlineStr">
        <is>
          <t>On Time</t>
        </is>
      </c>
      <c r="L4508" t="n">
        <v>4</v>
      </c>
      <c r="M4508">
        <f>VLOOKUP(D4508,State_Lookup!$A$2:$B$28,2,FALSE)</f>
        <v/>
      </c>
    </row>
    <row r="4509">
      <c r="A4509" t="inlineStr">
        <is>
          <t>2c313debfbfb2b44f91ae0431823ccb4</t>
        </is>
      </c>
      <c r="B4509" t="inlineStr">
        <is>
          <t>2018-07-18</t>
        </is>
      </c>
      <c r="C4509" t="inlineStr">
        <is>
          <t>2018-07</t>
        </is>
      </c>
      <c r="D4509" t="inlineStr">
        <is>
          <t>SP</t>
        </is>
      </c>
      <c r="E4509" t="inlineStr">
        <is>
          <t>housewares</t>
        </is>
      </c>
      <c r="F4509" t="n">
        <v>1</v>
      </c>
      <c r="G4509" t="n">
        <v>141.38</v>
      </c>
      <c r="H4509" t="n">
        <v>14.57</v>
      </c>
      <c r="I4509" t="inlineStr">
        <is>
          <t>credit_card</t>
        </is>
      </c>
      <c r="J4509" t="n">
        <v>4</v>
      </c>
      <c r="K4509" t="inlineStr">
        <is>
          <t>On Time</t>
        </is>
      </c>
      <c r="L4509" t="n">
        <v>5</v>
      </c>
      <c r="M4509">
        <f>VLOOKUP(D4509,State_Lookup!$A$2:$B$28,2,FALSE)</f>
        <v/>
      </c>
    </row>
    <row r="4510">
      <c r="A4510" t="inlineStr">
        <is>
          <t>54a05520cf3e089ebf5dd8575f9ac38a</t>
        </is>
      </c>
      <c r="B4510" t="inlineStr">
        <is>
          <t>2018-07-18</t>
        </is>
      </c>
      <c r="C4510" t="inlineStr">
        <is>
          <t>2018-07</t>
        </is>
      </c>
      <c r="D4510" t="inlineStr">
        <is>
          <t>RJ</t>
        </is>
      </c>
      <c r="E4510" t="inlineStr">
        <is>
          <t>computers_accessories</t>
        </is>
      </c>
      <c r="F4510" t="n">
        <v>1</v>
      </c>
      <c r="G4510" t="n">
        <v>20</v>
      </c>
      <c r="H4510" t="n">
        <v>14.44</v>
      </c>
      <c r="I4510" t="inlineStr">
        <is>
          <t>credit_card</t>
        </is>
      </c>
      <c r="J4510" t="n">
        <v>6</v>
      </c>
      <c r="K4510" t="inlineStr">
        <is>
          <t>On Time</t>
        </is>
      </c>
      <c r="L4510" t="n">
        <v>5</v>
      </c>
      <c r="M4510">
        <f>VLOOKUP(D4510,State_Lookup!$A$2:$B$28,2,FALSE)</f>
        <v/>
      </c>
    </row>
    <row r="4511">
      <c r="A4511" t="inlineStr">
        <is>
          <t>8c2189f32103647dde2d19e9045c2a76</t>
        </is>
      </c>
      <c r="B4511" t="inlineStr">
        <is>
          <t>2018-07-18</t>
        </is>
      </c>
      <c r="C4511" t="inlineStr">
        <is>
          <t>2018-07</t>
        </is>
      </c>
      <c r="D4511" t="inlineStr">
        <is>
          <t>SP</t>
        </is>
      </c>
      <c r="E4511" t="inlineStr">
        <is>
          <t>bed_bath_table</t>
        </is>
      </c>
      <c r="F4511" t="n">
        <v>2</v>
      </c>
      <c r="G4511" t="n">
        <v>35.8</v>
      </c>
      <c r="H4511" t="n">
        <v>25.58</v>
      </c>
      <c r="I4511" t="inlineStr">
        <is>
          <t>credit_card</t>
        </is>
      </c>
      <c r="J4511" t="n">
        <v>5</v>
      </c>
      <c r="K4511" t="inlineStr">
        <is>
          <t>On Time</t>
        </is>
      </c>
      <c r="L4511" t="n">
        <v>3</v>
      </c>
      <c r="M4511">
        <f>VLOOKUP(D4511,State_Lookup!$A$2:$B$28,2,FALSE)</f>
        <v/>
      </c>
    </row>
    <row r="4512">
      <c r="A4512" t="inlineStr">
        <is>
          <t>fb9e94685fede37314f883d0bb0c2561</t>
        </is>
      </c>
      <c r="B4512" t="inlineStr">
        <is>
          <t>2018-07-18</t>
        </is>
      </c>
      <c r="C4512" t="inlineStr">
        <is>
          <t>2018-07</t>
        </is>
      </c>
      <c r="D4512" t="inlineStr">
        <is>
          <t>SP</t>
        </is>
      </c>
      <c r="E4512" t="inlineStr">
        <is>
          <t>housewares</t>
        </is>
      </c>
      <c r="F4512" t="n">
        <v>1</v>
      </c>
      <c r="G4512" t="n">
        <v>24.49</v>
      </c>
      <c r="H4512" t="n">
        <v>64.8</v>
      </c>
      <c r="I4512" t="inlineStr">
        <is>
          <t>credit_card</t>
        </is>
      </c>
      <c r="J4512" t="n">
        <v>6</v>
      </c>
      <c r="K4512" t="inlineStr">
        <is>
          <t>On Time</t>
        </is>
      </c>
      <c r="L4512" t="n">
        <v>5</v>
      </c>
      <c r="M4512">
        <f>VLOOKUP(D4512,State_Lookup!$A$2:$B$28,2,FALSE)</f>
        <v/>
      </c>
    </row>
    <row r="4513">
      <c r="A4513" t="inlineStr">
        <is>
          <t>31932da1b041c8391eb82c14213e73fb</t>
        </is>
      </c>
      <c r="B4513" t="inlineStr">
        <is>
          <t>2018-07-18</t>
        </is>
      </c>
      <c r="C4513" t="inlineStr">
        <is>
          <t>2018-07</t>
        </is>
      </c>
      <c r="D4513" t="inlineStr">
        <is>
          <t>TO</t>
        </is>
      </c>
      <c r="E4513" t="inlineStr">
        <is>
          <t>bed_bath_table</t>
        </is>
      </c>
      <c r="F4513" t="n">
        <v>1</v>
      </c>
      <c r="G4513" t="n">
        <v>80.8</v>
      </c>
      <c r="H4513" t="n">
        <v>37.48</v>
      </c>
      <c r="I4513" t="inlineStr">
        <is>
          <t>credit_card</t>
        </is>
      </c>
      <c r="J4513" t="n">
        <v>13</v>
      </c>
      <c r="K4513" t="inlineStr">
        <is>
          <t>On Time</t>
        </is>
      </c>
      <c r="L4513" t="n">
        <v>5</v>
      </c>
      <c r="M4513">
        <f>VLOOKUP(D4513,State_Lookup!$A$2:$B$28,2,FALSE)</f>
        <v/>
      </c>
    </row>
    <row r="4514">
      <c r="A4514" t="inlineStr">
        <is>
          <t>ee08d8ee1e91201837b8d764336db291</t>
        </is>
      </c>
      <c r="B4514" t="inlineStr">
        <is>
          <t>2018-07-18</t>
        </is>
      </c>
      <c r="C4514" t="inlineStr">
        <is>
          <t>2018-07</t>
        </is>
      </c>
      <c r="D4514" t="inlineStr">
        <is>
          <t>GO</t>
        </is>
      </c>
      <c r="E4514" t="inlineStr">
        <is>
          <t>housewares</t>
        </is>
      </c>
      <c r="F4514" t="n">
        <v>1</v>
      </c>
      <c r="G4514" t="n">
        <v>37.9</v>
      </c>
      <c r="H4514" t="n">
        <v>15.37</v>
      </c>
      <c r="I4514" t="inlineStr">
        <is>
          <t>voucher</t>
        </is>
      </c>
      <c r="J4514" t="n">
        <v>12</v>
      </c>
      <c r="K4514" t="inlineStr">
        <is>
          <t>On Time</t>
        </is>
      </c>
      <c r="L4514" t="n">
        <v>3</v>
      </c>
      <c r="M4514">
        <f>VLOOKUP(D4514,State_Lookup!$A$2:$B$28,2,FALSE)</f>
        <v/>
      </c>
    </row>
    <row r="4515">
      <c r="A4515" t="inlineStr">
        <is>
          <t>45904bc2f27b4b3d71f27fc638080399</t>
        </is>
      </c>
      <c r="B4515" t="inlineStr">
        <is>
          <t>2018-07-18</t>
        </is>
      </c>
      <c r="C4515" t="inlineStr">
        <is>
          <t>2018-07</t>
        </is>
      </c>
      <c r="D4515" t="inlineStr">
        <is>
          <t>SP</t>
        </is>
      </c>
      <c r="E4515" t="inlineStr">
        <is>
          <t>health_beauty</t>
        </is>
      </c>
      <c r="F4515" t="n">
        <v>1</v>
      </c>
      <c r="G4515" t="n">
        <v>110.32</v>
      </c>
      <c r="H4515" t="n">
        <v>8.029999999999999</v>
      </c>
      <c r="I4515" t="inlineStr">
        <is>
          <t>debit_card</t>
        </is>
      </c>
      <c r="J4515" t="n">
        <v>6</v>
      </c>
      <c r="K4515" t="inlineStr">
        <is>
          <t>On Time</t>
        </is>
      </c>
      <c r="L4515" t="n">
        <v>5</v>
      </c>
      <c r="M4515">
        <f>VLOOKUP(D4515,State_Lookup!$A$2:$B$28,2,FALSE)</f>
        <v/>
      </c>
    </row>
    <row r="4516">
      <c r="A4516" t="inlineStr">
        <is>
          <t>8ec29b681fd22a8225b16acff79330a0</t>
        </is>
      </c>
      <c r="B4516" t="inlineStr">
        <is>
          <t>2018-07-18</t>
        </is>
      </c>
      <c r="C4516" t="inlineStr">
        <is>
          <t>2018-07</t>
        </is>
      </c>
      <c r="D4516" t="inlineStr">
        <is>
          <t>DF</t>
        </is>
      </c>
      <c r="E4516" t="inlineStr">
        <is>
          <t>furniture_decor</t>
        </is>
      </c>
      <c r="F4516" t="n">
        <v>1</v>
      </c>
      <c r="G4516" t="n">
        <v>129.9</v>
      </c>
      <c r="H4516" t="n">
        <v>63.19</v>
      </c>
      <c r="I4516" t="inlineStr">
        <is>
          <t>boleto</t>
        </is>
      </c>
      <c r="J4516" t="n">
        <v>11</v>
      </c>
      <c r="K4516" t="inlineStr">
        <is>
          <t>On Time</t>
        </is>
      </c>
      <c r="L4516" t="n">
        <v>5</v>
      </c>
      <c r="M4516">
        <f>VLOOKUP(D4516,State_Lookup!$A$2:$B$28,2,FALSE)</f>
        <v/>
      </c>
    </row>
    <row r="4517">
      <c r="A4517" t="inlineStr">
        <is>
          <t>45cac4320420da8cf4dac44accae079a</t>
        </is>
      </c>
      <c r="B4517" t="inlineStr">
        <is>
          <t>2018-07-18</t>
        </is>
      </c>
      <c r="C4517" t="inlineStr">
        <is>
          <t>2018-07</t>
        </is>
      </c>
      <c r="D4517" t="inlineStr">
        <is>
          <t>RS</t>
        </is>
      </c>
      <c r="E4517" t="inlineStr">
        <is>
          <t>bed_bath_table</t>
        </is>
      </c>
      <c r="F4517" t="n">
        <v>1</v>
      </c>
      <c r="G4517" t="n">
        <v>50</v>
      </c>
      <c r="H4517" t="n">
        <v>19.54</v>
      </c>
      <c r="I4517" t="inlineStr">
        <is>
          <t>debit_card</t>
        </is>
      </c>
      <c r="J4517" t="n">
        <v>13</v>
      </c>
      <c r="K4517" t="inlineStr">
        <is>
          <t>On Time</t>
        </is>
      </c>
      <c r="L4517" t="n">
        <v>5</v>
      </c>
      <c r="M4517">
        <f>VLOOKUP(D4517,State_Lookup!$A$2:$B$28,2,FALSE)</f>
        <v/>
      </c>
    </row>
    <row r="4518">
      <c r="A4518" t="inlineStr">
        <is>
          <t>c3297de5d87bdb1364601547517e83b0</t>
        </is>
      </c>
      <c r="B4518" t="inlineStr">
        <is>
          <t>2018-07-18</t>
        </is>
      </c>
      <c r="C4518" t="inlineStr">
        <is>
          <t>2018-07</t>
        </is>
      </c>
      <c r="D4518" t="inlineStr">
        <is>
          <t>SP</t>
        </is>
      </c>
      <c r="E4518" t="inlineStr">
        <is>
          <t>bed_bath_table</t>
        </is>
      </c>
      <c r="F4518" t="n">
        <v>1</v>
      </c>
      <c r="G4518" t="n">
        <v>19.9</v>
      </c>
      <c r="H4518" t="n">
        <v>15.24</v>
      </c>
      <c r="I4518" t="inlineStr">
        <is>
          <t>credit_card</t>
        </is>
      </c>
      <c r="J4518" t="n">
        <v>5</v>
      </c>
      <c r="K4518" t="inlineStr">
        <is>
          <t>On Time</t>
        </is>
      </c>
      <c r="L4518" t="n">
        <v>5</v>
      </c>
      <c r="M4518">
        <f>VLOOKUP(D4518,State_Lookup!$A$2:$B$28,2,FALSE)</f>
        <v/>
      </c>
    </row>
    <row r="4519">
      <c r="A4519" t="inlineStr">
        <is>
          <t>ff5afb773cc74f8424fc4e5c2f57570a</t>
        </is>
      </c>
      <c r="B4519" t="inlineStr">
        <is>
          <t>2018-07-18</t>
        </is>
      </c>
      <c r="C4519" t="inlineStr">
        <is>
          <t>2018-07</t>
        </is>
      </c>
      <c r="D4519" t="inlineStr">
        <is>
          <t>PR</t>
        </is>
      </c>
      <c r="E4519" t="inlineStr">
        <is>
          <t>furniture_decor</t>
        </is>
      </c>
      <c r="F4519" t="n">
        <v>1</v>
      </c>
      <c r="G4519" t="n">
        <v>179.9</v>
      </c>
      <c r="H4519" t="n">
        <v>19.31</v>
      </c>
      <c r="I4519" t="inlineStr">
        <is>
          <t>credit_card</t>
        </is>
      </c>
      <c r="J4519" t="n">
        <v>11</v>
      </c>
      <c r="K4519" t="inlineStr">
        <is>
          <t>On Time</t>
        </is>
      </c>
      <c r="L4519" t="n">
        <v>4</v>
      </c>
      <c r="M4519">
        <f>VLOOKUP(D4519,State_Lookup!$A$2:$B$28,2,FALSE)</f>
        <v/>
      </c>
    </row>
    <row r="4520">
      <c r="A4520" t="inlineStr">
        <is>
          <t>109e7f07a4c739fb54edf836bb9ef576</t>
        </is>
      </c>
      <c r="B4520" t="inlineStr">
        <is>
          <t>2018-07-19</t>
        </is>
      </c>
      <c r="C4520" t="inlineStr">
        <is>
          <t>2018-07</t>
        </is>
      </c>
      <c r="D4520" t="inlineStr">
        <is>
          <t>MA</t>
        </is>
      </c>
      <c r="E4520" t="inlineStr">
        <is>
          <t>computers_accessories</t>
        </is>
      </c>
      <c r="F4520" t="n">
        <v>1</v>
      </c>
      <c r="G4520" t="n">
        <v>197.5</v>
      </c>
      <c r="H4520" t="n">
        <v>21.65</v>
      </c>
      <c r="I4520" t="inlineStr">
        <is>
          <t>credit_card</t>
        </is>
      </c>
      <c r="J4520" t="n">
        <v>11</v>
      </c>
      <c r="K4520" t="inlineStr">
        <is>
          <t>On Time</t>
        </is>
      </c>
      <c r="L4520" t="n">
        <v>4</v>
      </c>
      <c r="M4520">
        <f>VLOOKUP(D4520,State_Lookup!$A$2:$B$28,2,FALSE)</f>
        <v/>
      </c>
    </row>
    <row r="4521">
      <c r="A4521" t="inlineStr">
        <is>
          <t>14f71e03c472d2b37384b55708ac8354</t>
        </is>
      </c>
      <c r="B4521" t="inlineStr">
        <is>
          <t>2018-07-19</t>
        </is>
      </c>
      <c r="C4521" t="inlineStr">
        <is>
          <t>2018-07</t>
        </is>
      </c>
      <c r="D4521" t="inlineStr">
        <is>
          <t>SP</t>
        </is>
      </c>
      <c r="E4521" t="inlineStr">
        <is>
          <t>bed_bath_table</t>
        </is>
      </c>
      <c r="F4521" t="n">
        <v>1</v>
      </c>
      <c r="G4521" t="n">
        <v>99.77</v>
      </c>
      <c r="H4521" t="n">
        <v>19.89</v>
      </c>
      <c r="I4521" t="inlineStr">
        <is>
          <t>boleto</t>
        </is>
      </c>
      <c r="J4521" t="n">
        <v>6</v>
      </c>
      <c r="K4521" t="inlineStr">
        <is>
          <t>On Time</t>
        </is>
      </c>
      <c r="L4521" t="n">
        <v>1</v>
      </c>
      <c r="M4521">
        <f>VLOOKUP(D4521,State_Lookup!$A$2:$B$28,2,FALSE)</f>
        <v/>
      </c>
    </row>
    <row r="4522">
      <c r="A4522" t="inlineStr">
        <is>
          <t>c96bee3fe3caeb224420da7bc815b0fe</t>
        </is>
      </c>
      <c r="B4522" t="inlineStr">
        <is>
          <t>2018-07-19</t>
        </is>
      </c>
      <c r="C4522" t="inlineStr">
        <is>
          <t>2018-07</t>
        </is>
      </c>
      <c r="D4522" t="inlineStr">
        <is>
          <t>RJ</t>
        </is>
      </c>
      <c r="E4522" t="inlineStr">
        <is>
          <t>office_furniture</t>
        </is>
      </c>
      <c r="F4522" t="n">
        <v>1</v>
      </c>
      <c r="G4522" t="n">
        <v>159.98</v>
      </c>
      <c r="H4522" t="n">
        <v>49.49</v>
      </c>
      <c r="I4522" t="inlineStr">
        <is>
          <t>boleto</t>
        </is>
      </c>
      <c r="J4522" t="n">
        <v>22</v>
      </c>
      <c r="K4522" t="inlineStr">
        <is>
          <t>On Time</t>
        </is>
      </c>
      <c r="L4522" t="n">
        <v>1</v>
      </c>
      <c r="M4522">
        <f>VLOOKUP(D4522,State_Lookup!$A$2:$B$28,2,FALSE)</f>
        <v/>
      </c>
    </row>
    <row r="4523">
      <c r="A4523" t="inlineStr">
        <is>
          <t>d0e7875fcf8fa009f5295ad397fc7e18</t>
        </is>
      </c>
      <c r="B4523" t="inlineStr">
        <is>
          <t>2018-07-19</t>
        </is>
      </c>
      <c r="C4523" t="inlineStr">
        <is>
          <t>2018-07</t>
        </is>
      </c>
      <c r="D4523" t="inlineStr">
        <is>
          <t>SP</t>
        </is>
      </c>
      <c r="E4523" t="inlineStr">
        <is>
          <t>health_beauty</t>
        </is>
      </c>
      <c r="F4523" t="n">
        <v>1</v>
      </c>
      <c r="G4523" t="n">
        <v>100.99</v>
      </c>
      <c r="H4523" t="n">
        <v>15.02</v>
      </c>
      <c r="I4523" t="inlineStr">
        <is>
          <t>credit_card</t>
        </is>
      </c>
      <c r="J4523" t="n">
        <v>5</v>
      </c>
      <c r="K4523" t="inlineStr">
        <is>
          <t>On Time</t>
        </is>
      </c>
      <c r="L4523" t="n">
        <v>5</v>
      </c>
      <c r="M4523">
        <f>VLOOKUP(D4523,State_Lookup!$A$2:$B$28,2,FALSE)</f>
        <v/>
      </c>
    </row>
    <row r="4524">
      <c r="A4524" t="inlineStr">
        <is>
          <t>aa5fb4d316102d9a70eaf75e6f19d181</t>
        </is>
      </c>
      <c r="B4524" t="inlineStr">
        <is>
          <t>2018-07-19</t>
        </is>
      </c>
      <c r="C4524" t="inlineStr">
        <is>
          <t>2018-07</t>
        </is>
      </c>
      <c r="D4524" t="inlineStr">
        <is>
          <t>RJ</t>
        </is>
      </c>
      <c r="E4524" t="inlineStr">
        <is>
          <t>bed_bath_table</t>
        </is>
      </c>
      <c r="F4524" t="n">
        <v>1</v>
      </c>
      <c r="G4524" t="n">
        <v>19.9</v>
      </c>
      <c r="H4524" t="n">
        <v>18.24</v>
      </c>
      <c r="I4524" t="inlineStr">
        <is>
          <t>boleto</t>
        </is>
      </c>
      <c r="J4524" t="n">
        <v>7</v>
      </c>
      <c r="K4524" t="inlineStr">
        <is>
          <t>On Time</t>
        </is>
      </c>
      <c r="L4524" t="n">
        <v>5</v>
      </c>
      <c r="M4524">
        <f>VLOOKUP(D4524,State_Lookup!$A$2:$B$28,2,FALSE)</f>
        <v/>
      </c>
    </row>
    <row r="4525">
      <c r="A4525" t="inlineStr">
        <is>
          <t>b7b1f2843edf05e98877ad7a739b2da1</t>
        </is>
      </c>
      <c r="B4525" t="inlineStr">
        <is>
          <t>2018-07-19</t>
        </is>
      </c>
      <c r="C4525" t="inlineStr">
        <is>
          <t>2018-07</t>
        </is>
      </c>
      <c r="D4525" t="inlineStr">
        <is>
          <t>SP</t>
        </is>
      </c>
      <c r="E4525" t="inlineStr">
        <is>
          <t>food_drink</t>
        </is>
      </c>
      <c r="F4525" t="n">
        <v>1</v>
      </c>
      <c r="G4525" t="n">
        <v>29.7</v>
      </c>
      <c r="H4525" t="n">
        <v>16.4</v>
      </c>
      <c r="I4525" t="inlineStr">
        <is>
          <t>boleto</t>
        </is>
      </c>
      <c r="J4525" t="n">
        <v>9</v>
      </c>
      <c r="K4525" t="inlineStr">
        <is>
          <t>On Time</t>
        </is>
      </c>
      <c r="L4525" t="n">
        <v>5</v>
      </c>
      <c r="M4525">
        <f>VLOOKUP(D4525,State_Lookup!$A$2:$B$28,2,FALSE)</f>
        <v/>
      </c>
    </row>
    <row r="4526">
      <c r="A4526" t="inlineStr">
        <is>
          <t>9949f7af3885f27e84044841513de26e</t>
        </is>
      </c>
      <c r="B4526" t="inlineStr">
        <is>
          <t>2018-07-19</t>
        </is>
      </c>
      <c r="C4526" t="inlineStr">
        <is>
          <t>2018-07</t>
        </is>
      </c>
      <c r="D4526" t="inlineStr">
        <is>
          <t>RJ</t>
        </is>
      </c>
      <c r="E4526" t="inlineStr">
        <is>
          <t>computers_accessories</t>
        </is>
      </c>
      <c r="F4526" t="n">
        <v>1</v>
      </c>
      <c r="G4526" t="n">
        <v>110.81</v>
      </c>
      <c r="H4526" t="n">
        <v>19.99</v>
      </c>
      <c r="I4526" t="inlineStr">
        <is>
          <t>credit_card</t>
        </is>
      </c>
      <c r="J4526" t="n">
        <v>14</v>
      </c>
      <c r="K4526" t="inlineStr">
        <is>
          <t>On Time</t>
        </is>
      </c>
      <c r="L4526" t="n">
        <v>5</v>
      </c>
      <c r="M4526">
        <f>VLOOKUP(D4526,State_Lookup!$A$2:$B$28,2,FALSE)</f>
        <v/>
      </c>
    </row>
    <row r="4527">
      <c r="A4527" t="inlineStr">
        <is>
          <t>7ba54c67fabcf8bc22e2023e8d81dd84</t>
        </is>
      </c>
      <c r="B4527" t="inlineStr">
        <is>
          <t>2018-07-19</t>
        </is>
      </c>
      <c r="C4527" t="inlineStr">
        <is>
          <t>2018-07</t>
        </is>
      </c>
      <c r="D4527" t="inlineStr">
        <is>
          <t>SP</t>
        </is>
      </c>
      <c r="E4527" t="inlineStr">
        <is>
          <t>electronics</t>
        </is>
      </c>
      <c r="F4527" t="n">
        <v>1</v>
      </c>
      <c r="G4527" t="n">
        <v>18.9</v>
      </c>
      <c r="H4527" t="n">
        <v>13.47</v>
      </c>
      <c r="I4527" t="inlineStr">
        <is>
          <t>credit_card</t>
        </is>
      </c>
      <c r="J4527" t="n">
        <v>7</v>
      </c>
      <c r="K4527" t="inlineStr">
        <is>
          <t>On Time</t>
        </is>
      </c>
      <c r="L4527" t="n">
        <v>3</v>
      </c>
      <c r="M4527">
        <f>VLOOKUP(D4527,State_Lookup!$A$2:$B$28,2,FALSE)</f>
        <v/>
      </c>
    </row>
    <row r="4528">
      <c r="A4528" t="inlineStr">
        <is>
          <t>dc5542aeff4f9a938c0de66cd4384080</t>
        </is>
      </c>
      <c r="B4528" t="inlineStr">
        <is>
          <t>2018-07-19</t>
        </is>
      </c>
      <c r="C4528" t="inlineStr">
        <is>
          <t>2018-07</t>
        </is>
      </c>
      <c r="D4528" t="inlineStr">
        <is>
          <t>RS</t>
        </is>
      </c>
      <c r="E4528" t="inlineStr">
        <is>
          <t>perfumery</t>
        </is>
      </c>
      <c r="F4528" t="n">
        <v>1</v>
      </c>
      <c r="G4528" t="n">
        <v>336</v>
      </c>
      <c r="H4528" t="n">
        <v>20.45</v>
      </c>
      <c r="I4528" t="inlineStr">
        <is>
          <t>credit_card</t>
        </is>
      </c>
      <c r="J4528" t="n">
        <v>8</v>
      </c>
      <c r="K4528" t="inlineStr">
        <is>
          <t>On Time</t>
        </is>
      </c>
      <c r="L4528" t="n">
        <v>5</v>
      </c>
      <c r="M4528">
        <f>VLOOKUP(D4528,State_Lookup!$A$2:$B$28,2,FALSE)</f>
        <v/>
      </c>
    </row>
    <row r="4529">
      <c r="A4529" t="inlineStr">
        <is>
          <t>40ccf6af09b0aadbf3e2710fb2f17715</t>
        </is>
      </c>
      <c r="B4529" t="inlineStr">
        <is>
          <t>2018-07-19</t>
        </is>
      </c>
      <c r="C4529" t="inlineStr">
        <is>
          <t>2018-07</t>
        </is>
      </c>
      <c r="D4529" t="inlineStr">
        <is>
          <t>BA</t>
        </is>
      </c>
      <c r="E4529" t="inlineStr">
        <is>
          <t>baby</t>
        </is>
      </c>
      <c r="F4529" t="n">
        <v>1</v>
      </c>
      <c r="G4529" t="n">
        <v>298.8</v>
      </c>
      <c r="H4529" t="n">
        <v>25.24</v>
      </c>
      <c r="I4529" t="inlineStr">
        <is>
          <t>credit_card</t>
        </is>
      </c>
      <c r="J4529" t="n">
        <v>14</v>
      </c>
      <c r="K4529" t="inlineStr">
        <is>
          <t>On Time</t>
        </is>
      </c>
      <c r="L4529" t="n">
        <v>5</v>
      </c>
      <c r="M4529">
        <f>VLOOKUP(D4529,State_Lookup!$A$2:$B$28,2,FALSE)</f>
        <v/>
      </c>
    </row>
    <row r="4530">
      <c r="A4530" t="inlineStr">
        <is>
          <t>c82e3eb519fbd1983966e7c8bff4d6cc</t>
        </is>
      </c>
      <c r="B4530" t="inlineStr">
        <is>
          <t>2018-07-19</t>
        </is>
      </c>
      <c r="C4530" t="inlineStr">
        <is>
          <t>2018-07</t>
        </is>
      </c>
      <c r="D4530" t="inlineStr">
        <is>
          <t>SP</t>
        </is>
      </c>
      <c r="E4530" t="inlineStr">
        <is>
          <t>auto</t>
        </is>
      </c>
      <c r="F4530" t="n">
        <v>1</v>
      </c>
      <c r="G4530" t="n">
        <v>309</v>
      </c>
      <c r="H4530" t="n">
        <v>27.67</v>
      </c>
      <c r="I4530" t="inlineStr">
        <is>
          <t>credit_card</t>
        </is>
      </c>
      <c r="J4530" t="n">
        <v>8</v>
      </c>
      <c r="K4530" t="inlineStr">
        <is>
          <t>On Time</t>
        </is>
      </c>
      <c r="L4530" t="n">
        <v>5</v>
      </c>
      <c r="M4530">
        <f>VLOOKUP(D4530,State_Lookup!$A$2:$B$28,2,FALSE)</f>
        <v/>
      </c>
    </row>
    <row r="4531">
      <c r="A4531" t="inlineStr">
        <is>
          <t>1cf95378918960ac4f215e2a436dc18c</t>
        </is>
      </c>
      <c r="B4531" t="inlineStr">
        <is>
          <t>2018-07-19</t>
        </is>
      </c>
      <c r="C4531" t="inlineStr">
        <is>
          <t>2018-07</t>
        </is>
      </c>
      <c r="D4531" t="inlineStr">
        <is>
          <t>SP</t>
        </is>
      </c>
      <c r="E4531" t="inlineStr">
        <is>
          <t>housewares</t>
        </is>
      </c>
      <c r="F4531" t="n">
        <v>1</v>
      </c>
      <c r="G4531" t="n">
        <v>189.9</v>
      </c>
      <c r="H4531" t="n">
        <v>13.99</v>
      </c>
      <c r="I4531" t="inlineStr">
        <is>
          <t>credit_card</t>
        </is>
      </c>
      <c r="J4531" t="n">
        <v>7</v>
      </c>
      <c r="K4531" t="inlineStr">
        <is>
          <t>On Time</t>
        </is>
      </c>
      <c r="L4531" t="n">
        <v>5</v>
      </c>
      <c r="M4531">
        <f>VLOOKUP(D4531,State_Lookup!$A$2:$B$28,2,FALSE)</f>
        <v/>
      </c>
    </row>
    <row r="4532">
      <c r="A4532" t="inlineStr">
        <is>
          <t>9a7d7672806f5cfd6bc9cbd5a060806f</t>
        </is>
      </c>
      <c r="B4532" t="inlineStr">
        <is>
          <t>2018-07-19</t>
        </is>
      </c>
      <c r="C4532" t="inlineStr">
        <is>
          <t>2018-07</t>
        </is>
      </c>
      <c r="D4532" t="inlineStr">
        <is>
          <t>MG</t>
        </is>
      </c>
      <c r="E4532" t="inlineStr">
        <is>
          <t>health_beauty</t>
        </is>
      </c>
      <c r="F4532" t="n">
        <v>1</v>
      </c>
      <c r="G4532" t="n">
        <v>519.9</v>
      </c>
      <c r="H4532" t="n">
        <v>25.57</v>
      </c>
      <c r="I4532" t="inlineStr">
        <is>
          <t>credit_card</t>
        </is>
      </c>
      <c r="J4532" t="n">
        <v>12</v>
      </c>
      <c r="K4532" t="inlineStr">
        <is>
          <t>On Time</t>
        </is>
      </c>
      <c r="L4532" t="n">
        <v>1</v>
      </c>
      <c r="M4532">
        <f>VLOOKUP(D4532,State_Lookup!$A$2:$B$28,2,FALSE)</f>
        <v/>
      </c>
    </row>
    <row r="4533">
      <c r="A4533" t="inlineStr">
        <is>
          <t>d9bf43027ddbeee4ced772f175c2dc40</t>
        </is>
      </c>
      <c r="B4533" t="inlineStr">
        <is>
          <t>2018-07-20</t>
        </is>
      </c>
      <c r="C4533" t="inlineStr">
        <is>
          <t>2018-07</t>
        </is>
      </c>
      <c r="D4533" t="inlineStr">
        <is>
          <t>SP</t>
        </is>
      </c>
      <c r="E4533" t="inlineStr">
        <is>
          <t>baby</t>
        </is>
      </c>
      <c r="F4533" t="n">
        <v>1</v>
      </c>
      <c r="G4533" t="n">
        <v>49.9</v>
      </c>
      <c r="H4533" t="n">
        <v>13.01</v>
      </c>
      <c r="I4533" t="inlineStr">
        <is>
          <t>credit_card</t>
        </is>
      </c>
      <c r="J4533" t="n">
        <v>7</v>
      </c>
      <c r="K4533" t="inlineStr">
        <is>
          <t>On Time</t>
        </is>
      </c>
      <c r="L4533" t="n">
        <v>5</v>
      </c>
      <c r="M4533">
        <f>VLOOKUP(D4533,State_Lookup!$A$2:$B$28,2,FALSE)</f>
        <v/>
      </c>
    </row>
    <row r="4534">
      <c r="A4534" t="inlineStr">
        <is>
          <t>9d8ad56c218b4b9bd6ece578c91c2321</t>
        </is>
      </c>
      <c r="B4534" t="inlineStr">
        <is>
          <t>2018-07-20</t>
        </is>
      </c>
      <c r="C4534" t="inlineStr">
        <is>
          <t>2018-07</t>
        </is>
      </c>
      <c r="D4534" t="inlineStr">
        <is>
          <t>SP</t>
        </is>
      </c>
      <c r="E4534" t="inlineStr">
        <is>
          <t>small_appliances</t>
        </is>
      </c>
      <c r="F4534" t="n">
        <v>1</v>
      </c>
      <c r="G4534" t="n">
        <v>22</v>
      </c>
      <c r="H4534" t="n">
        <v>7.41</v>
      </c>
      <c r="I4534" t="inlineStr">
        <is>
          <t>credit_card</t>
        </is>
      </c>
      <c r="J4534" t="n">
        <v>5</v>
      </c>
      <c r="K4534" t="inlineStr">
        <is>
          <t>On Time</t>
        </is>
      </c>
      <c r="L4534" t="n">
        <v>5</v>
      </c>
      <c r="M4534">
        <f>VLOOKUP(D4534,State_Lookup!$A$2:$B$28,2,FALSE)</f>
        <v/>
      </c>
    </row>
    <row r="4535">
      <c r="A4535" t="inlineStr">
        <is>
          <t>878b914d30233eb8a3e4ff4465a4ef49</t>
        </is>
      </c>
      <c r="B4535" t="inlineStr">
        <is>
          <t>2018-07-20</t>
        </is>
      </c>
      <c r="C4535" t="inlineStr">
        <is>
          <t>2018-07</t>
        </is>
      </c>
      <c r="D4535" t="inlineStr">
        <is>
          <t>PR</t>
        </is>
      </c>
      <c r="E4535" t="inlineStr">
        <is>
          <t>kitchen_dining_laundry_garden_furniture</t>
        </is>
      </c>
      <c r="F4535" t="n">
        <v>1</v>
      </c>
      <c r="G4535" t="n">
        <v>999.9</v>
      </c>
      <c r="H4535" t="n">
        <v>27.61</v>
      </c>
      <c r="I4535" t="inlineStr">
        <is>
          <t>credit_card</t>
        </is>
      </c>
      <c r="J4535" t="n">
        <v>10</v>
      </c>
      <c r="K4535" t="inlineStr">
        <is>
          <t>On Time</t>
        </is>
      </c>
      <c r="L4535" t="n">
        <v>5</v>
      </c>
      <c r="M4535">
        <f>VLOOKUP(D4535,State_Lookup!$A$2:$B$28,2,FALSE)</f>
        <v/>
      </c>
    </row>
    <row r="4536">
      <c r="A4536" t="inlineStr">
        <is>
          <t>82be2384f5d2751770574b84da68f2c1</t>
        </is>
      </c>
      <c r="B4536" t="inlineStr">
        <is>
          <t>2018-07-20</t>
        </is>
      </c>
      <c r="C4536" t="inlineStr">
        <is>
          <t>2018-07</t>
        </is>
      </c>
      <c r="D4536" t="inlineStr">
        <is>
          <t>SP</t>
        </is>
      </c>
      <c r="E4536" t="inlineStr">
        <is>
          <t>watches_gifts</t>
        </is>
      </c>
      <c r="F4536" t="n">
        <v>1</v>
      </c>
      <c r="G4536" t="n">
        <v>315.9</v>
      </c>
      <c r="H4536" t="n">
        <v>9.470000000000001</v>
      </c>
      <c r="I4536" t="inlineStr">
        <is>
          <t>credit_card</t>
        </is>
      </c>
      <c r="J4536" t="n">
        <v>4</v>
      </c>
      <c r="K4536" t="inlineStr">
        <is>
          <t>On Time</t>
        </is>
      </c>
      <c r="L4536" t="n">
        <v>3</v>
      </c>
      <c r="M4536">
        <f>VLOOKUP(D4536,State_Lookup!$A$2:$B$28,2,FALSE)</f>
        <v/>
      </c>
    </row>
    <row r="4537">
      <c r="A4537" t="inlineStr">
        <is>
          <t>00a57dfbb049fbaae10763e2cf15f797</t>
        </is>
      </c>
      <c r="B4537" t="inlineStr">
        <is>
          <t>2018-07-20</t>
        </is>
      </c>
      <c r="C4537" t="inlineStr">
        <is>
          <t>2018-07</t>
        </is>
      </c>
      <c r="D4537" t="inlineStr">
        <is>
          <t>MS</t>
        </is>
      </c>
      <c r="E4537" t="inlineStr">
        <is>
          <t>computers_accessories</t>
        </is>
      </c>
      <c r="F4537" t="n">
        <v>3</v>
      </c>
      <c r="G4537" t="n">
        <v>269.7</v>
      </c>
      <c r="H4537" t="n">
        <v>67.67999999999999</v>
      </c>
      <c r="I4537" t="inlineStr">
        <is>
          <t>boleto</t>
        </is>
      </c>
      <c r="J4537" t="n">
        <v>10</v>
      </c>
      <c r="K4537" t="inlineStr">
        <is>
          <t>On Time</t>
        </is>
      </c>
      <c r="L4537" t="n">
        <v>5</v>
      </c>
      <c r="M4537">
        <f>VLOOKUP(D4537,State_Lookup!$A$2:$B$28,2,FALSE)</f>
        <v/>
      </c>
    </row>
    <row r="4538">
      <c r="A4538" t="inlineStr">
        <is>
          <t>e66c28c44f4a12382611f0de3e522478</t>
        </is>
      </c>
      <c r="B4538" t="inlineStr">
        <is>
          <t>2018-07-20</t>
        </is>
      </c>
      <c r="C4538" t="inlineStr">
        <is>
          <t>2018-07</t>
        </is>
      </c>
      <c r="D4538" t="inlineStr">
        <is>
          <t>SP</t>
        </is>
      </c>
      <c r="E4538" t="inlineStr">
        <is>
          <t>watches_gifts</t>
        </is>
      </c>
      <c r="F4538" t="n">
        <v>1</v>
      </c>
      <c r="G4538" t="n">
        <v>139.9</v>
      </c>
      <c r="H4538" t="n">
        <v>16.08</v>
      </c>
      <c r="I4538" t="inlineStr">
        <is>
          <t>credit_card</t>
        </is>
      </c>
      <c r="J4538" t="n">
        <v>7</v>
      </c>
      <c r="K4538" t="inlineStr">
        <is>
          <t>On Time</t>
        </is>
      </c>
      <c r="L4538" t="n">
        <v>1</v>
      </c>
      <c r="M4538">
        <f>VLOOKUP(D4538,State_Lookup!$A$2:$B$28,2,FALSE)</f>
        <v/>
      </c>
    </row>
    <row r="4539">
      <c r="A4539" t="inlineStr">
        <is>
          <t>c0e11158f60abbb6f96d74228e67d44c</t>
        </is>
      </c>
      <c r="B4539" t="inlineStr">
        <is>
          <t>2018-07-20</t>
        </is>
      </c>
      <c r="C4539" t="inlineStr">
        <is>
          <t>2018-07</t>
        </is>
      </c>
      <c r="D4539" t="inlineStr">
        <is>
          <t>GO</t>
        </is>
      </c>
      <c r="E4539" t="inlineStr">
        <is>
          <t>cool_stuff</t>
        </is>
      </c>
      <c r="F4539" t="n">
        <v>1</v>
      </c>
      <c r="G4539" t="n">
        <v>249.99</v>
      </c>
      <c r="H4539" t="n">
        <v>28.05</v>
      </c>
      <c r="I4539" t="inlineStr">
        <is>
          <t>credit_card</t>
        </is>
      </c>
      <c r="J4539" t="n">
        <v>11</v>
      </c>
      <c r="K4539" t="inlineStr">
        <is>
          <t>On Time</t>
        </is>
      </c>
      <c r="L4539" t="n">
        <v>5</v>
      </c>
      <c r="M4539">
        <f>VLOOKUP(D4539,State_Lookup!$A$2:$B$28,2,FALSE)</f>
        <v/>
      </c>
    </row>
    <row r="4540">
      <c r="A4540" t="inlineStr">
        <is>
          <t>133d08a542c28f4400480b9483517c32</t>
        </is>
      </c>
      <c r="B4540" t="inlineStr">
        <is>
          <t>2018-07-21</t>
        </is>
      </c>
      <c r="C4540" t="inlineStr">
        <is>
          <t>2018-07</t>
        </is>
      </c>
      <c r="D4540" t="inlineStr">
        <is>
          <t>PA</t>
        </is>
      </c>
      <c r="E4540" t="inlineStr">
        <is>
          <t>baby</t>
        </is>
      </c>
      <c r="F4540" t="n">
        <v>1</v>
      </c>
      <c r="G4540" t="n">
        <v>62.99</v>
      </c>
      <c r="H4540" t="n">
        <v>22.72</v>
      </c>
      <c r="I4540" t="inlineStr">
        <is>
          <t>credit_card</t>
        </is>
      </c>
      <c r="J4540" t="n">
        <v>16</v>
      </c>
      <c r="K4540" t="inlineStr">
        <is>
          <t>On Time</t>
        </is>
      </c>
      <c r="L4540" t="n">
        <v>4</v>
      </c>
      <c r="M4540">
        <f>VLOOKUP(D4540,State_Lookup!$A$2:$B$28,2,FALSE)</f>
        <v/>
      </c>
    </row>
    <row r="4541">
      <c r="A4541" t="inlineStr">
        <is>
          <t>9e47bdda0d32604c18e587c151278314</t>
        </is>
      </c>
      <c r="B4541" t="inlineStr">
        <is>
          <t>2018-07-21</t>
        </is>
      </c>
      <c r="C4541" t="inlineStr">
        <is>
          <t>2018-07</t>
        </is>
      </c>
      <c r="D4541" t="inlineStr">
        <is>
          <t>SP</t>
        </is>
      </c>
      <c r="E4541" t="inlineStr">
        <is>
          <t>home_appliances</t>
        </is>
      </c>
      <c r="F4541" t="n">
        <v>1</v>
      </c>
      <c r="G4541" t="n">
        <v>26.9</v>
      </c>
      <c r="H4541" t="n">
        <v>12.85</v>
      </c>
      <c r="I4541" t="inlineStr">
        <is>
          <t>credit_card</t>
        </is>
      </c>
      <c r="J4541" t="n">
        <v>4</v>
      </c>
      <c r="K4541" t="inlineStr">
        <is>
          <t>On Time</t>
        </is>
      </c>
      <c r="L4541" t="n">
        <v>5</v>
      </c>
      <c r="M4541">
        <f>VLOOKUP(D4541,State_Lookup!$A$2:$B$28,2,FALSE)</f>
        <v/>
      </c>
    </row>
    <row r="4542">
      <c r="A4542" t="inlineStr">
        <is>
          <t>c533856d03996a6114c8fa9a876181d4</t>
        </is>
      </c>
      <c r="B4542" t="inlineStr">
        <is>
          <t>2018-07-21</t>
        </is>
      </c>
      <c r="C4542" t="inlineStr">
        <is>
          <t>2018-07</t>
        </is>
      </c>
      <c r="D4542" t="inlineStr">
        <is>
          <t>RJ</t>
        </is>
      </c>
      <c r="E4542" t="inlineStr">
        <is>
          <t>electronics</t>
        </is>
      </c>
      <c r="F4542" t="n">
        <v>1</v>
      </c>
      <c r="G4542" t="n">
        <v>139.9</v>
      </c>
      <c r="H4542" t="n">
        <v>30.78</v>
      </c>
      <c r="I4542" t="inlineStr">
        <is>
          <t>credit_card</t>
        </is>
      </c>
      <c r="J4542" t="n">
        <v>9</v>
      </c>
      <c r="K4542" t="inlineStr">
        <is>
          <t>On Time</t>
        </is>
      </c>
      <c r="L4542" t="n">
        <v>5</v>
      </c>
      <c r="M4542">
        <f>VLOOKUP(D4542,State_Lookup!$A$2:$B$28,2,FALSE)</f>
        <v/>
      </c>
    </row>
    <row r="4543">
      <c r="A4543" t="inlineStr">
        <is>
          <t>6048533001f5fce8b89fa52898d99047</t>
        </is>
      </c>
      <c r="B4543" t="inlineStr">
        <is>
          <t>2018-07-21</t>
        </is>
      </c>
      <c r="C4543" t="inlineStr">
        <is>
          <t>2018-07</t>
        </is>
      </c>
      <c r="D4543" t="inlineStr">
        <is>
          <t>AL</t>
        </is>
      </c>
      <c r="E4543" t="inlineStr">
        <is>
          <t>computers_accessories</t>
        </is>
      </c>
      <c r="F4543" t="n">
        <v>1</v>
      </c>
      <c r="G4543" t="n">
        <v>49.9</v>
      </c>
      <c r="H4543" t="n">
        <v>51.07</v>
      </c>
      <c r="I4543" t="inlineStr">
        <is>
          <t>credit_card</t>
        </is>
      </c>
      <c r="J4543" t="n">
        <v>17</v>
      </c>
      <c r="K4543" t="inlineStr">
        <is>
          <t>On Time</t>
        </is>
      </c>
      <c r="L4543" t="n">
        <v>5</v>
      </c>
      <c r="M4543">
        <f>VLOOKUP(D4543,State_Lookup!$A$2:$B$28,2,FALSE)</f>
        <v/>
      </c>
    </row>
    <row r="4544">
      <c r="A4544" t="inlineStr">
        <is>
          <t>906aea7f9a8bbd2b625400e22531469e</t>
        </is>
      </c>
      <c r="B4544" t="inlineStr">
        <is>
          <t>2018-07-21</t>
        </is>
      </c>
      <c r="C4544" t="inlineStr">
        <is>
          <t>2018-07</t>
        </is>
      </c>
      <c r="D4544" t="inlineStr">
        <is>
          <t>SP</t>
        </is>
      </c>
      <c r="E4544" t="inlineStr">
        <is>
          <t>housewares</t>
        </is>
      </c>
      <c r="F4544" t="n">
        <v>1</v>
      </c>
      <c r="G4544" t="n">
        <v>40.99</v>
      </c>
      <c r="H4544" t="n">
        <v>14.6</v>
      </c>
      <c r="I4544" t="inlineStr">
        <is>
          <t>credit_card</t>
        </is>
      </c>
      <c r="J4544" t="n">
        <v>4</v>
      </c>
      <c r="K4544" t="inlineStr">
        <is>
          <t>On Time</t>
        </is>
      </c>
      <c r="L4544" t="n">
        <v>5</v>
      </c>
      <c r="M4544">
        <f>VLOOKUP(D4544,State_Lookup!$A$2:$B$28,2,FALSE)</f>
        <v/>
      </c>
    </row>
    <row r="4545">
      <c r="A4545" t="inlineStr">
        <is>
          <t>7e00454e2e8b8b2e12e9a580ec77f00c</t>
        </is>
      </c>
      <c r="B4545" t="inlineStr">
        <is>
          <t>2018-07-21</t>
        </is>
      </c>
      <c r="C4545" t="inlineStr">
        <is>
          <t>2018-07</t>
        </is>
      </c>
      <c r="D4545" t="inlineStr">
        <is>
          <t>SP</t>
        </is>
      </c>
      <c r="E4545" t="inlineStr">
        <is>
          <t>consoles_games</t>
        </is>
      </c>
      <c r="F4545" t="n">
        <v>1</v>
      </c>
      <c r="G4545" t="n">
        <v>40</v>
      </c>
      <c r="H4545" t="n">
        <v>18.38</v>
      </c>
      <c r="I4545" t="inlineStr">
        <is>
          <t>credit_card</t>
        </is>
      </c>
      <c r="J4545" t="n">
        <v>5</v>
      </c>
      <c r="K4545" t="inlineStr">
        <is>
          <t>On Time</t>
        </is>
      </c>
      <c r="L4545" t="n">
        <v>5</v>
      </c>
      <c r="M4545">
        <f>VLOOKUP(D4545,State_Lookup!$A$2:$B$28,2,FALSE)</f>
        <v/>
      </c>
    </row>
    <row r="4546">
      <c r="A4546" t="inlineStr">
        <is>
          <t>4f209a7c48b44a32ff3196ddbfb4d67e</t>
        </is>
      </c>
      <c r="B4546" t="inlineStr">
        <is>
          <t>2018-07-21</t>
        </is>
      </c>
      <c r="C4546" t="inlineStr">
        <is>
          <t>2018-07</t>
        </is>
      </c>
      <c r="D4546" t="inlineStr">
        <is>
          <t>SP</t>
        </is>
      </c>
      <c r="E4546" t="inlineStr">
        <is>
          <t>health_beauty</t>
        </is>
      </c>
      <c r="F4546" t="n">
        <v>1</v>
      </c>
      <c r="G4546" t="n">
        <v>143.28</v>
      </c>
      <c r="H4546" t="n">
        <v>13.66</v>
      </c>
      <c r="I4546" t="inlineStr">
        <is>
          <t>credit_card</t>
        </is>
      </c>
      <c r="J4546" t="n">
        <v>6</v>
      </c>
      <c r="K4546" t="inlineStr">
        <is>
          <t>On Time</t>
        </is>
      </c>
      <c r="L4546" t="n">
        <v>5</v>
      </c>
      <c r="M4546">
        <f>VLOOKUP(D4546,State_Lookup!$A$2:$B$28,2,FALSE)</f>
        <v/>
      </c>
    </row>
    <row r="4547">
      <c r="A4547" t="inlineStr">
        <is>
          <t>6bbafe0017bf2f1c7dd4331a9a742023</t>
        </is>
      </c>
      <c r="B4547" t="inlineStr">
        <is>
          <t>2018-07-21</t>
        </is>
      </c>
      <c r="C4547" t="inlineStr">
        <is>
          <t>2018-07</t>
        </is>
      </c>
      <c r="D4547" t="inlineStr">
        <is>
          <t>SP</t>
        </is>
      </c>
      <c r="E4547" t="inlineStr">
        <is>
          <t>furniture_decor</t>
        </is>
      </c>
      <c r="F4547" t="n">
        <v>1</v>
      </c>
      <c r="G4547" t="n">
        <v>45</v>
      </c>
      <c r="H4547" t="n">
        <v>11.34</v>
      </c>
      <c r="I4547" t="inlineStr">
        <is>
          <t>credit_card</t>
        </is>
      </c>
      <c r="J4547" t="n">
        <v>5</v>
      </c>
      <c r="K4547" t="inlineStr">
        <is>
          <t>On Time</t>
        </is>
      </c>
      <c r="L4547" t="n">
        <v>5</v>
      </c>
      <c r="M4547">
        <f>VLOOKUP(D4547,State_Lookup!$A$2:$B$28,2,FALSE)</f>
        <v/>
      </c>
    </row>
    <row r="4548">
      <c r="A4548" t="inlineStr">
        <is>
          <t>e681b9d741ce6a1913e86b6351105a55</t>
        </is>
      </c>
      <c r="B4548" t="inlineStr">
        <is>
          <t>2018-07-21</t>
        </is>
      </c>
      <c r="C4548" t="inlineStr">
        <is>
          <t>2018-07</t>
        </is>
      </c>
      <c r="D4548" t="inlineStr">
        <is>
          <t>RS</t>
        </is>
      </c>
      <c r="E4548" t="inlineStr">
        <is>
          <t>pet_shop</t>
        </is>
      </c>
      <c r="F4548" t="n">
        <v>2</v>
      </c>
      <c r="G4548" t="n">
        <v>99.8</v>
      </c>
      <c r="H4548" t="n">
        <v>49.4</v>
      </c>
      <c r="I4548" t="inlineStr">
        <is>
          <t>credit_card</t>
        </is>
      </c>
      <c r="J4548" t="n">
        <v>19</v>
      </c>
      <c r="K4548" t="inlineStr">
        <is>
          <t>On Time</t>
        </is>
      </c>
      <c r="L4548" t="n">
        <v>5</v>
      </c>
      <c r="M4548">
        <f>VLOOKUP(D4548,State_Lookup!$A$2:$B$28,2,FALSE)</f>
        <v/>
      </c>
    </row>
    <row r="4549">
      <c r="A4549" t="inlineStr">
        <is>
          <t>4a2c053de460d64372361385b38bdb24</t>
        </is>
      </c>
      <c r="B4549" t="inlineStr">
        <is>
          <t>2018-07-21</t>
        </is>
      </c>
      <c r="C4549" t="inlineStr">
        <is>
          <t>2018-07</t>
        </is>
      </c>
      <c r="D4549" t="inlineStr">
        <is>
          <t>MS</t>
        </is>
      </c>
      <c r="E4549" t="inlineStr">
        <is>
          <t>home_construction</t>
        </is>
      </c>
      <c r="F4549" t="n">
        <v>2</v>
      </c>
      <c r="G4549" t="n">
        <v>199.75</v>
      </c>
      <c r="H4549" t="n">
        <v>43.39</v>
      </c>
      <c r="I4549" t="inlineStr">
        <is>
          <t>credit_card</t>
        </is>
      </c>
      <c r="J4549" t="n">
        <v>25</v>
      </c>
      <c r="K4549" t="inlineStr">
        <is>
          <t>On Time</t>
        </is>
      </c>
      <c r="L4549" t="n">
        <v>3</v>
      </c>
      <c r="M4549">
        <f>VLOOKUP(D4549,State_Lookup!$A$2:$B$28,2,FALSE)</f>
        <v/>
      </c>
    </row>
    <row r="4550">
      <c r="A4550" t="inlineStr">
        <is>
          <t>15d849612f479d808dc030e4e1ba39d6</t>
        </is>
      </c>
      <c r="B4550" t="inlineStr">
        <is>
          <t>2018-07-22</t>
        </is>
      </c>
      <c r="C4550" t="inlineStr">
        <is>
          <t>2018-07</t>
        </is>
      </c>
      <c r="D4550" t="inlineStr">
        <is>
          <t>MG</t>
        </is>
      </c>
      <c r="E4550" t="inlineStr">
        <is>
          <t>luggage_accessories</t>
        </is>
      </c>
      <c r="F4550" t="n">
        <v>1</v>
      </c>
      <c r="G4550" t="n">
        <v>129.9</v>
      </c>
      <c r="H4550" t="n">
        <v>22.66</v>
      </c>
      <c r="I4550" t="inlineStr">
        <is>
          <t>credit_card</t>
        </is>
      </c>
      <c r="J4550" t="n">
        <v>8</v>
      </c>
      <c r="K4550" t="inlineStr">
        <is>
          <t>On Time</t>
        </is>
      </c>
      <c r="L4550" t="n">
        <v>5</v>
      </c>
      <c r="M4550">
        <f>VLOOKUP(D4550,State_Lookup!$A$2:$B$28,2,FALSE)</f>
        <v/>
      </c>
    </row>
    <row r="4551">
      <c r="A4551" t="inlineStr">
        <is>
          <t>3d85885db63d8328e4dbaa59804ad1ee</t>
        </is>
      </c>
      <c r="B4551" t="inlineStr">
        <is>
          <t>2018-07-22</t>
        </is>
      </c>
      <c r="C4551" t="inlineStr">
        <is>
          <t>2018-07</t>
        </is>
      </c>
      <c r="D4551" t="inlineStr">
        <is>
          <t>MT</t>
        </is>
      </c>
      <c r="E4551" t="inlineStr">
        <is>
          <t>housewares</t>
        </is>
      </c>
      <c r="F4551" t="n">
        <v>1</v>
      </c>
      <c r="G4551" t="n">
        <v>159.9</v>
      </c>
      <c r="H4551" t="n">
        <v>48.17</v>
      </c>
      <c r="I4551" t="inlineStr">
        <is>
          <t>boleto</t>
        </is>
      </c>
      <c r="J4551" t="n">
        <v>12</v>
      </c>
      <c r="K4551" t="inlineStr">
        <is>
          <t>On Time</t>
        </is>
      </c>
      <c r="L4551" t="n">
        <v>5</v>
      </c>
      <c r="M4551">
        <f>VLOOKUP(D4551,State_Lookup!$A$2:$B$28,2,FALSE)</f>
        <v/>
      </c>
    </row>
    <row r="4552">
      <c r="A4552" t="inlineStr">
        <is>
          <t>279a3bc53e370f1614e3205bf4946041</t>
        </is>
      </c>
      <c r="B4552" t="inlineStr">
        <is>
          <t>2018-07-22</t>
        </is>
      </c>
      <c r="C4552" t="inlineStr">
        <is>
          <t>2018-07</t>
        </is>
      </c>
      <c r="D4552" t="inlineStr">
        <is>
          <t>MS</t>
        </is>
      </c>
      <c r="E4552" t="inlineStr">
        <is>
          <t>watches_gifts</t>
        </is>
      </c>
      <c r="F4552" t="n">
        <v>1</v>
      </c>
      <c r="G4552" t="n">
        <v>148.9</v>
      </c>
      <c r="H4552" t="n">
        <v>16.14</v>
      </c>
      <c r="I4552" t="inlineStr">
        <is>
          <t>credit_card</t>
        </is>
      </c>
      <c r="J4552" t="n">
        <v>10</v>
      </c>
      <c r="K4552" t="inlineStr">
        <is>
          <t>On Time</t>
        </is>
      </c>
      <c r="L4552" t="n">
        <v>5</v>
      </c>
      <c r="M4552">
        <f>VLOOKUP(D4552,State_Lookup!$A$2:$B$28,2,FALSE)</f>
        <v/>
      </c>
    </row>
    <row r="4553">
      <c r="A4553" t="inlineStr">
        <is>
          <t>4ac122e6ce71a07175e5bf2551f02c40</t>
        </is>
      </c>
      <c r="B4553" t="inlineStr">
        <is>
          <t>2018-07-22</t>
        </is>
      </c>
      <c r="C4553" t="inlineStr">
        <is>
          <t>2018-07</t>
        </is>
      </c>
      <c r="D4553" t="inlineStr">
        <is>
          <t>SP</t>
        </is>
      </c>
      <c r="E4553" t="inlineStr">
        <is>
          <t>sports_leisure</t>
        </is>
      </c>
      <c r="F4553" t="n">
        <v>1</v>
      </c>
      <c r="G4553" t="n">
        <v>85.90000000000001</v>
      </c>
      <c r="H4553" t="n">
        <v>11.62</v>
      </c>
      <c r="I4553" t="inlineStr">
        <is>
          <t>credit_card</t>
        </is>
      </c>
      <c r="J4553" t="n">
        <v>3</v>
      </c>
      <c r="K4553" t="inlineStr">
        <is>
          <t>On Time</t>
        </is>
      </c>
      <c r="L4553" t="n">
        <v>5</v>
      </c>
      <c r="M4553">
        <f>VLOOKUP(D4553,State_Lookup!$A$2:$B$28,2,FALSE)</f>
        <v/>
      </c>
    </row>
    <row r="4554">
      <c r="A4554" t="inlineStr">
        <is>
          <t>6153dde2f6f01bdd93c35be85fed898d</t>
        </is>
      </c>
      <c r="B4554" t="inlineStr">
        <is>
          <t>2018-07-22</t>
        </is>
      </c>
      <c r="C4554" t="inlineStr">
        <is>
          <t>2018-07</t>
        </is>
      </c>
      <c r="D4554" t="inlineStr">
        <is>
          <t>SP</t>
        </is>
      </c>
      <c r="E4554" t="inlineStr">
        <is>
          <t>electronics</t>
        </is>
      </c>
      <c r="F4554" t="n">
        <v>1</v>
      </c>
      <c r="G4554" t="n">
        <v>49.99</v>
      </c>
      <c r="H4554" t="n">
        <v>7.61</v>
      </c>
      <c r="I4554" t="inlineStr">
        <is>
          <t>credit_card</t>
        </is>
      </c>
      <c r="J4554" t="n">
        <v>6</v>
      </c>
      <c r="K4554" t="inlineStr">
        <is>
          <t>On Time</t>
        </is>
      </c>
      <c r="L4554" t="n">
        <v>4</v>
      </c>
      <c r="M4554">
        <f>VLOOKUP(D4554,State_Lookup!$A$2:$B$28,2,FALSE)</f>
        <v/>
      </c>
    </row>
    <row r="4555">
      <c r="A4555" t="inlineStr">
        <is>
          <t>97aeae7e7b1d8a32cf3f26c3946eab1d</t>
        </is>
      </c>
      <c r="B4555" t="inlineStr">
        <is>
          <t>2018-07-22</t>
        </is>
      </c>
      <c r="C4555" t="inlineStr">
        <is>
          <t>2018-07</t>
        </is>
      </c>
      <c r="D4555" t="inlineStr">
        <is>
          <t>RS</t>
        </is>
      </c>
      <c r="E4555" t="inlineStr">
        <is>
          <t>watches_gifts</t>
        </is>
      </c>
      <c r="F4555" t="n">
        <v>1</v>
      </c>
      <c r="G4555" t="n">
        <v>178.99</v>
      </c>
      <c r="H4555" t="n">
        <v>19.35</v>
      </c>
      <c r="I4555" t="inlineStr">
        <is>
          <t>credit_card</t>
        </is>
      </c>
      <c r="J4555" t="n">
        <v>12</v>
      </c>
      <c r="K4555" t="inlineStr">
        <is>
          <t>On Time</t>
        </is>
      </c>
      <c r="L4555" t="n">
        <v>2</v>
      </c>
      <c r="M4555">
        <f>VLOOKUP(D4555,State_Lookup!$A$2:$B$28,2,FALSE)</f>
        <v/>
      </c>
    </row>
    <row r="4556">
      <c r="A4556" t="inlineStr">
        <is>
          <t>1bf96d65e405802ae7b8a8e176b0b3e6</t>
        </is>
      </c>
      <c r="B4556" t="inlineStr">
        <is>
          <t>2018-07-22</t>
        </is>
      </c>
      <c r="C4556" t="inlineStr">
        <is>
          <t>2018-07</t>
        </is>
      </c>
      <c r="D4556" t="inlineStr">
        <is>
          <t>RJ</t>
        </is>
      </c>
      <c r="E4556" t="inlineStr">
        <is>
          <t>watches_gifts</t>
        </is>
      </c>
      <c r="F4556" t="n">
        <v>1</v>
      </c>
      <c r="G4556" t="n">
        <v>35</v>
      </c>
      <c r="H4556" t="n">
        <v>15.35</v>
      </c>
      <c r="I4556" t="inlineStr">
        <is>
          <t>boleto</t>
        </is>
      </c>
      <c r="J4556" t="n">
        <v>8</v>
      </c>
      <c r="K4556" t="inlineStr">
        <is>
          <t>On Time</t>
        </is>
      </c>
      <c r="L4556" t="n">
        <v>1</v>
      </c>
      <c r="M4556">
        <f>VLOOKUP(D4556,State_Lookup!$A$2:$B$28,2,FALSE)</f>
        <v/>
      </c>
    </row>
    <row r="4557">
      <c r="A4557" t="inlineStr">
        <is>
          <t>5a8c964d59cf60933991dc8ebb88bfa2</t>
        </is>
      </c>
      <c r="B4557" t="inlineStr">
        <is>
          <t>2018-07-22</t>
        </is>
      </c>
      <c r="C4557" t="inlineStr">
        <is>
          <t>2018-07</t>
        </is>
      </c>
      <c r="D4557" t="inlineStr">
        <is>
          <t>BA</t>
        </is>
      </c>
      <c r="E4557" t="inlineStr">
        <is>
          <t>furniture_decor</t>
        </is>
      </c>
      <c r="F4557" t="n">
        <v>1</v>
      </c>
      <c r="G4557" t="n">
        <v>44.99</v>
      </c>
      <c r="H4557" t="n">
        <v>22.25</v>
      </c>
      <c r="I4557" t="inlineStr">
        <is>
          <t>credit_card</t>
        </is>
      </c>
      <c r="J4557" t="n">
        <v>7</v>
      </c>
      <c r="K4557" t="inlineStr">
        <is>
          <t>On Time</t>
        </is>
      </c>
      <c r="L4557" t="n">
        <v>5</v>
      </c>
      <c r="M4557">
        <f>VLOOKUP(D4557,State_Lookup!$A$2:$B$28,2,FALSE)</f>
        <v/>
      </c>
    </row>
    <row r="4558">
      <c r="A4558" t="inlineStr">
        <is>
          <t>9acc2273b31b949190b1e828d326a926</t>
        </is>
      </c>
      <c r="B4558" t="inlineStr">
        <is>
          <t>2018-07-23</t>
        </is>
      </c>
      <c r="C4558" t="inlineStr">
        <is>
          <t>2018-07</t>
        </is>
      </c>
      <c r="D4558" t="inlineStr">
        <is>
          <t>MG</t>
        </is>
      </c>
      <c r="E4558" t="inlineStr">
        <is>
          <t>computers_accessories</t>
        </is>
      </c>
      <c r="F4558" t="n">
        <v>1</v>
      </c>
      <c r="G4558" t="n">
        <v>15.99</v>
      </c>
      <c r="H4558" t="n">
        <v>18.23</v>
      </c>
      <c r="I4558" t="inlineStr">
        <is>
          <t>credit_card</t>
        </is>
      </c>
      <c r="J4558" t="n">
        <v>6</v>
      </c>
      <c r="K4558" t="inlineStr">
        <is>
          <t>On Time</t>
        </is>
      </c>
      <c r="L4558" t="n">
        <v>5</v>
      </c>
      <c r="M4558">
        <f>VLOOKUP(D4558,State_Lookup!$A$2:$B$28,2,FALSE)</f>
        <v/>
      </c>
    </row>
    <row r="4559">
      <c r="A4559" t="inlineStr">
        <is>
          <t>db115077a7bd949a515922eb40aea6c3</t>
        </is>
      </c>
      <c r="B4559" t="inlineStr">
        <is>
          <t>2018-07-23</t>
        </is>
      </c>
      <c r="C4559" t="inlineStr">
        <is>
          <t>2018-07</t>
        </is>
      </c>
      <c r="D4559" t="inlineStr">
        <is>
          <t>MG</t>
        </is>
      </c>
      <c r="E4559" t="inlineStr">
        <is>
          <t>construction_tools_lights</t>
        </is>
      </c>
      <c r="F4559" t="n">
        <v>2</v>
      </c>
      <c r="G4559" t="n">
        <v>318</v>
      </c>
      <c r="H4559" t="n">
        <v>124.52</v>
      </c>
      <c r="I4559" t="inlineStr">
        <is>
          <t>credit_card</t>
        </is>
      </c>
      <c r="J4559" t="n">
        <v>7</v>
      </c>
      <c r="K4559" t="inlineStr">
        <is>
          <t>On Time</t>
        </is>
      </c>
      <c r="L4559" t="n">
        <v>4</v>
      </c>
      <c r="M4559">
        <f>VLOOKUP(D4559,State_Lookup!$A$2:$B$28,2,FALSE)</f>
        <v/>
      </c>
    </row>
    <row r="4560">
      <c r="A4560" t="inlineStr">
        <is>
          <t>303eb5cb4d788bba757d3b0a2aa5f270</t>
        </is>
      </c>
      <c r="B4560" t="inlineStr">
        <is>
          <t>2018-07-23</t>
        </is>
      </c>
      <c r="C4560" t="inlineStr">
        <is>
          <t>2018-07</t>
        </is>
      </c>
      <c r="D4560" t="inlineStr">
        <is>
          <t>RS</t>
        </is>
      </c>
      <c r="E4560" t="inlineStr">
        <is>
          <t>home_appliances</t>
        </is>
      </c>
      <c r="F4560" t="n">
        <v>1</v>
      </c>
      <c r="G4560" t="n">
        <v>29.9</v>
      </c>
      <c r="H4560" t="n">
        <v>18.31</v>
      </c>
      <c r="I4560" t="inlineStr">
        <is>
          <t>boleto</t>
        </is>
      </c>
      <c r="J4560" t="n">
        <v>13</v>
      </c>
      <c r="K4560" t="inlineStr">
        <is>
          <t>On Time</t>
        </is>
      </c>
      <c r="L4560" t="n">
        <v>5</v>
      </c>
      <c r="M4560">
        <f>VLOOKUP(D4560,State_Lookup!$A$2:$B$28,2,FALSE)</f>
        <v/>
      </c>
    </row>
    <row r="4561">
      <c r="A4561" t="inlineStr">
        <is>
          <t>ad7957c1cde1dae009b1fc01e3e02758</t>
        </is>
      </c>
      <c r="B4561" t="inlineStr">
        <is>
          <t>2018-07-23</t>
        </is>
      </c>
      <c r="C4561" t="inlineStr">
        <is>
          <t>2018-07</t>
        </is>
      </c>
      <c r="D4561" t="inlineStr">
        <is>
          <t>MA</t>
        </is>
      </c>
      <c r="E4561" t="inlineStr">
        <is>
          <t>health_beauty</t>
        </is>
      </c>
      <c r="F4561" t="n">
        <v>1</v>
      </c>
      <c r="G4561" t="n">
        <v>79.90000000000001</v>
      </c>
      <c r="H4561" t="n">
        <v>51.28</v>
      </c>
      <c r="I4561" t="inlineStr">
        <is>
          <t>credit_card</t>
        </is>
      </c>
      <c r="J4561" t="n">
        <v>13</v>
      </c>
      <c r="K4561" t="inlineStr">
        <is>
          <t>On Time</t>
        </is>
      </c>
      <c r="L4561" t="n">
        <v>5</v>
      </c>
      <c r="M4561">
        <f>VLOOKUP(D4561,State_Lookup!$A$2:$B$28,2,FALSE)</f>
        <v/>
      </c>
    </row>
    <row r="4562">
      <c r="A4562" t="inlineStr">
        <is>
          <t>e26def18967c8f7038476bbfd3256f43</t>
        </is>
      </c>
      <c r="B4562" t="inlineStr">
        <is>
          <t>2018-07-23</t>
        </is>
      </c>
      <c r="C4562" t="inlineStr">
        <is>
          <t>2018-07</t>
        </is>
      </c>
      <c r="D4562" t="inlineStr">
        <is>
          <t>PA</t>
        </is>
      </c>
      <c r="E4562" t="inlineStr">
        <is>
          <t>watches_gifts</t>
        </is>
      </c>
      <c r="F4562" t="n">
        <v>1</v>
      </c>
      <c r="G4562" t="n">
        <v>728.9</v>
      </c>
      <c r="H4562" t="n">
        <v>25.37</v>
      </c>
      <c r="I4562" t="inlineStr">
        <is>
          <t>credit_card</t>
        </is>
      </c>
      <c r="J4562" t="n">
        <v>14</v>
      </c>
      <c r="K4562" t="inlineStr">
        <is>
          <t>On Time</t>
        </is>
      </c>
      <c r="L4562" t="n">
        <v>5</v>
      </c>
      <c r="M4562">
        <f>VLOOKUP(D4562,State_Lookup!$A$2:$B$28,2,FALSE)</f>
        <v/>
      </c>
    </row>
    <row r="4563">
      <c r="A4563" t="inlineStr">
        <is>
          <t>13a45e2e8407ebdf8c1e8fb6e1dba4fd</t>
        </is>
      </c>
      <c r="B4563" t="inlineStr">
        <is>
          <t>2018-07-23</t>
        </is>
      </c>
      <c r="C4563" t="inlineStr">
        <is>
          <t>2018-07</t>
        </is>
      </c>
      <c r="D4563" t="inlineStr">
        <is>
          <t>SP</t>
        </is>
      </c>
      <c r="E4563" t="inlineStr">
        <is>
          <t>furniture_decor</t>
        </is>
      </c>
      <c r="F4563" t="n">
        <v>1</v>
      </c>
      <c r="G4563" t="n">
        <v>99.90000000000001</v>
      </c>
      <c r="H4563" t="n">
        <v>9.449999999999999</v>
      </c>
      <c r="I4563" t="inlineStr">
        <is>
          <t>credit_card</t>
        </is>
      </c>
      <c r="J4563" t="n">
        <v>2</v>
      </c>
      <c r="K4563" t="inlineStr">
        <is>
          <t>On Time</t>
        </is>
      </c>
      <c r="L4563" t="n">
        <v>5</v>
      </c>
      <c r="M4563">
        <f>VLOOKUP(D4563,State_Lookup!$A$2:$B$28,2,FALSE)</f>
        <v/>
      </c>
    </row>
    <row r="4564">
      <c r="A4564" t="inlineStr">
        <is>
          <t>84d1b2c4bcd6e1ea29456bedb6b6530b</t>
        </is>
      </c>
      <c r="B4564" t="inlineStr">
        <is>
          <t>2018-07-23</t>
        </is>
      </c>
      <c r="C4564" t="inlineStr">
        <is>
          <t>2018-07</t>
        </is>
      </c>
      <c r="D4564" t="inlineStr">
        <is>
          <t>SP</t>
        </is>
      </c>
      <c r="E4564" t="inlineStr">
        <is>
          <t>health_beauty</t>
        </is>
      </c>
      <c r="F4564" t="n">
        <v>1</v>
      </c>
      <c r="G4564" t="n">
        <v>110.32</v>
      </c>
      <c r="H4564" t="n">
        <v>8.029999999999999</v>
      </c>
      <c r="I4564" t="inlineStr">
        <is>
          <t>credit_card</t>
        </is>
      </c>
      <c r="J4564" t="n">
        <v>4</v>
      </c>
      <c r="K4564" t="inlineStr">
        <is>
          <t>On Time</t>
        </is>
      </c>
      <c r="L4564" t="n">
        <v>5</v>
      </c>
      <c r="M4564">
        <f>VLOOKUP(D4564,State_Lookup!$A$2:$B$28,2,FALSE)</f>
        <v/>
      </c>
    </row>
    <row r="4565">
      <c r="A4565" t="inlineStr">
        <is>
          <t>31f1be86be8795e41ef55b592873ae37</t>
        </is>
      </c>
      <c r="B4565" t="inlineStr">
        <is>
          <t>2018-07-23</t>
        </is>
      </c>
      <c r="C4565" t="inlineStr">
        <is>
          <t>2018-07</t>
        </is>
      </c>
      <c r="D4565" t="inlineStr">
        <is>
          <t>RS</t>
        </is>
      </c>
      <c r="E4565" t="inlineStr">
        <is>
          <t>sports_leisure</t>
        </is>
      </c>
      <c r="F4565" t="n">
        <v>1</v>
      </c>
      <c r="G4565" t="n">
        <v>175</v>
      </c>
      <c r="H4565" t="n">
        <v>59.31</v>
      </c>
      <c r="I4565" t="inlineStr">
        <is>
          <t>credit_card</t>
        </is>
      </c>
      <c r="J4565" t="n">
        <v>6</v>
      </c>
      <c r="K4565" t="inlineStr">
        <is>
          <t>On Time</t>
        </is>
      </c>
      <c r="L4565" t="n">
        <v>5</v>
      </c>
      <c r="M4565">
        <f>VLOOKUP(D4565,State_Lookup!$A$2:$B$28,2,FALSE)</f>
        <v/>
      </c>
    </row>
    <row r="4566">
      <c r="A4566" t="inlineStr">
        <is>
          <t>1e849e4a2805bfa9c4db43379e52d046</t>
        </is>
      </c>
      <c r="B4566" t="inlineStr">
        <is>
          <t>2018-07-23</t>
        </is>
      </c>
      <c r="C4566" t="inlineStr">
        <is>
          <t>2018-07</t>
        </is>
      </c>
      <c r="D4566" t="inlineStr">
        <is>
          <t>SP</t>
        </is>
      </c>
      <c r="E4566" t="inlineStr">
        <is>
          <t>agro_industry_and_commerce</t>
        </is>
      </c>
      <c r="F4566" t="n">
        <v>1</v>
      </c>
      <c r="G4566" t="n">
        <v>120</v>
      </c>
      <c r="H4566" t="n">
        <v>17.03</v>
      </c>
      <c r="I4566" t="inlineStr">
        <is>
          <t>credit_card</t>
        </is>
      </c>
      <c r="J4566" t="n">
        <v>7</v>
      </c>
      <c r="K4566" t="inlineStr">
        <is>
          <t>On Time</t>
        </is>
      </c>
      <c r="L4566" t="n">
        <v>5</v>
      </c>
      <c r="M4566">
        <f>VLOOKUP(D4566,State_Lookup!$A$2:$B$28,2,FALSE)</f>
        <v/>
      </c>
    </row>
    <row r="4567">
      <c r="A4567" t="inlineStr">
        <is>
          <t>e9583867c3868714af8937a417c1adc5</t>
        </is>
      </c>
      <c r="B4567" t="inlineStr">
        <is>
          <t>2018-07-23</t>
        </is>
      </c>
      <c r="C4567" t="inlineStr">
        <is>
          <t>2018-07</t>
        </is>
      </c>
      <c r="D4567" t="inlineStr">
        <is>
          <t>RS</t>
        </is>
      </c>
      <c r="E4567" t="inlineStr">
        <is>
          <t>toys</t>
        </is>
      </c>
      <c r="F4567" t="n">
        <v>1</v>
      </c>
      <c r="G4567" t="n">
        <v>45.2</v>
      </c>
      <c r="H4567" t="n">
        <v>19.51</v>
      </c>
      <c r="I4567" t="inlineStr">
        <is>
          <t>credit_card</t>
        </is>
      </c>
      <c r="J4567" t="n">
        <v>8</v>
      </c>
      <c r="K4567" t="inlineStr">
        <is>
          <t>On Time</t>
        </is>
      </c>
      <c r="L4567" t="n">
        <v>5</v>
      </c>
      <c r="M4567">
        <f>VLOOKUP(D4567,State_Lookup!$A$2:$B$28,2,FALSE)</f>
        <v/>
      </c>
    </row>
    <row r="4568">
      <c r="A4568" t="inlineStr">
        <is>
          <t>1d767ef13195f2cb3337b6b077e1f752</t>
        </is>
      </c>
      <c r="B4568" t="inlineStr">
        <is>
          <t>2018-07-23</t>
        </is>
      </c>
      <c r="C4568" t="inlineStr">
        <is>
          <t>2018-07</t>
        </is>
      </c>
      <c r="D4568" t="inlineStr">
        <is>
          <t>RJ</t>
        </is>
      </c>
      <c r="E4568" t="inlineStr">
        <is>
          <t>toys</t>
        </is>
      </c>
      <c r="F4568" t="n">
        <v>1</v>
      </c>
      <c r="G4568" t="n">
        <v>139.99</v>
      </c>
      <c r="H4568" t="n">
        <v>17.17</v>
      </c>
      <c r="I4568" t="inlineStr">
        <is>
          <t>credit_card</t>
        </is>
      </c>
      <c r="J4568" t="n">
        <v>7</v>
      </c>
      <c r="K4568" t="inlineStr">
        <is>
          <t>On Time</t>
        </is>
      </c>
      <c r="L4568" t="n">
        <v>5</v>
      </c>
      <c r="M4568">
        <f>VLOOKUP(D4568,State_Lookup!$A$2:$B$28,2,FALSE)</f>
        <v/>
      </c>
    </row>
    <row r="4569">
      <c r="A4569" t="inlineStr">
        <is>
          <t>332cccabf2107750bda6430e1696198d</t>
        </is>
      </c>
      <c r="B4569" t="inlineStr">
        <is>
          <t>2018-07-23</t>
        </is>
      </c>
      <c r="C4569" t="inlineStr">
        <is>
          <t>2018-07</t>
        </is>
      </c>
      <c r="D4569" t="inlineStr">
        <is>
          <t>SC</t>
        </is>
      </c>
      <c r="E4569" t="inlineStr">
        <is>
          <t>watches_gifts</t>
        </is>
      </c>
      <c r="F4569" t="n">
        <v>1</v>
      </c>
      <c r="G4569" t="n">
        <v>78</v>
      </c>
      <c r="H4569" t="n">
        <v>18.65</v>
      </c>
      <c r="I4569" t="inlineStr">
        <is>
          <t>credit_card</t>
        </is>
      </c>
      <c r="J4569" t="n">
        <v>6</v>
      </c>
      <c r="K4569" t="inlineStr">
        <is>
          <t>On Time</t>
        </is>
      </c>
      <c r="L4569" t="n">
        <v>4</v>
      </c>
      <c r="M4569">
        <f>VLOOKUP(D4569,State_Lookup!$A$2:$B$28,2,FALSE)</f>
        <v/>
      </c>
    </row>
    <row r="4570">
      <c r="A4570" t="inlineStr">
        <is>
          <t>d8d281c1a1398a1e835fdc4adfb81e2a</t>
        </is>
      </c>
      <c r="B4570" t="inlineStr">
        <is>
          <t>2018-07-23</t>
        </is>
      </c>
      <c r="C4570" t="inlineStr">
        <is>
          <t>2018-07</t>
        </is>
      </c>
      <c r="D4570" t="inlineStr">
        <is>
          <t>SP</t>
        </is>
      </c>
      <c r="E4570" t="inlineStr">
        <is>
          <t>garden_tools</t>
        </is>
      </c>
      <c r="F4570" t="n">
        <v>1</v>
      </c>
      <c r="G4570" t="n">
        <v>664</v>
      </c>
      <c r="H4570" t="n">
        <v>38.41</v>
      </c>
      <c r="I4570" t="inlineStr">
        <is>
          <t>credit_card</t>
        </is>
      </c>
      <c r="J4570" t="n">
        <v>3</v>
      </c>
      <c r="K4570" t="inlineStr">
        <is>
          <t>On Time</t>
        </is>
      </c>
      <c r="L4570" t="n">
        <v>1</v>
      </c>
      <c r="M4570">
        <f>VLOOKUP(D4570,State_Lookup!$A$2:$B$28,2,FALSE)</f>
        <v/>
      </c>
    </row>
    <row r="4571">
      <c r="A4571" t="inlineStr">
        <is>
          <t>dbd51aaa65a18413d5c1a97a0bc41bf4</t>
        </is>
      </c>
      <c r="B4571" t="inlineStr">
        <is>
          <t>2018-07-23</t>
        </is>
      </c>
      <c r="C4571" t="inlineStr">
        <is>
          <t>2018-07</t>
        </is>
      </c>
      <c r="D4571" t="inlineStr">
        <is>
          <t>RS</t>
        </is>
      </c>
      <c r="E4571" t="inlineStr">
        <is>
          <t>bed_bath_table</t>
        </is>
      </c>
      <c r="F4571" t="n">
        <v>1</v>
      </c>
      <c r="G4571" t="n">
        <v>88</v>
      </c>
      <c r="H4571" t="n">
        <v>23.42</v>
      </c>
      <c r="I4571" t="inlineStr">
        <is>
          <t>credit_card</t>
        </is>
      </c>
      <c r="J4571" t="n">
        <v>6</v>
      </c>
      <c r="K4571" t="inlineStr">
        <is>
          <t>On Time</t>
        </is>
      </c>
      <c r="L4571" t="n">
        <v>5</v>
      </c>
      <c r="M4571">
        <f>VLOOKUP(D4571,State_Lookup!$A$2:$B$28,2,FALSE)</f>
        <v/>
      </c>
    </row>
    <row r="4572">
      <c r="A4572" t="inlineStr">
        <is>
          <t>3d61e9970cfb1669c490645d74bf7405</t>
        </is>
      </c>
      <c r="B4572" t="inlineStr">
        <is>
          <t>2018-07-23</t>
        </is>
      </c>
      <c r="C4572" t="inlineStr">
        <is>
          <t>2018-07</t>
        </is>
      </c>
      <c r="D4572" t="inlineStr">
        <is>
          <t>MG</t>
        </is>
      </c>
      <c r="E4572" t="inlineStr">
        <is>
          <t>watches_gifts</t>
        </is>
      </c>
      <c r="F4572" t="n">
        <v>1</v>
      </c>
      <c r="G4572" t="n">
        <v>154.9</v>
      </c>
      <c r="H4572" t="n">
        <v>19.18</v>
      </c>
      <c r="I4572" t="inlineStr">
        <is>
          <t>credit_card</t>
        </is>
      </c>
      <c r="J4572" t="n">
        <v>3</v>
      </c>
      <c r="K4572" t="inlineStr">
        <is>
          <t>On Time</t>
        </is>
      </c>
      <c r="L4572" t="n">
        <v>5</v>
      </c>
      <c r="M4572">
        <f>VLOOKUP(D4572,State_Lookup!$A$2:$B$28,2,FALSE)</f>
        <v/>
      </c>
    </row>
    <row r="4573">
      <c r="A4573" t="inlineStr">
        <is>
          <t>fc608ec5eadbd9c3b59babdc1f7ebca9</t>
        </is>
      </c>
      <c r="B4573" t="inlineStr">
        <is>
          <t>2018-07-23</t>
        </is>
      </c>
      <c r="C4573" t="inlineStr">
        <is>
          <t>2018-07</t>
        </is>
      </c>
      <c r="D4573" t="inlineStr">
        <is>
          <t>SP</t>
        </is>
      </c>
      <c r="E4573" t="inlineStr">
        <is>
          <t>consoles_games</t>
        </is>
      </c>
      <c r="F4573" t="n">
        <v>1</v>
      </c>
      <c r="G4573" t="n">
        <v>140</v>
      </c>
      <c r="H4573" t="n">
        <v>64.8</v>
      </c>
      <c r="I4573" t="inlineStr">
        <is>
          <t>credit_card</t>
        </is>
      </c>
      <c r="J4573" t="n">
        <v>4</v>
      </c>
      <c r="K4573" t="inlineStr">
        <is>
          <t>On Time</t>
        </is>
      </c>
      <c r="L4573" t="n">
        <v>5</v>
      </c>
      <c r="M4573">
        <f>VLOOKUP(D4573,State_Lookup!$A$2:$B$28,2,FALSE)</f>
        <v/>
      </c>
    </row>
    <row r="4574">
      <c r="A4574" t="inlineStr">
        <is>
          <t>b4501b36d5c7558b4364a961168f8bfd</t>
        </is>
      </c>
      <c r="B4574" t="inlineStr">
        <is>
          <t>2018-07-23</t>
        </is>
      </c>
      <c r="C4574" t="inlineStr">
        <is>
          <t>2018-07</t>
        </is>
      </c>
      <c r="D4574" t="inlineStr">
        <is>
          <t>RS</t>
        </is>
      </c>
      <c r="E4574" t="inlineStr">
        <is>
          <t>watches_gifts</t>
        </is>
      </c>
      <c r="F4574" t="n">
        <v>2</v>
      </c>
      <c r="G4574" t="n">
        <v>78</v>
      </c>
      <c r="H4574" t="n">
        <v>36.74</v>
      </c>
      <c r="I4574" t="inlineStr">
        <is>
          <t>boleto</t>
        </is>
      </c>
      <c r="J4574" t="n">
        <v>7</v>
      </c>
      <c r="K4574" t="inlineStr">
        <is>
          <t>On Time</t>
        </is>
      </c>
      <c r="L4574" t="n">
        <v>5</v>
      </c>
      <c r="M4574">
        <f>VLOOKUP(D4574,State_Lookup!$A$2:$B$28,2,FALSE)</f>
        <v/>
      </c>
    </row>
    <row r="4575">
      <c r="A4575" t="inlineStr">
        <is>
          <t>329262a8ce814ac8ed283f9ae66ebee2</t>
        </is>
      </c>
      <c r="B4575" t="inlineStr">
        <is>
          <t>2018-07-23</t>
        </is>
      </c>
      <c r="C4575" t="inlineStr">
        <is>
          <t>2018-07</t>
        </is>
      </c>
      <c r="D4575" t="inlineStr">
        <is>
          <t>GO</t>
        </is>
      </c>
      <c r="E4575" t="inlineStr">
        <is>
          <t>watches_gifts</t>
        </is>
      </c>
      <c r="F4575" t="n">
        <v>1</v>
      </c>
      <c r="G4575" t="n">
        <v>78</v>
      </c>
      <c r="H4575" t="n">
        <v>15.65</v>
      </c>
      <c r="I4575" t="inlineStr">
        <is>
          <t>credit_card</t>
        </is>
      </c>
      <c r="J4575" t="n">
        <v>14</v>
      </c>
      <c r="K4575" t="inlineStr">
        <is>
          <t>On Time</t>
        </is>
      </c>
      <c r="L4575" t="n">
        <v>5</v>
      </c>
      <c r="M4575">
        <f>VLOOKUP(D4575,State_Lookup!$A$2:$B$28,2,FALSE)</f>
        <v/>
      </c>
    </row>
    <row r="4576">
      <c r="A4576" t="inlineStr">
        <is>
          <t>da28a815dd7996590e84c9e51dec1ff4</t>
        </is>
      </c>
      <c r="B4576" t="inlineStr">
        <is>
          <t>2018-07-23</t>
        </is>
      </c>
      <c r="C4576" t="inlineStr">
        <is>
          <t>2018-07</t>
        </is>
      </c>
      <c r="D4576" t="inlineStr">
        <is>
          <t>SP</t>
        </is>
      </c>
      <c r="E4576" t="inlineStr">
        <is>
          <t>bed_bath_table</t>
        </is>
      </c>
      <c r="F4576" t="n">
        <v>1</v>
      </c>
      <c r="G4576" t="n">
        <v>107.5</v>
      </c>
      <c r="H4576" t="n">
        <v>17.88</v>
      </c>
      <c r="I4576" t="inlineStr">
        <is>
          <t>credit_card</t>
        </is>
      </c>
      <c r="J4576" t="n">
        <v>4</v>
      </c>
      <c r="K4576" t="inlineStr">
        <is>
          <t>On Time</t>
        </is>
      </c>
      <c r="L4576" t="n">
        <v>4</v>
      </c>
      <c r="M4576">
        <f>VLOOKUP(D4576,State_Lookup!$A$2:$B$28,2,FALSE)</f>
        <v/>
      </c>
    </row>
    <row r="4577">
      <c r="A4577" t="inlineStr">
        <is>
          <t>8ceb7c40345d31112e63e0f4624e39b0</t>
        </is>
      </c>
      <c r="B4577" t="inlineStr">
        <is>
          <t>2018-07-23</t>
        </is>
      </c>
      <c r="C4577" t="inlineStr">
        <is>
          <t>2018-07</t>
        </is>
      </c>
      <c r="D4577" t="inlineStr">
        <is>
          <t>SP</t>
        </is>
      </c>
      <c r="E4577" t="inlineStr">
        <is>
          <t>housewares</t>
        </is>
      </c>
      <c r="F4577" t="n">
        <v>3</v>
      </c>
      <c r="G4577" t="n">
        <v>188.7</v>
      </c>
      <c r="H4577" t="n">
        <v>34.38</v>
      </c>
      <c r="I4577" t="inlineStr">
        <is>
          <t>credit_card</t>
        </is>
      </c>
      <c r="J4577" t="n">
        <v>2</v>
      </c>
      <c r="K4577" t="inlineStr">
        <is>
          <t>On Time</t>
        </is>
      </c>
      <c r="L4577" t="n">
        <v>3</v>
      </c>
      <c r="M4577">
        <f>VLOOKUP(D4577,State_Lookup!$A$2:$B$28,2,FALSE)</f>
        <v/>
      </c>
    </row>
    <row r="4578">
      <c r="A4578" t="inlineStr">
        <is>
          <t>6f21ad30200f041d3f19995a8718cd11</t>
        </is>
      </c>
      <c r="B4578" t="inlineStr">
        <is>
          <t>2018-07-23</t>
        </is>
      </c>
      <c r="C4578" t="inlineStr">
        <is>
          <t>2018-07</t>
        </is>
      </c>
      <c r="D4578" t="inlineStr">
        <is>
          <t>SP</t>
        </is>
      </c>
      <c r="E4578" t="inlineStr">
        <is>
          <t>telephony</t>
        </is>
      </c>
      <c r="F4578" t="n">
        <v>1</v>
      </c>
      <c r="G4578" t="n">
        <v>45.95</v>
      </c>
      <c r="H4578" t="n">
        <v>7.58</v>
      </c>
      <c r="I4578" t="inlineStr">
        <is>
          <t>boleto</t>
        </is>
      </c>
      <c r="J4578" t="n">
        <v>2</v>
      </c>
      <c r="K4578" t="inlineStr">
        <is>
          <t>On Time</t>
        </is>
      </c>
      <c r="L4578" t="n">
        <v>5</v>
      </c>
      <c r="M4578">
        <f>VLOOKUP(D4578,State_Lookup!$A$2:$B$28,2,FALSE)</f>
        <v/>
      </c>
    </row>
    <row r="4579">
      <c r="A4579" t="inlineStr">
        <is>
          <t>407fe646704ea7828e324c8ef7e7e616</t>
        </is>
      </c>
      <c r="B4579" t="inlineStr">
        <is>
          <t>2018-07-23</t>
        </is>
      </c>
      <c r="C4579" t="inlineStr">
        <is>
          <t>2018-07</t>
        </is>
      </c>
      <c r="D4579" t="inlineStr">
        <is>
          <t>PR</t>
        </is>
      </c>
      <c r="E4579" t="inlineStr">
        <is>
          <t>sports_leisure</t>
        </is>
      </c>
      <c r="F4579" t="n">
        <v>3</v>
      </c>
      <c r="G4579" t="n">
        <v>357.13</v>
      </c>
      <c r="H4579" t="n">
        <v>88.06999999999999</v>
      </c>
      <c r="I4579" t="inlineStr">
        <is>
          <t>boleto</t>
        </is>
      </c>
      <c r="J4579" t="n">
        <v>8</v>
      </c>
      <c r="K4579" t="inlineStr">
        <is>
          <t>On Time</t>
        </is>
      </c>
      <c r="L4579" t="n">
        <v>5</v>
      </c>
      <c r="M4579">
        <f>VLOOKUP(D4579,State_Lookup!$A$2:$B$28,2,FALSE)</f>
        <v/>
      </c>
    </row>
    <row r="4580">
      <c r="A4580" t="inlineStr">
        <is>
          <t>2e0900f25a11a9802bc76d2613b1144c</t>
        </is>
      </c>
      <c r="B4580" t="inlineStr">
        <is>
          <t>2018-07-24</t>
        </is>
      </c>
      <c r="C4580" t="inlineStr">
        <is>
          <t>2018-07</t>
        </is>
      </c>
      <c r="D4580" t="inlineStr">
        <is>
          <t>TO</t>
        </is>
      </c>
      <c r="E4580" t="inlineStr">
        <is>
          <t>sports_leisure</t>
        </is>
      </c>
      <c r="F4580" t="n">
        <v>2</v>
      </c>
      <c r="G4580" t="n">
        <v>178.98</v>
      </c>
      <c r="H4580" t="n">
        <v>75.08</v>
      </c>
      <c r="I4580" t="inlineStr">
        <is>
          <t>boleto</t>
        </is>
      </c>
      <c r="J4580" t="n">
        <v>13</v>
      </c>
      <c r="K4580" t="inlineStr">
        <is>
          <t>On Time</t>
        </is>
      </c>
      <c r="L4580" t="n">
        <v>5</v>
      </c>
      <c r="M4580">
        <f>VLOOKUP(D4580,State_Lookup!$A$2:$B$28,2,FALSE)</f>
        <v/>
      </c>
    </row>
    <row r="4581">
      <c r="A4581" t="inlineStr">
        <is>
          <t>bb4eb3e71b30365a580e5a718bd8d1ae</t>
        </is>
      </c>
      <c r="B4581" t="inlineStr">
        <is>
          <t>2018-07-24</t>
        </is>
      </c>
      <c r="C4581" t="inlineStr">
        <is>
          <t>2018-07</t>
        </is>
      </c>
      <c r="D4581" t="inlineStr">
        <is>
          <t>PA</t>
        </is>
      </c>
      <c r="E4581" t="inlineStr">
        <is>
          <t>health_beauty</t>
        </is>
      </c>
      <c r="F4581" t="n">
        <v>1</v>
      </c>
      <c r="G4581" t="n">
        <v>151.72</v>
      </c>
      <c r="H4581" t="n">
        <v>23.34</v>
      </c>
      <c r="I4581" t="inlineStr">
        <is>
          <t>credit_card</t>
        </is>
      </c>
      <c r="J4581" t="n">
        <v>38</v>
      </c>
      <c r="K4581" t="inlineStr">
        <is>
          <t>Late</t>
        </is>
      </c>
      <c r="L4581" t="n">
        <v>1</v>
      </c>
      <c r="M4581">
        <f>VLOOKUP(D4581,State_Lookup!$A$2:$B$28,2,FALSE)</f>
        <v/>
      </c>
    </row>
    <row r="4582">
      <c r="A4582" t="inlineStr">
        <is>
          <t>67e5683ee43c8f5d4c0b46f7f8932ac8</t>
        </is>
      </c>
      <c r="B4582" t="inlineStr">
        <is>
          <t>2018-07-24</t>
        </is>
      </c>
      <c r="C4582" t="inlineStr">
        <is>
          <t>2018-07</t>
        </is>
      </c>
      <c r="D4582" t="inlineStr">
        <is>
          <t>PR</t>
        </is>
      </c>
      <c r="E4582" t="inlineStr">
        <is>
          <t>auto</t>
        </is>
      </c>
      <c r="F4582" t="n">
        <v>1</v>
      </c>
      <c r="G4582" t="n">
        <v>93.97</v>
      </c>
      <c r="H4582" t="n">
        <v>18.76</v>
      </c>
      <c r="I4582" t="inlineStr">
        <is>
          <t>credit_card</t>
        </is>
      </c>
      <c r="J4582" t="n">
        <v>7</v>
      </c>
      <c r="K4582" t="inlineStr">
        <is>
          <t>On Time</t>
        </is>
      </c>
      <c r="L4582" t="n">
        <v>5</v>
      </c>
      <c r="M4582">
        <f>VLOOKUP(D4582,State_Lookup!$A$2:$B$28,2,FALSE)</f>
        <v/>
      </c>
    </row>
    <row r="4583">
      <c r="A4583" t="inlineStr">
        <is>
          <t>92f53cdbef0f16b315c62faa337c4672</t>
        </is>
      </c>
      <c r="B4583" t="inlineStr">
        <is>
          <t>2018-07-24</t>
        </is>
      </c>
      <c r="C4583" t="inlineStr">
        <is>
          <t>2018-07</t>
        </is>
      </c>
      <c r="D4583" t="inlineStr">
        <is>
          <t>ES</t>
        </is>
      </c>
      <c r="E4583" t="inlineStr">
        <is>
          <t>home_construction</t>
        </is>
      </c>
      <c r="F4583" t="n">
        <v>1</v>
      </c>
      <c r="G4583" t="n">
        <v>150</v>
      </c>
      <c r="H4583" t="n">
        <v>28.03</v>
      </c>
      <c r="I4583" t="inlineStr">
        <is>
          <t>credit_card</t>
        </is>
      </c>
      <c r="J4583" t="n">
        <v>6</v>
      </c>
      <c r="K4583" t="inlineStr">
        <is>
          <t>On Time</t>
        </is>
      </c>
      <c r="L4583" t="n">
        <v>5</v>
      </c>
      <c r="M4583">
        <f>VLOOKUP(D4583,State_Lookup!$A$2:$B$28,2,FALSE)</f>
        <v/>
      </c>
    </row>
    <row r="4584">
      <c r="A4584" t="inlineStr">
        <is>
          <t>3304b73bf1a8b2f1e44d5cd320476582</t>
        </is>
      </c>
      <c r="B4584" t="inlineStr">
        <is>
          <t>2018-07-24</t>
        </is>
      </c>
      <c r="C4584" t="inlineStr">
        <is>
          <t>2018-07</t>
        </is>
      </c>
      <c r="D4584" t="inlineStr">
        <is>
          <t>SP</t>
        </is>
      </c>
      <c r="E4584" t="inlineStr">
        <is>
          <t>stationery</t>
        </is>
      </c>
      <c r="F4584" t="n">
        <v>1</v>
      </c>
      <c r="G4584" t="n">
        <v>74.5</v>
      </c>
      <c r="H4584" t="n">
        <v>21.16</v>
      </c>
      <c r="I4584" t="inlineStr">
        <is>
          <t>credit_card</t>
        </is>
      </c>
      <c r="J4584" t="n">
        <v>3</v>
      </c>
      <c r="K4584" t="inlineStr">
        <is>
          <t>On Time</t>
        </is>
      </c>
      <c r="L4584" t="n">
        <v>5</v>
      </c>
      <c r="M4584">
        <f>VLOOKUP(D4584,State_Lookup!$A$2:$B$28,2,FALSE)</f>
        <v/>
      </c>
    </row>
    <row r="4585">
      <c r="A4585" t="inlineStr">
        <is>
          <t>a908872306574c9405b29a838aee5521</t>
        </is>
      </c>
      <c r="B4585" t="inlineStr">
        <is>
          <t>2018-07-24</t>
        </is>
      </c>
      <c r="C4585" t="inlineStr">
        <is>
          <t>2018-07</t>
        </is>
      </c>
      <c r="D4585" t="inlineStr">
        <is>
          <t>SP</t>
        </is>
      </c>
      <c r="E4585" t="inlineStr">
        <is>
          <t>bed_bath_table</t>
        </is>
      </c>
      <c r="F4585" t="n">
        <v>3</v>
      </c>
      <c r="G4585" t="n">
        <v>143.7</v>
      </c>
      <c r="H4585" t="n">
        <v>54.33</v>
      </c>
      <c r="I4585" t="inlineStr">
        <is>
          <t>credit_card</t>
        </is>
      </c>
      <c r="J4585" t="n">
        <v>3</v>
      </c>
      <c r="K4585" t="inlineStr">
        <is>
          <t>On Time</t>
        </is>
      </c>
      <c r="L4585" t="n">
        <v>2</v>
      </c>
      <c r="M4585">
        <f>VLOOKUP(D4585,State_Lookup!$A$2:$B$28,2,FALSE)</f>
        <v/>
      </c>
    </row>
    <row r="4586">
      <c r="A4586" t="inlineStr">
        <is>
          <t>3f9666fbcb3490ff8c1f0d2b826c32db</t>
        </is>
      </c>
      <c r="B4586" t="inlineStr">
        <is>
          <t>2018-07-24</t>
        </is>
      </c>
      <c r="C4586" t="inlineStr">
        <is>
          <t>2018-07</t>
        </is>
      </c>
      <c r="D4586" t="inlineStr">
        <is>
          <t>SP</t>
        </is>
      </c>
      <c r="E4586" t="inlineStr">
        <is>
          <t>perfumery</t>
        </is>
      </c>
      <c r="F4586" t="n">
        <v>1</v>
      </c>
      <c r="G4586" t="n">
        <v>279.9</v>
      </c>
      <c r="H4586" t="n">
        <v>20.06</v>
      </c>
      <c r="I4586" t="inlineStr">
        <is>
          <t>credit_card</t>
        </is>
      </c>
      <c r="J4586" t="n">
        <v>6</v>
      </c>
      <c r="K4586" t="inlineStr">
        <is>
          <t>On Time</t>
        </is>
      </c>
      <c r="L4586" t="n">
        <v>5</v>
      </c>
      <c r="M4586">
        <f>VLOOKUP(D4586,State_Lookup!$A$2:$B$28,2,FALSE)</f>
        <v/>
      </c>
    </row>
    <row r="4587">
      <c r="A4587" t="inlineStr">
        <is>
          <t>079034c04662f3d7dce287df9e4e5489</t>
        </is>
      </c>
      <c r="B4587" t="inlineStr">
        <is>
          <t>2018-07-24</t>
        </is>
      </c>
      <c r="C4587" t="inlineStr">
        <is>
          <t>2018-07</t>
        </is>
      </c>
      <c r="D4587" t="inlineStr">
        <is>
          <t>RN</t>
        </is>
      </c>
      <c r="E4587" t="inlineStr">
        <is>
          <t>computers_accessories</t>
        </is>
      </c>
      <c r="F4587" t="n">
        <v>1</v>
      </c>
      <c r="G4587" t="n">
        <v>24.99</v>
      </c>
      <c r="H4587" t="n">
        <v>22.9</v>
      </c>
      <c r="I4587" t="inlineStr">
        <is>
          <t>credit_card</t>
        </is>
      </c>
      <c r="J4587" t="n">
        <v>9</v>
      </c>
      <c r="K4587" t="inlineStr">
        <is>
          <t>On Time</t>
        </is>
      </c>
      <c r="L4587" t="n">
        <v>5</v>
      </c>
      <c r="M4587">
        <f>VLOOKUP(D4587,State_Lookup!$A$2:$B$28,2,FALSE)</f>
        <v/>
      </c>
    </row>
    <row r="4588">
      <c r="A4588" t="inlineStr">
        <is>
          <t>8d10435d438f4f2582d83a8cb0f007ad</t>
        </is>
      </c>
      <c r="B4588" t="inlineStr">
        <is>
          <t>2018-07-24</t>
        </is>
      </c>
      <c r="C4588" t="inlineStr">
        <is>
          <t>2018-07</t>
        </is>
      </c>
      <c r="D4588" t="inlineStr">
        <is>
          <t>TO</t>
        </is>
      </c>
      <c r="E4588" t="inlineStr">
        <is>
          <t>home_construction</t>
        </is>
      </c>
      <c r="F4588" t="n">
        <v>1</v>
      </c>
      <c r="G4588" t="n">
        <v>79.90000000000001</v>
      </c>
      <c r="H4588" t="n">
        <v>38.83</v>
      </c>
      <c r="I4588" t="inlineStr">
        <is>
          <t>boleto</t>
        </is>
      </c>
      <c r="J4588" t="n">
        <v>22</v>
      </c>
      <c r="K4588" t="inlineStr">
        <is>
          <t>On Time</t>
        </is>
      </c>
      <c r="L4588" t="n">
        <v>5</v>
      </c>
      <c r="M4588">
        <f>VLOOKUP(D4588,State_Lookup!$A$2:$B$28,2,FALSE)</f>
        <v/>
      </c>
    </row>
    <row r="4589">
      <c r="A4589" t="inlineStr">
        <is>
          <t>1248580ae351357ac7a36fc314df5268</t>
        </is>
      </c>
      <c r="B4589" t="inlineStr">
        <is>
          <t>2018-07-24</t>
        </is>
      </c>
      <c r="C4589" t="inlineStr">
        <is>
          <t>2018-07</t>
        </is>
      </c>
      <c r="D4589" t="inlineStr">
        <is>
          <t>PE</t>
        </is>
      </c>
      <c r="E4589" t="inlineStr">
        <is>
          <t>construction_tools_construction</t>
        </is>
      </c>
      <c r="F4589" t="n">
        <v>1</v>
      </c>
      <c r="G4589" t="n">
        <v>319.99</v>
      </c>
      <c r="H4589" t="n">
        <v>24.52</v>
      </c>
      <c r="I4589" t="inlineStr">
        <is>
          <t>credit_card</t>
        </is>
      </c>
      <c r="J4589" t="n">
        <v>7</v>
      </c>
      <c r="K4589" t="inlineStr">
        <is>
          <t>On Time</t>
        </is>
      </c>
      <c r="L4589" t="n">
        <v>5</v>
      </c>
      <c r="M4589">
        <f>VLOOKUP(D4589,State_Lookup!$A$2:$B$28,2,FALSE)</f>
        <v/>
      </c>
    </row>
    <row r="4590">
      <c r="A4590" t="inlineStr">
        <is>
          <t>581ca172b817d8c5626a66b8cbfe11e7</t>
        </is>
      </c>
      <c r="B4590" t="inlineStr">
        <is>
          <t>2018-07-24</t>
        </is>
      </c>
      <c r="C4590" t="inlineStr">
        <is>
          <t>2018-07</t>
        </is>
      </c>
      <c r="D4590" t="inlineStr">
        <is>
          <t>RS</t>
        </is>
      </c>
      <c r="E4590" t="inlineStr">
        <is>
          <t>office_furniture</t>
        </is>
      </c>
      <c r="F4590" t="n">
        <v>1</v>
      </c>
      <c r="G4590" t="n">
        <v>119.98</v>
      </c>
      <c r="H4590" t="n">
        <v>58.92</v>
      </c>
      <c r="I4590" t="inlineStr">
        <is>
          <t>boleto</t>
        </is>
      </c>
      <c r="J4590" t="n">
        <v>21</v>
      </c>
      <c r="K4590" t="inlineStr">
        <is>
          <t>On Time</t>
        </is>
      </c>
      <c r="L4590" t="n">
        <v>5</v>
      </c>
      <c r="M4590">
        <f>VLOOKUP(D4590,State_Lookup!$A$2:$B$28,2,FALSE)</f>
        <v/>
      </c>
    </row>
    <row r="4591">
      <c r="A4591" t="inlineStr">
        <is>
          <t>6e11f5b6972e1b602699867fc1d5b6c9</t>
        </is>
      </c>
      <c r="B4591" t="inlineStr">
        <is>
          <t>2018-07-24</t>
        </is>
      </c>
      <c r="C4591" t="inlineStr">
        <is>
          <t>2018-07</t>
        </is>
      </c>
      <c r="D4591" t="inlineStr">
        <is>
          <t>CE</t>
        </is>
      </c>
      <c r="E4591" t="inlineStr">
        <is>
          <t>furniture_decor</t>
        </is>
      </c>
      <c r="F4591" t="n">
        <v>1</v>
      </c>
      <c r="G4591" t="n">
        <v>59.9</v>
      </c>
      <c r="H4591" t="n">
        <v>20.69</v>
      </c>
      <c r="I4591" t="inlineStr">
        <is>
          <t>boleto</t>
        </is>
      </c>
      <c r="J4591" t="n">
        <v>13</v>
      </c>
      <c r="K4591" t="inlineStr">
        <is>
          <t>On Time</t>
        </is>
      </c>
      <c r="L4591" t="n">
        <v>5</v>
      </c>
      <c r="M4591">
        <f>VLOOKUP(D4591,State_Lookup!$A$2:$B$28,2,FALSE)</f>
        <v/>
      </c>
    </row>
    <row r="4592">
      <c r="A4592" t="inlineStr">
        <is>
          <t>45381c01fd8a0e60c741a9cf4736ebbb</t>
        </is>
      </c>
      <c r="B4592" t="inlineStr">
        <is>
          <t>2018-07-24</t>
        </is>
      </c>
      <c r="C4592" t="inlineStr">
        <is>
          <t>2018-07</t>
        </is>
      </c>
      <c r="D4592" t="inlineStr">
        <is>
          <t>PR</t>
        </is>
      </c>
      <c r="E4592" t="inlineStr">
        <is>
          <t>housewares</t>
        </is>
      </c>
      <c r="F4592" t="n">
        <v>1</v>
      </c>
      <c r="G4592" t="n">
        <v>24.9</v>
      </c>
      <c r="H4592" t="n">
        <v>18.27</v>
      </c>
      <c r="I4592" t="inlineStr">
        <is>
          <t>credit_card</t>
        </is>
      </c>
      <c r="J4592" t="n">
        <v>16</v>
      </c>
      <c r="K4592" t="inlineStr">
        <is>
          <t>On Time</t>
        </is>
      </c>
      <c r="L4592" t="n">
        <v>5</v>
      </c>
      <c r="M4592">
        <f>VLOOKUP(D4592,State_Lookup!$A$2:$B$28,2,FALSE)</f>
        <v/>
      </c>
    </row>
    <row r="4593">
      <c r="A4593" t="inlineStr">
        <is>
          <t>5b3eecddd7b10744360abfff7a6a74a4</t>
        </is>
      </c>
      <c r="B4593" t="inlineStr">
        <is>
          <t>2018-07-25</t>
        </is>
      </c>
      <c r="C4593" t="inlineStr">
        <is>
          <t>2018-07</t>
        </is>
      </c>
      <c r="D4593" t="inlineStr">
        <is>
          <t>SP</t>
        </is>
      </c>
      <c r="E4593" t="inlineStr">
        <is>
          <t>computers_accessories</t>
        </is>
      </c>
      <c r="F4593" t="n">
        <v>1</v>
      </c>
      <c r="G4593" t="n">
        <v>112.99</v>
      </c>
      <c r="H4593" t="n">
        <v>15.18</v>
      </c>
      <c r="I4593" t="inlineStr">
        <is>
          <t>boleto</t>
        </is>
      </c>
      <c r="J4593" t="n">
        <v>6</v>
      </c>
      <c r="K4593" t="inlineStr">
        <is>
          <t>On Time</t>
        </is>
      </c>
      <c r="L4593" t="n">
        <v>5</v>
      </c>
      <c r="M4593">
        <f>VLOOKUP(D4593,State_Lookup!$A$2:$B$28,2,FALSE)</f>
        <v/>
      </c>
    </row>
    <row r="4594">
      <c r="A4594" t="inlineStr">
        <is>
          <t>18d2e92302e58abca7cd07fc8ff2ffa3</t>
        </is>
      </c>
      <c r="B4594" t="inlineStr">
        <is>
          <t>2018-07-25</t>
        </is>
      </c>
      <c r="C4594" t="inlineStr">
        <is>
          <t>2018-07</t>
        </is>
      </c>
      <c r="D4594" t="inlineStr">
        <is>
          <t>ES</t>
        </is>
      </c>
      <c r="E4594" t="inlineStr">
        <is>
          <t>sports_leisure</t>
        </is>
      </c>
      <c r="F4594" t="n">
        <v>1</v>
      </c>
      <c r="G4594" t="n">
        <v>89.90000000000001</v>
      </c>
      <c r="H4594" t="n">
        <v>18.43</v>
      </c>
      <c r="I4594" t="inlineStr">
        <is>
          <t>boleto</t>
        </is>
      </c>
      <c r="J4594" t="n">
        <v>6</v>
      </c>
      <c r="K4594" t="inlineStr">
        <is>
          <t>On Time</t>
        </is>
      </c>
      <c r="L4594" t="n">
        <v>5</v>
      </c>
      <c r="M4594">
        <f>VLOOKUP(D4594,State_Lookup!$A$2:$B$28,2,FALSE)</f>
        <v/>
      </c>
    </row>
    <row r="4595">
      <c r="A4595" t="inlineStr">
        <is>
          <t>fa9149f35155659eb319081d8e6f74af</t>
        </is>
      </c>
      <c r="B4595" t="inlineStr">
        <is>
          <t>2018-07-25</t>
        </is>
      </c>
      <c r="C4595" t="inlineStr">
        <is>
          <t>2018-07</t>
        </is>
      </c>
      <c r="D4595" t="inlineStr">
        <is>
          <t>RS</t>
        </is>
      </c>
      <c r="E4595" t="inlineStr">
        <is>
          <t>stationery</t>
        </is>
      </c>
      <c r="F4595" t="n">
        <v>2</v>
      </c>
      <c r="G4595" t="n">
        <v>176.42</v>
      </c>
      <c r="H4595" t="n">
        <v>33.62</v>
      </c>
      <c r="I4595" t="inlineStr">
        <is>
          <t>credit_card</t>
        </is>
      </c>
      <c r="J4595" t="n">
        <v>12</v>
      </c>
      <c r="K4595" t="inlineStr">
        <is>
          <t>On Time</t>
        </is>
      </c>
      <c r="L4595" t="n">
        <v>5</v>
      </c>
      <c r="M4595">
        <f>VLOOKUP(D4595,State_Lookup!$A$2:$B$28,2,FALSE)</f>
        <v/>
      </c>
    </row>
    <row r="4596">
      <c r="A4596" t="inlineStr">
        <is>
          <t>e439b72b2d1f22819e11acbbc8102216</t>
        </is>
      </c>
      <c r="B4596" t="inlineStr">
        <is>
          <t>2018-07-25</t>
        </is>
      </c>
      <c r="C4596" t="inlineStr">
        <is>
          <t>2018-07</t>
        </is>
      </c>
      <c r="D4596" t="inlineStr">
        <is>
          <t>PR</t>
        </is>
      </c>
      <c r="E4596" t="inlineStr">
        <is>
          <t>furniture_decor</t>
        </is>
      </c>
      <c r="F4596" t="n">
        <v>1</v>
      </c>
      <c r="G4596" t="n">
        <v>70</v>
      </c>
      <c r="H4596" t="n">
        <v>18.54</v>
      </c>
      <c r="I4596" t="inlineStr">
        <is>
          <t>credit_card</t>
        </is>
      </c>
      <c r="J4596" t="n">
        <v>6</v>
      </c>
      <c r="K4596" t="inlineStr">
        <is>
          <t>On Time</t>
        </is>
      </c>
      <c r="L4596" t="n">
        <v>3</v>
      </c>
      <c r="M4596">
        <f>VLOOKUP(D4596,State_Lookup!$A$2:$B$28,2,FALSE)</f>
        <v/>
      </c>
    </row>
    <row r="4597">
      <c r="A4597" t="inlineStr">
        <is>
          <t>ebb615f4359b27e961316b3959532f6c</t>
        </is>
      </c>
      <c r="B4597" t="inlineStr">
        <is>
          <t>2018-07-25</t>
        </is>
      </c>
      <c r="C4597" t="inlineStr">
        <is>
          <t>2018-07</t>
        </is>
      </c>
      <c r="D4597" t="inlineStr">
        <is>
          <t>MG</t>
        </is>
      </c>
      <c r="E4597" t="inlineStr">
        <is>
          <t>auto</t>
        </is>
      </c>
      <c r="F4597" t="n">
        <v>1</v>
      </c>
      <c r="G4597" t="n">
        <v>24.99</v>
      </c>
      <c r="H4597" t="n">
        <v>18.28</v>
      </c>
      <c r="I4597" t="inlineStr">
        <is>
          <t>credit_card</t>
        </is>
      </c>
      <c r="J4597" t="n">
        <v>6</v>
      </c>
      <c r="K4597" t="inlineStr">
        <is>
          <t>On Time</t>
        </is>
      </c>
      <c r="L4597" t="n">
        <v>5</v>
      </c>
      <c r="M4597">
        <f>VLOOKUP(D4597,State_Lookup!$A$2:$B$28,2,FALSE)</f>
        <v/>
      </c>
    </row>
    <row r="4598">
      <c r="A4598" t="inlineStr">
        <is>
          <t>9e76ee631c399b238d8407c2f437613d</t>
        </is>
      </c>
      <c r="B4598" t="inlineStr">
        <is>
          <t>2018-07-25</t>
        </is>
      </c>
      <c r="C4598" t="inlineStr">
        <is>
          <t>2018-07</t>
        </is>
      </c>
      <c r="D4598" t="inlineStr">
        <is>
          <t>MG</t>
        </is>
      </c>
      <c r="E4598" t="inlineStr">
        <is>
          <t>watches_gifts</t>
        </is>
      </c>
      <c r="F4598" t="n">
        <v>1</v>
      </c>
      <c r="G4598" t="n">
        <v>49</v>
      </c>
      <c r="H4598" t="n">
        <v>15.44</v>
      </c>
      <c r="I4598" t="inlineStr">
        <is>
          <t>credit_card</t>
        </is>
      </c>
      <c r="J4598" t="n">
        <v>5</v>
      </c>
      <c r="K4598" t="inlineStr">
        <is>
          <t>On Time</t>
        </is>
      </c>
      <c r="L4598" t="n">
        <v>1</v>
      </c>
      <c r="M4598">
        <f>VLOOKUP(D4598,State_Lookup!$A$2:$B$28,2,FALSE)</f>
        <v/>
      </c>
    </row>
    <row r="4599">
      <c r="A4599" t="inlineStr">
        <is>
          <t>2b1db95ad7cf165f885e51c1abfed43c</t>
        </is>
      </c>
      <c r="B4599" t="inlineStr">
        <is>
          <t>2018-07-25</t>
        </is>
      </c>
      <c r="C4599" t="inlineStr">
        <is>
          <t>2018-07</t>
        </is>
      </c>
      <c r="D4599" t="inlineStr">
        <is>
          <t>SP</t>
        </is>
      </c>
      <c r="E4599" t="inlineStr">
        <is>
          <t>watches_gifts</t>
        </is>
      </c>
      <c r="F4599" t="n">
        <v>1</v>
      </c>
      <c r="G4599" t="n">
        <v>119.9</v>
      </c>
      <c r="H4599" t="n">
        <v>13.5</v>
      </c>
      <c r="I4599" t="inlineStr">
        <is>
          <t>boleto</t>
        </is>
      </c>
      <c r="J4599" t="n">
        <v>6</v>
      </c>
      <c r="K4599" t="inlineStr">
        <is>
          <t>On Time</t>
        </is>
      </c>
      <c r="L4599" t="n">
        <v>5</v>
      </c>
      <c r="M4599">
        <f>VLOOKUP(D4599,State_Lookup!$A$2:$B$28,2,FALSE)</f>
        <v/>
      </c>
    </row>
    <row r="4600">
      <c r="A4600" t="inlineStr">
        <is>
          <t>31f6c998a06ef0003c3355f042b8488a</t>
        </is>
      </c>
      <c r="B4600" t="inlineStr">
        <is>
          <t>2018-07-25</t>
        </is>
      </c>
      <c r="C4600" t="inlineStr">
        <is>
          <t>2018-07</t>
        </is>
      </c>
      <c r="D4600" t="inlineStr">
        <is>
          <t>ES</t>
        </is>
      </c>
      <c r="E4600" t="inlineStr">
        <is>
          <t>watches_gifts</t>
        </is>
      </c>
      <c r="F4600" t="n">
        <v>1</v>
      </c>
      <c r="G4600" t="n">
        <v>95</v>
      </c>
      <c r="H4600" t="n">
        <v>18.77</v>
      </c>
      <c r="I4600" t="inlineStr">
        <is>
          <t>credit_card</t>
        </is>
      </c>
      <c r="J4600" t="n">
        <v>6</v>
      </c>
      <c r="K4600" t="inlineStr">
        <is>
          <t>On Time</t>
        </is>
      </c>
      <c r="L4600" t="n">
        <v>4</v>
      </c>
      <c r="M4600">
        <f>VLOOKUP(D4600,State_Lookup!$A$2:$B$28,2,FALSE)</f>
        <v/>
      </c>
    </row>
    <row r="4601">
      <c r="A4601" t="inlineStr">
        <is>
          <t>fefacc66af859508bf1a7934eab1e97f</t>
        </is>
      </c>
      <c r="B4601" t="inlineStr">
        <is>
          <t>2018-07-25</t>
        </is>
      </c>
      <c r="C4601" t="inlineStr">
        <is>
          <t>2018-07</t>
        </is>
      </c>
      <c r="D4601" t="inlineStr">
        <is>
          <t>ES</t>
        </is>
      </c>
      <c r="E4601" t="inlineStr">
        <is>
          <t>computers</t>
        </is>
      </c>
      <c r="F4601" t="n">
        <v>1</v>
      </c>
      <c r="G4601" t="n">
        <v>6729</v>
      </c>
      <c r="H4601" t="n">
        <v>193.21</v>
      </c>
      <c r="I4601" t="inlineStr">
        <is>
          <t>boleto</t>
        </is>
      </c>
      <c r="J4601" t="n">
        <v>20</v>
      </c>
      <c r="K4601" t="inlineStr">
        <is>
          <t>Late</t>
        </is>
      </c>
      <c r="L4601" t="inlineStr"/>
      <c r="M4601">
        <f>VLOOKUP(D4601,State_Lookup!$A$2:$B$28,2,FALSE)</f>
        <v/>
      </c>
    </row>
    <row r="4602">
      <c r="A4602" t="inlineStr">
        <is>
          <t>7ad517358a6ed9836dacf1bd7cc9dab2</t>
        </is>
      </c>
      <c r="B4602" t="inlineStr">
        <is>
          <t>2018-07-25</t>
        </is>
      </c>
      <c r="C4602" t="inlineStr">
        <is>
          <t>2018-07</t>
        </is>
      </c>
      <c r="D4602" t="inlineStr">
        <is>
          <t>SP</t>
        </is>
      </c>
      <c r="E4602" t="inlineStr">
        <is>
          <t>sports_leisure</t>
        </is>
      </c>
      <c r="F4602" t="n">
        <v>1</v>
      </c>
      <c r="G4602" t="n">
        <v>95</v>
      </c>
      <c r="H4602" t="n">
        <v>23.47</v>
      </c>
      <c r="I4602" t="inlineStr">
        <is>
          <t>credit_card</t>
        </is>
      </c>
      <c r="J4602" t="n">
        <v>5</v>
      </c>
      <c r="K4602" t="inlineStr">
        <is>
          <t>On Time</t>
        </is>
      </c>
      <c r="L4602" t="n">
        <v>5</v>
      </c>
      <c r="M4602">
        <f>VLOOKUP(D4602,State_Lookup!$A$2:$B$28,2,FALSE)</f>
        <v/>
      </c>
    </row>
    <row r="4603">
      <c r="A4603" t="inlineStr">
        <is>
          <t>f25fb554c12314110c2c14a22b7eba65</t>
        </is>
      </c>
      <c r="B4603" t="inlineStr">
        <is>
          <t>2018-07-25</t>
        </is>
      </c>
      <c r="C4603" t="inlineStr">
        <is>
          <t>2018-07</t>
        </is>
      </c>
      <c r="D4603" t="inlineStr">
        <is>
          <t>SP</t>
        </is>
      </c>
      <c r="E4603" t="inlineStr">
        <is>
          <t>garden_tools</t>
        </is>
      </c>
      <c r="F4603" t="n">
        <v>1</v>
      </c>
      <c r="G4603" t="n">
        <v>49.9</v>
      </c>
      <c r="H4603" t="n">
        <v>20.99</v>
      </c>
      <c r="I4603" t="inlineStr">
        <is>
          <t>credit_card</t>
        </is>
      </c>
      <c r="J4603" t="n">
        <v>5</v>
      </c>
      <c r="K4603" t="inlineStr">
        <is>
          <t>On Time</t>
        </is>
      </c>
      <c r="L4603" t="n">
        <v>3</v>
      </c>
      <c r="M4603">
        <f>VLOOKUP(D4603,State_Lookup!$A$2:$B$28,2,FALSE)</f>
        <v/>
      </c>
    </row>
    <row r="4604">
      <c r="A4604" t="inlineStr">
        <is>
          <t>bf605ab91479a9fb68eadab4406c8064</t>
        </is>
      </c>
      <c r="B4604" t="inlineStr">
        <is>
          <t>2018-07-25</t>
        </is>
      </c>
      <c r="C4604" t="inlineStr">
        <is>
          <t>2018-07</t>
        </is>
      </c>
      <c r="D4604" t="inlineStr">
        <is>
          <t>SP</t>
        </is>
      </c>
      <c r="E4604" t="inlineStr">
        <is>
          <t>garden_tools</t>
        </is>
      </c>
      <c r="F4604" t="n">
        <v>1</v>
      </c>
      <c r="G4604" t="n">
        <v>49.9</v>
      </c>
      <c r="H4604" t="n">
        <v>20.99</v>
      </c>
      <c r="I4604" t="inlineStr">
        <is>
          <t>credit_card</t>
        </is>
      </c>
      <c r="J4604" t="n">
        <v>5</v>
      </c>
      <c r="K4604" t="inlineStr">
        <is>
          <t>On Time</t>
        </is>
      </c>
      <c r="L4604" t="n">
        <v>5</v>
      </c>
      <c r="M4604">
        <f>VLOOKUP(D4604,State_Lookup!$A$2:$B$28,2,FALSE)</f>
        <v/>
      </c>
    </row>
    <row r="4605">
      <c r="A4605" t="inlineStr">
        <is>
          <t>c7dc7be67e857a6c64557d42383dec8c</t>
        </is>
      </c>
      <c r="B4605" t="inlineStr">
        <is>
          <t>2018-07-25</t>
        </is>
      </c>
      <c r="C4605" t="inlineStr">
        <is>
          <t>2018-07</t>
        </is>
      </c>
      <c r="D4605" t="inlineStr">
        <is>
          <t>SP</t>
        </is>
      </c>
      <c r="E4605" t="inlineStr">
        <is>
          <t>sports_leisure</t>
        </is>
      </c>
      <c r="F4605" t="n">
        <v>1</v>
      </c>
      <c r="G4605" t="n">
        <v>99.90000000000001</v>
      </c>
      <c r="H4605" t="n">
        <v>9.449999999999999</v>
      </c>
      <c r="I4605" t="inlineStr">
        <is>
          <t>credit_card</t>
        </is>
      </c>
      <c r="J4605" t="n">
        <v>3</v>
      </c>
      <c r="K4605" t="inlineStr">
        <is>
          <t>On Time</t>
        </is>
      </c>
      <c r="L4605" t="n">
        <v>5</v>
      </c>
      <c r="M4605">
        <f>VLOOKUP(D4605,State_Lookup!$A$2:$B$28,2,FALSE)</f>
        <v/>
      </c>
    </row>
    <row r="4606">
      <c r="A4606" t="inlineStr">
        <is>
          <t>0c70293ae727a4e81099ec24e6190342</t>
        </is>
      </c>
      <c r="B4606" t="inlineStr">
        <is>
          <t>2018-07-26</t>
        </is>
      </c>
      <c r="C4606" t="inlineStr">
        <is>
          <t>2018-07</t>
        </is>
      </c>
      <c r="D4606" t="inlineStr">
        <is>
          <t>DF</t>
        </is>
      </c>
      <c r="E4606" t="inlineStr">
        <is>
          <t>watches_gifts</t>
        </is>
      </c>
      <c r="F4606" t="n">
        <v>1</v>
      </c>
      <c r="G4606" t="n">
        <v>59</v>
      </c>
      <c r="H4606" t="n">
        <v>15.51</v>
      </c>
      <c r="I4606" t="inlineStr">
        <is>
          <t>credit_card</t>
        </is>
      </c>
      <c r="J4606" t="n">
        <v>7</v>
      </c>
      <c r="K4606" t="inlineStr">
        <is>
          <t>On Time</t>
        </is>
      </c>
      <c r="L4606" t="n">
        <v>3</v>
      </c>
      <c r="M4606">
        <f>VLOOKUP(D4606,State_Lookup!$A$2:$B$28,2,FALSE)</f>
        <v/>
      </c>
    </row>
    <row r="4607">
      <c r="A4607" t="inlineStr">
        <is>
          <t>9964c2007bb66c44ebc2d0c803f78408</t>
        </is>
      </c>
      <c r="B4607" t="inlineStr">
        <is>
          <t>2018-07-26</t>
        </is>
      </c>
      <c r="C4607" t="inlineStr">
        <is>
          <t>2018-07</t>
        </is>
      </c>
      <c r="D4607" t="inlineStr">
        <is>
          <t>PE</t>
        </is>
      </c>
      <c r="E4607" t="inlineStr">
        <is>
          <t>toys</t>
        </is>
      </c>
      <c r="F4607" t="n">
        <v>1</v>
      </c>
      <c r="G4607" t="n">
        <v>329.9</v>
      </c>
      <c r="H4607" t="n">
        <v>65.87</v>
      </c>
      <c r="I4607" t="inlineStr">
        <is>
          <t>credit_card</t>
        </is>
      </c>
      <c r="J4607" t="n">
        <v>15</v>
      </c>
      <c r="K4607" t="inlineStr">
        <is>
          <t>On Time</t>
        </is>
      </c>
      <c r="L4607" t="n">
        <v>5</v>
      </c>
      <c r="M4607">
        <f>VLOOKUP(D4607,State_Lookup!$A$2:$B$28,2,FALSE)</f>
        <v/>
      </c>
    </row>
    <row r="4608">
      <c r="A4608" t="inlineStr">
        <is>
          <t>6c18e8919d8c368f2074946445b35dce</t>
        </is>
      </c>
      <c r="B4608" t="inlineStr">
        <is>
          <t>2018-07-26</t>
        </is>
      </c>
      <c r="C4608" t="inlineStr">
        <is>
          <t>2018-07</t>
        </is>
      </c>
      <c r="D4608" t="inlineStr">
        <is>
          <t>SP</t>
        </is>
      </c>
      <c r="E4608" t="inlineStr">
        <is>
          <t>stationery</t>
        </is>
      </c>
      <c r="F4608" t="n">
        <v>1</v>
      </c>
      <c r="G4608" t="n">
        <v>42</v>
      </c>
      <c r="H4608" t="n">
        <v>8.449999999999999</v>
      </c>
      <c r="I4608" t="inlineStr">
        <is>
          <t>credit_card</t>
        </is>
      </c>
      <c r="J4608" t="n">
        <v>1</v>
      </c>
      <c r="K4608" t="inlineStr">
        <is>
          <t>On Time</t>
        </is>
      </c>
      <c r="L4608" t="n">
        <v>5</v>
      </c>
      <c r="M4608">
        <f>VLOOKUP(D4608,State_Lookup!$A$2:$B$28,2,FALSE)</f>
        <v/>
      </c>
    </row>
    <row r="4609">
      <c r="A4609" t="inlineStr">
        <is>
          <t>a068798f50f86a588b2bd22dd16c6fc1</t>
        </is>
      </c>
      <c r="B4609" t="inlineStr">
        <is>
          <t>2018-07-26</t>
        </is>
      </c>
      <c r="C4609" t="inlineStr">
        <is>
          <t>2018-07</t>
        </is>
      </c>
      <c r="D4609" t="inlineStr">
        <is>
          <t>SP</t>
        </is>
      </c>
      <c r="E4609" t="inlineStr">
        <is>
          <t>sports_leisure</t>
        </is>
      </c>
      <c r="F4609" t="n">
        <v>1</v>
      </c>
      <c r="G4609" t="n">
        <v>240</v>
      </c>
      <c r="H4609" t="n">
        <v>13.98</v>
      </c>
      <c r="I4609" t="inlineStr">
        <is>
          <t>credit_card</t>
        </is>
      </c>
      <c r="J4609" t="n">
        <v>5</v>
      </c>
      <c r="K4609" t="inlineStr">
        <is>
          <t>On Time</t>
        </is>
      </c>
      <c r="L4609" t="n">
        <v>4</v>
      </c>
      <c r="M4609">
        <f>VLOOKUP(D4609,State_Lookup!$A$2:$B$28,2,FALSE)</f>
        <v/>
      </c>
    </row>
    <row r="4610">
      <c r="A4610" t="inlineStr">
        <is>
          <t>9bdf0443f07f3b2fcff74937bf1df6d2</t>
        </is>
      </c>
      <c r="B4610" t="inlineStr">
        <is>
          <t>2018-07-26</t>
        </is>
      </c>
      <c r="C4610" t="inlineStr">
        <is>
          <t>2018-07</t>
        </is>
      </c>
      <c r="D4610" t="inlineStr">
        <is>
          <t>SP</t>
        </is>
      </c>
      <c r="E4610" t="inlineStr">
        <is>
          <t>housewares</t>
        </is>
      </c>
      <c r="F4610" t="n">
        <v>1</v>
      </c>
      <c r="G4610" t="n">
        <v>125.4</v>
      </c>
      <c r="H4610" t="n">
        <v>24.96</v>
      </c>
      <c r="I4610" t="inlineStr">
        <is>
          <t>credit_card</t>
        </is>
      </c>
      <c r="J4610" t="n">
        <v>11</v>
      </c>
      <c r="K4610" t="inlineStr">
        <is>
          <t>On Time</t>
        </is>
      </c>
      <c r="L4610" t="n">
        <v>4</v>
      </c>
      <c r="M4610">
        <f>VLOOKUP(D4610,State_Lookup!$A$2:$B$28,2,FALSE)</f>
        <v/>
      </c>
    </row>
    <row r="4611">
      <c r="A4611" t="inlineStr">
        <is>
          <t>994ed29211f61708b9c3c72ee898ce09</t>
        </is>
      </c>
      <c r="B4611" t="inlineStr">
        <is>
          <t>2018-07-26</t>
        </is>
      </c>
      <c r="C4611" t="inlineStr">
        <is>
          <t>2018-07</t>
        </is>
      </c>
      <c r="D4611" t="inlineStr">
        <is>
          <t>SP</t>
        </is>
      </c>
      <c r="E4611" t="inlineStr">
        <is>
          <t>home_confort</t>
        </is>
      </c>
      <c r="F4611" t="n">
        <v>1</v>
      </c>
      <c r="G4611" t="n">
        <v>139.99</v>
      </c>
      <c r="H4611" t="n">
        <v>34.74</v>
      </c>
      <c r="I4611" t="inlineStr">
        <is>
          <t>boleto</t>
        </is>
      </c>
      <c r="J4611" t="n">
        <v>4</v>
      </c>
      <c r="K4611" t="inlineStr">
        <is>
          <t>On Time</t>
        </is>
      </c>
      <c r="L4611" t="n">
        <v>5</v>
      </c>
      <c r="M4611">
        <f>VLOOKUP(D4611,State_Lookup!$A$2:$B$28,2,FALSE)</f>
        <v/>
      </c>
    </row>
    <row r="4612">
      <c r="A4612" t="inlineStr">
        <is>
          <t>30d7af26cb5f8577b5c6a0164dc814c5</t>
        </is>
      </c>
      <c r="B4612" t="inlineStr">
        <is>
          <t>2018-07-26</t>
        </is>
      </c>
      <c r="C4612" t="inlineStr">
        <is>
          <t>2018-07</t>
        </is>
      </c>
      <c r="D4612" t="inlineStr">
        <is>
          <t>SP</t>
        </is>
      </c>
      <c r="E4612" t="inlineStr">
        <is>
          <t>diapers_and_hygiene</t>
        </is>
      </c>
      <c r="F4612" t="n">
        <v>1</v>
      </c>
      <c r="G4612" t="n">
        <v>28.8</v>
      </c>
      <c r="H4612" t="n">
        <v>11.22</v>
      </c>
      <c r="I4612" t="inlineStr">
        <is>
          <t>credit_card</t>
        </is>
      </c>
      <c r="J4612" t="inlineStr"/>
      <c r="K4612" t="inlineStr">
        <is>
          <t>Not Delivered</t>
        </is>
      </c>
      <c r="L4612" t="n">
        <v>1</v>
      </c>
      <c r="M4612">
        <f>VLOOKUP(D4612,State_Lookup!$A$2:$B$28,2,FALSE)</f>
        <v/>
      </c>
    </row>
    <row r="4613">
      <c r="A4613" t="inlineStr">
        <is>
          <t>1ba5b9882a75bc185bc0c7fbb909b697</t>
        </is>
      </c>
      <c r="B4613" t="inlineStr">
        <is>
          <t>2018-07-26</t>
        </is>
      </c>
      <c r="C4613" t="inlineStr">
        <is>
          <t>2018-07</t>
        </is>
      </c>
      <c r="D4613" t="inlineStr">
        <is>
          <t>RJ</t>
        </is>
      </c>
      <c r="E4613" t="inlineStr">
        <is>
          <t>auto</t>
        </is>
      </c>
      <c r="F4613" t="n">
        <v>1</v>
      </c>
      <c r="G4613" t="n">
        <v>19.9</v>
      </c>
      <c r="H4613" t="n">
        <v>18.24</v>
      </c>
      <c r="I4613" t="inlineStr">
        <is>
          <t>debit_card</t>
        </is>
      </c>
      <c r="J4613" t="n">
        <v>11</v>
      </c>
      <c r="K4613" t="inlineStr">
        <is>
          <t>On Time</t>
        </is>
      </c>
      <c r="L4613" t="n">
        <v>5</v>
      </c>
      <c r="M4613">
        <f>VLOOKUP(D4613,State_Lookup!$A$2:$B$28,2,FALSE)</f>
        <v/>
      </c>
    </row>
    <row r="4614">
      <c r="A4614" t="inlineStr">
        <is>
          <t>bedcad246f8051ae66375615a3824588</t>
        </is>
      </c>
      <c r="B4614" t="inlineStr">
        <is>
          <t>2018-07-26</t>
        </is>
      </c>
      <c r="C4614" t="inlineStr">
        <is>
          <t>2018-07</t>
        </is>
      </c>
      <c r="D4614" t="inlineStr">
        <is>
          <t>RJ</t>
        </is>
      </c>
      <c r="E4614" t="inlineStr">
        <is>
          <t>bed_bath_table</t>
        </is>
      </c>
      <c r="F4614" t="n">
        <v>1</v>
      </c>
      <c r="G4614" t="n">
        <v>93</v>
      </c>
      <c r="H4614" t="n">
        <v>19.84</v>
      </c>
      <c r="I4614" t="inlineStr">
        <is>
          <t>boleto</t>
        </is>
      </c>
      <c r="J4614" t="n">
        <v>7</v>
      </c>
      <c r="K4614" t="inlineStr">
        <is>
          <t>On Time</t>
        </is>
      </c>
      <c r="L4614" t="n">
        <v>5</v>
      </c>
      <c r="M4614">
        <f>VLOOKUP(D4614,State_Lookup!$A$2:$B$28,2,FALSE)</f>
        <v/>
      </c>
    </row>
    <row r="4615">
      <c r="A4615" t="inlineStr">
        <is>
          <t>66d560d1c77317086f3332a6715ac1c1</t>
        </is>
      </c>
      <c r="B4615" t="inlineStr">
        <is>
          <t>2018-07-26</t>
        </is>
      </c>
      <c r="C4615" t="inlineStr">
        <is>
          <t>2018-07</t>
        </is>
      </c>
      <c r="D4615" t="inlineStr">
        <is>
          <t>SE</t>
        </is>
      </c>
      <c r="E4615" t="inlineStr">
        <is>
          <t>housewares</t>
        </is>
      </c>
      <c r="F4615" t="n">
        <v>1</v>
      </c>
      <c r="G4615" t="n">
        <v>180</v>
      </c>
      <c r="H4615" t="n">
        <v>28.03</v>
      </c>
      <c r="I4615" t="inlineStr">
        <is>
          <t>credit_card</t>
        </is>
      </c>
      <c r="J4615" t="n">
        <v>8</v>
      </c>
      <c r="K4615" t="inlineStr">
        <is>
          <t>On Time</t>
        </is>
      </c>
      <c r="L4615" t="n">
        <v>5</v>
      </c>
      <c r="M4615">
        <f>VLOOKUP(D4615,State_Lookup!$A$2:$B$28,2,FALSE)</f>
        <v/>
      </c>
    </row>
    <row r="4616">
      <c r="A4616" t="inlineStr">
        <is>
          <t>c69eeadb2be025a8483b632013bb0788</t>
        </is>
      </c>
      <c r="B4616" t="inlineStr">
        <is>
          <t>2018-07-26</t>
        </is>
      </c>
      <c r="C4616" t="inlineStr">
        <is>
          <t>2018-07</t>
        </is>
      </c>
      <c r="D4616" t="inlineStr">
        <is>
          <t>BA</t>
        </is>
      </c>
      <c r="E4616" t="inlineStr">
        <is>
          <t>watches_gifts</t>
        </is>
      </c>
      <c r="F4616" t="n">
        <v>1</v>
      </c>
      <c r="G4616" t="n">
        <v>44</v>
      </c>
      <c r="H4616" t="n">
        <v>22.24</v>
      </c>
      <c r="I4616" t="inlineStr">
        <is>
          <t>boleto</t>
        </is>
      </c>
      <c r="J4616" t="n">
        <v>14</v>
      </c>
      <c r="K4616" t="inlineStr">
        <is>
          <t>On Time</t>
        </is>
      </c>
      <c r="L4616" t="n">
        <v>3</v>
      </c>
      <c r="M4616">
        <f>VLOOKUP(D4616,State_Lookup!$A$2:$B$28,2,FALSE)</f>
        <v/>
      </c>
    </row>
    <row r="4617">
      <c r="A4617" t="inlineStr">
        <is>
          <t>f04f967baf2c83fce14f95f9edabe296</t>
        </is>
      </c>
      <c r="B4617" t="inlineStr">
        <is>
          <t>2018-07-26</t>
        </is>
      </c>
      <c r="C4617" t="inlineStr">
        <is>
          <t>2018-07</t>
        </is>
      </c>
      <c r="D4617" t="inlineStr">
        <is>
          <t>SP</t>
        </is>
      </c>
      <c r="E4617" t="inlineStr">
        <is>
          <t>sports_leisure</t>
        </is>
      </c>
      <c r="F4617" t="n">
        <v>1</v>
      </c>
      <c r="G4617" t="n">
        <v>43</v>
      </c>
      <c r="H4617" t="n">
        <v>8.039999999999999</v>
      </c>
      <c r="I4617" t="inlineStr">
        <is>
          <t>boleto</t>
        </is>
      </c>
      <c r="J4617" t="n">
        <v>5</v>
      </c>
      <c r="K4617" t="inlineStr">
        <is>
          <t>On Time</t>
        </is>
      </c>
      <c r="L4617" t="n">
        <v>5</v>
      </c>
      <c r="M4617">
        <f>VLOOKUP(D4617,State_Lookup!$A$2:$B$28,2,FALSE)</f>
        <v/>
      </c>
    </row>
    <row r="4618">
      <c r="A4618" t="inlineStr">
        <is>
          <t>921708bd83981df87fcf8cca7936ece1</t>
        </is>
      </c>
      <c r="B4618" t="inlineStr">
        <is>
          <t>2018-07-27</t>
        </is>
      </c>
      <c r="C4618" t="inlineStr">
        <is>
          <t>2018-07</t>
        </is>
      </c>
      <c r="D4618" t="inlineStr">
        <is>
          <t>MG</t>
        </is>
      </c>
      <c r="E4618" t="inlineStr">
        <is>
          <t>auto</t>
        </is>
      </c>
      <c r="F4618" t="n">
        <v>1</v>
      </c>
      <c r="G4618" t="n">
        <v>199</v>
      </c>
      <c r="H4618" t="n">
        <v>52.26</v>
      </c>
      <c r="I4618" t="inlineStr">
        <is>
          <t>boleto</t>
        </is>
      </c>
      <c r="J4618" t="n">
        <v>10</v>
      </c>
      <c r="K4618" t="inlineStr">
        <is>
          <t>On Time</t>
        </is>
      </c>
      <c r="L4618" t="n">
        <v>5</v>
      </c>
      <c r="M4618">
        <f>VLOOKUP(D4618,State_Lookup!$A$2:$B$28,2,FALSE)</f>
        <v/>
      </c>
    </row>
    <row r="4619">
      <c r="A4619" t="inlineStr">
        <is>
          <t>9d9cff01f6fdf54921c214e893355fb1</t>
        </is>
      </c>
      <c r="B4619" t="inlineStr">
        <is>
          <t>2018-07-27</t>
        </is>
      </c>
      <c r="C4619" t="inlineStr">
        <is>
          <t>2018-07</t>
        </is>
      </c>
      <c r="D4619" t="inlineStr">
        <is>
          <t>MG</t>
        </is>
      </c>
      <c r="E4619" t="inlineStr">
        <is>
          <t>toys</t>
        </is>
      </c>
      <c r="F4619" t="n">
        <v>1</v>
      </c>
      <c r="G4619" t="n">
        <v>113.1</v>
      </c>
      <c r="H4619" t="n">
        <v>18.89</v>
      </c>
      <c r="I4619" t="inlineStr">
        <is>
          <t>credit_card</t>
        </is>
      </c>
      <c r="J4619" t="n">
        <v>7</v>
      </c>
      <c r="K4619" t="inlineStr">
        <is>
          <t>On Time</t>
        </is>
      </c>
      <c r="L4619" t="n">
        <v>5</v>
      </c>
      <c r="M4619">
        <f>VLOOKUP(D4619,State_Lookup!$A$2:$B$28,2,FALSE)</f>
        <v/>
      </c>
    </row>
    <row r="4620">
      <c r="A4620" t="inlineStr">
        <is>
          <t>b0fc04e9a0f041eda1412e119b4046b4</t>
        </is>
      </c>
      <c r="B4620" t="inlineStr">
        <is>
          <t>2018-07-27</t>
        </is>
      </c>
      <c r="C4620" t="inlineStr">
        <is>
          <t>2018-07</t>
        </is>
      </c>
      <c r="D4620" t="inlineStr">
        <is>
          <t>PR</t>
        </is>
      </c>
      <c r="E4620" t="inlineStr">
        <is>
          <t>health_beauty</t>
        </is>
      </c>
      <c r="F4620" t="n">
        <v>1</v>
      </c>
      <c r="G4620" t="n">
        <v>78.90000000000001</v>
      </c>
      <c r="H4620" t="n">
        <v>19.74</v>
      </c>
      <c r="I4620" t="inlineStr">
        <is>
          <t>boleto</t>
        </is>
      </c>
      <c r="J4620" t="n">
        <v>11</v>
      </c>
      <c r="K4620" t="inlineStr">
        <is>
          <t>On Time</t>
        </is>
      </c>
      <c r="L4620" t="n">
        <v>4</v>
      </c>
      <c r="M4620">
        <f>VLOOKUP(D4620,State_Lookup!$A$2:$B$28,2,FALSE)</f>
        <v/>
      </c>
    </row>
    <row r="4621">
      <c r="A4621" t="inlineStr">
        <is>
          <t>89c880f756709e7f7825b4ae6fe7a2f9</t>
        </is>
      </c>
      <c r="B4621" t="inlineStr">
        <is>
          <t>2018-07-27</t>
        </is>
      </c>
      <c r="C4621" t="inlineStr">
        <is>
          <t>2018-07</t>
        </is>
      </c>
      <c r="D4621" t="inlineStr">
        <is>
          <t>SC</t>
        </is>
      </c>
      <c r="E4621" t="inlineStr">
        <is>
          <t>computers_accessories</t>
        </is>
      </c>
      <c r="F4621" t="n">
        <v>2</v>
      </c>
      <c r="G4621" t="n">
        <v>79.8</v>
      </c>
      <c r="H4621" t="n">
        <v>38.94</v>
      </c>
      <c r="I4621" t="inlineStr">
        <is>
          <t>boleto</t>
        </is>
      </c>
      <c r="J4621" t="n">
        <v>11</v>
      </c>
      <c r="K4621" t="inlineStr">
        <is>
          <t>On Time</t>
        </is>
      </c>
      <c r="L4621" t="n">
        <v>3</v>
      </c>
      <c r="M4621">
        <f>VLOOKUP(D4621,State_Lookup!$A$2:$B$28,2,FALSE)</f>
        <v/>
      </c>
    </row>
    <row r="4622">
      <c r="A4622" t="inlineStr">
        <is>
          <t>b9b862b71dd3a13f37bbb72f2addc949</t>
        </is>
      </c>
      <c r="B4622" t="inlineStr">
        <is>
          <t>2018-07-27</t>
        </is>
      </c>
      <c r="C4622" t="inlineStr">
        <is>
          <t>2018-07</t>
        </is>
      </c>
      <c r="D4622" t="inlineStr">
        <is>
          <t>RJ</t>
        </is>
      </c>
      <c r="E4622" t="inlineStr">
        <is>
          <t>computers_accessories</t>
        </is>
      </c>
      <c r="F4622" t="n">
        <v>1</v>
      </c>
      <c r="G4622" t="n">
        <v>54.9</v>
      </c>
      <c r="H4622" t="n">
        <v>22.31</v>
      </c>
      <c r="I4622" t="inlineStr">
        <is>
          <t>credit_card</t>
        </is>
      </c>
      <c r="J4622" t="n">
        <v>20</v>
      </c>
      <c r="K4622" t="inlineStr">
        <is>
          <t>On Time</t>
        </is>
      </c>
      <c r="L4622" t="n">
        <v>3</v>
      </c>
      <c r="M4622">
        <f>VLOOKUP(D4622,State_Lookup!$A$2:$B$28,2,FALSE)</f>
        <v/>
      </c>
    </row>
    <row r="4623">
      <c r="A4623" t="inlineStr">
        <is>
          <t>6b3c0661b32905af6722a962d2fac779</t>
        </is>
      </c>
      <c r="B4623" t="inlineStr">
        <is>
          <t>2018-07-27</t>
        </is>
      </c>
      <c r="C4623" t="inlineStr">
        <is>
          <t>2018-07</t>
        </is>
      </c>
      <c r="D4623" t="inlineStr">
        <is>
          <t>SP</t>
        </is>
      </c>
      <c r="E4623" t="inlineStr">
        <is>
          <t>toys</t>
        </is>
      </c>
      <c r="F4623" t="n">
        <v>1</v>
      </c>
      <c r="G4623" t="n">
        <v>79.98999999999999</v>
      </c>
      <c r="H4623" t="n">
        <v>16.75</v>
      </c>
      <c r="I4623" t="inlineStr">
        <is>
          <t>credit_card</t>
        </is>
      </c>
      <c r="J4623" t="n">
        <v>4</v>
      </c>
      <c r="K4623" t="inlineStr">
        <is>
          <t>On Time</t>
        </is>
      </c>
      <c r="L4623" t="n">
        <v>5</v>
      </c>
      <c r="M4623">
        <f>VLOOKUP(D4623,State_Lookup!$A$2:$B$28,2,FALSE)</f>
        <v/>
      </c>
    </row>
    <row r="4624">
      <c r="A4624" t="inlineStr">
        <is>
          <t>fb44e4ed3e78403652d50fcf506de1ba</t>
        </is>
      </c>
      <c r="B4624" t="inlineStr">
        <is>
          <t>2018-07-27</t>
        </is>
      </c>
      <c r="C4624" t="inlineStr">
        <is>
          <t>2018-07</t>
        </is>
      </c>
      <c r="D4624" t="inlineStr">
        <is>
          <t>SP</t>
        </is>
      </c>
      <c r="E4624" t="inlineStr">
        <is>
          <t>baby</t>
        </is>
      </c>
      <c r="F4624" t="n">
        <v>1</v>
      </c>
      <c r="G4624" t="n">
        <v>80</v>
      </c>
      <c r="H4624" t="n">
        <v>23.28</v>
      </c>
      <c r="I4624" t="inlineStr">
        <is>
          <t>credit_card</t>
        </is>
      </c>
      <c r="J4624" t="n">
        <v>16</v>
      </c>
      <c r="K4624" t="inlineStr">
        <is>
          <t>On Time</t>
        </is>
      </c>
      <c r="L4624" t="n">
        <v>2</v>
      </c>
      <c r="M4624">
        <f>VLOOKUP(D4624,State_Lookup!$A$2:$B$28,2,FALSE)</f>
        <v/>
      </c>
    </row>
    <row r="4625">
      <c r="A4625" t="inlineStr">
        <is>
          <t>6f54e5fd939df1228bb8df39c2f1341e</t>
        </is>
      </c>
      <c r="B4625" t="inlineStr">
        <is>
          <t>2018-07-27</t>
        </is>
      </c>
      <c r="C4625" t="inlineStr">
        <is>
          <t>2018-07</t>
        </is>
      </c>
      <c r="D4625" t="inlineStr">
        <is>
          <t>RO</t>
        </is>
      </c>
      <c r="E4625" t="inlineStr">
        <is>
          <t>construction_tools_construction</t>
        </is>
      </c>
      <c r="F4625" t="n">
        <v>1</v>
      </c>
      <c r="G4625" t="n">
        <v>749.9</v>
      </c>
      <c r="H4625" t="n">
        <v>27.97</v>
      </c>
      <c r="I4625" t="inlineStr">
        <is>
          <t>credit_card</t>
        </is>
      </c>
      <c r="J4625" t="n">
        <v>10</v>
      </c>
      <c r="K4625" t="inlineStr">
        <is>
          <t>On Time</t>
        </is>
      </c>
      <c r="L4625" t="n">
        <v>5</v>
      </c>
      <c r="M4625">
        <f>VLOOKUP(D4625,State_Lookup!$A$2:$B$28,2,FALSE)</f>
        <v/>
      </c>
    </row>
    <row r="4626">
      <c r="A4626" t="inlineStr">
        <is>
          <t>9bb1e0c9520585d21de5e8246f1663da</t>
        </is>
      </c>
      <c r="B4626" t="inlineStr">
        <is>
          <t>2018-07-27</t>
        </is>
      </c>
      <c r="C4626" t="inlineStr">
        <is>
          <t>2018-07</t>
        </is>
      </c>
      <c r="D4626" t="inlineStr">
        <is>
          <t>SP</t>
        </is>
      </c>
      <c r="E4626" t="inlineStr">
        <is>
          <t>telephony</t>
        </is>
      </c>
      <c r="F4626" t="n">
        <v>1</v>
      </c>
      <c r="G4626" t="n">
        <v>39.99</v>
      </c>
      <c r="H4626" t="n">
        <v>12.94</v>
      </c>
      <c r="I4626" t="inlineStr">
        <is>
          <t>credit_card</t>
        </is>
      </c>
      <c r="J4626" t="n">
        <v>6</v>
      </c>
      <c r="K4626" t="inlineStr">
        <is>
          <t>On Time</t>
        </is>
      </c>
      <c r="L4626" t="n">
        <v>5</v>
      </c>
      <c r="M4626">
        <f>VLOOKUP(D4626,State_Lookup!$A$2:$B$28,2,FALSE)</f>
        <v/>
      </c>
    </row>
    <row r="4627">
      <c r="A4627" t="inlineStr">
        <is>
          <t>df719e82188cc47552d259703d5413f0</t>
        </is>
      </c>
      <c r="B4627" t="inlineStr">
        <is>
          <t>2018-07-28</t>
        </is>
      </c>
      <c r="C4627" t="inlineStr">
        <is>
          <t>2018-07</t>
        </is>
      </c>
      <c r="D4627" t="inlineStr">
        <is>
          <t>DF</t>
        </is>
      </c>
      <c r="E4627" t="inlineStr">
        <is>
          <t>housewares</t>
        </is>
      </c>
      <c r="F4627" t="n">
        <v>1</v>
      </c>
      <c r="G4627" t="n">
        <v>149.97</v>
      </c>
      <c r="H4627" t="n">
        <v>18.85</v>
      </c>
      <c r="I4627" t="inlineStr">
        <is>
          <t>credit_card</t>
        </is>
      </c>
      <c r="J4627" t="n">
        <v>4</v>
      </c>
      <c r="K4627" t="inlineStr">
        <is>
          <t>On Time</t>
        </is>
      </c>
      <c r="L4627" t="n">
        <v>4</v>
      </c>
      <c r="M4627">
        <f>VLOOKUP(D4627,State_Lookup!$A$2:$B$28,2,FALSE)</f>
        <v/>
      </c>
    </row>
    <row r="4628">
      <c r="A4628" t="inlineStr">
        <is>
          <t>df51cdd0d48077d8cd198c5033b8dff6</t>
        </is>
      </c>
      <c r="B4628" t="inlineStr">
        <is>
          <t>2018-07-28</t>
        </is>
      </c>
      <c r="C4628" t="inlineStr">
        <is>
          <t>2018-07</t>
        </is>
      </c>
      <c r="D4628" t="inlineStr">
        <is>
          <t>SP</t>
        </is>
      </c>
      <c r="E4628" t="inlineStr">
        <is>
          <t>housewares</t>
        </is>
      </c>
      <c r="F4628" t="n">
        <v>1</v>
      </c>
      <c r="G4628" t="n">
        <v>32</v>
      </c>
      <c r="H4628" t="n">
        <v>13.8</v>
      </c>
      <c r="I4628" t="inlineStr">
        <is>
          <t>credit_card</t>
        </is>
      </c>
      <c r="J4628" t="n">
        <v>5</v>
      </c>
      <c r="K4628" t="inlineStr">
        <is>
          <t>On Time</t>
        </is>
      </c>
      <c r="L4628" t="n">
        <v>5</v>
      </c>
      <c r="M4628">
        <f>VLOOKUP(D4628,State_Lookup!$A$2:$B$28,2,FALSE)</f>
        <v/>
      </c>
    </row>
    <row r="4629">
      <c r="A4629" t="inlineStr">
        <is>
          <t>1a8fc490b877717c9f69454713bd778c</t>
        </is>
      </c>
      <c r="B4629" t="inlineStr">
        <is>
          <t>2018-07-28</t>
        </is>
      </c>
      <c r="C4629" t="inlineStr">
        <is>
          <t>2018-07</t>
        </is>
      </c>
      <c r="D4629" t="inlineStr">
        <is>
          <t>SP</t>
        </is>
      </c>
      <c r="E4629" t="inlineStr">
        <is>
          <t>computers_accessories</t>
        </is>
      </c>
      <c r="F4629" t="n">
        <v>1</v>
      </c>
      <c r="G4629" t="n">
        <v>19.99</v>
      </c>
      <c r="H4629" t="n">
        <v>7.4</v>
      </c>
      <c r="I4629" t="inlineStr">
        <is>
          <t>credit_card</t>
        </is>
      </c>
      <c r="J4629" t="n">
        <v>3</v>
      </c>
      <c r="K4629" t="inlineStr">
        <is>
          <t>On Time</t>
        </is>
      </c>
      <c r="L4629" t="n">
        <v>5</v>
      </c>
      <c r="M4629">
        <f>VLOOKUP(D4629,State_Lookup!$A$2:$B$28,2,FALSE)</f>
        <v/>
      </c>
    </row>
    <row r="4630">
      <c r="A4630" t="inlineStr">
        <is>
          <t>43b1a006a45825d17b170589b587f07c</t>
        </is>
      </c>
      <c r="B4630" t="inlineStr">
        <is>
          <t>2018-07-28</t>
        </is>
      </c>
      <c r="C4630" t="inlineStr">
        <is>
          <t>2018-07</t>
        </is>
      </c>
      <c r="D4630" t="inlineStr">
        <is>
          <t>SP</t>
        </is>
      </c>
      <c r="E4630" t="inlineStr">
        <is>
          <t>home_appliances</t>
        </is>
      </c>
      <c r="F4630" t="n">
        <v>1</v>
      </c>
      <c r="G4630" t="n">
        <v>29.9</v>
      </c>
      <c r="H4630" t="n">
        <v>7.95</v>
      </c>
      <c r="I4630" t="inlineStr">
        <is>
          <t>credit_card</t>
        </is>
      </c>
      <c r="J4630" t="n">
        <v>4</v>
      </c>
      <c r="K4630" t="inlineStr">
        <is>
          <t>On Time</t>
        </is>
      </c>
      <c r="L4630" t="n">
        <v>5</v>
      </c>
      <c r="M4630">
        <f>VLOOKUP(D4630,State_Lookup!$A$2:$B$28,2,FALSE)</f>
        <v/>
      </c>
    </row>
    <row r="4631">
      <c r="A4631" t="inlineStr">
        <is>
          <t>ec5a2741ddf2c8ff2c0b076c8743dd19</t>
        </is>
      </c>
      <c r="B4631" t="inlineStr">
        <is>
          <t>2018-07-28</t>
        </is>
      </c>
      <c r="C4631" t="inlineStr">
        <is>
          <t>2018-07</t>
        </is>
      </c>
      <c r="D4631" t="inlineStr">
        <is>
          <t>PE</t>
        </is>
      </c>
      <c r="E4631" t="inlineStr">
        <is>
          <t>health_beauty</t>
        </is>
      </c>
      <c r="F4631" t="n">
        <v>1</v>
      </c>
      <c r="G4631" t="n">
        <v>69.5</v>
      </c>
      <c r="H4631" t="n">
        <v>37.4</v>
      </c>
      <c r="I4631" t="inlineStr">
        <is>
          <t>credit_card</t>
        </is>
      </c>
      <c r="J4631" t="n">
        <v>8</v>
      </c>
      <c r="K4631" t="inlineStr">
        <is>
          <t>On Time</t>
        </is>
      </c>
      <c r="L4631" t="n">
        <v>2</v>
      </c>
      <c r="M4631">
        <f>VLOOKUP(D4631,State_Lookup!$A$2:$B$28,2,FALSE)</f>
        <v/>
      </c>
    </row>
    <row r="4632">
      <c r="A4632" t="inlineStr">
        <is>
          <t>6f954a919130aa1e8def4ed1b9fca432</t>
        </is>
      </c>
      <c r="B4632" t="inlineStr">
        <is>
          <t>2018-07-28</t>
        </is>
      </c>
      <c r="C4632" t="inlineStr">
        <is>
          <t>2018-07</t>
        </is>
      </c>
      <c r="D4632" t="inlineStr">
        <is>
          <t>SP</t>
        </is>
      </c>
      <c r="E4632" t="inlineStr">
        <is>
          <t>auto</t>
        </is>
      </c>
      <c r="F4632" t="n">
        <v>1</v>
      </c>
      <c r="G4632" t="n">
        <v>13.3</v>
      </c>
      <c r="H4632" t="n">
        <v>8.880000000000001</v>
      </c>
      <c r="I4632" t="inlineStr">
        <is>
          <t>boleto</t>
        </is>
      </c>
      <c r="J4632" t="n">
        <v>4</v>
      </c>
      <c r="K4632" t="inlineStr">
        <is>
          <t>On Time</t>
        </is>
      </c>
      <c r="L4632" t="n">
        <v>5</v>
      </c>
      <c r="M4632">
        <f>VLOOKUP(D4632,State_Lookup!$A$2:$B$28,2,FALSE)</f>
        <v/>
      </c>
    </row>
    <row r="4633">
      <c r="A4633" t="inlineStr">
        <is>
          <t>b89d417b1ba9f8e416b9e333ffa01a93</t>
        </is>
      </c>
      <c r="B4633" t="inlineStr">
        <is>
          <t>2018-07-28</t>
        </is>
      </c>
      <c r="C4633" t="inlineStr">
        <is>
          <t>2018-07</t>
        </is>
      </c>
      <c r="D4633" t="inlineStr">
        <is>
          <t>SP</t>
        </is>
      </c>
      <c r="E4633" t="inlineStr">
        <is>
          <t>watches_gifts</t>
        </is>
      </c>
      <c r="F4633" t="n">
        <v>1</v>
      </c>
      <c r="G4633" t="n">
        <v>112</v>
      </c>
      <c r="H4633" t="n">
        <v>13.44</v>
      </c>
      <c r="I4633" t="inlineStr">
        <is>
          <t>credit_card</t>
        </is>
      </c>
      <c r="J4633" t="n">
        <v>6</v>
      </c>
      <c r="K4633" t="inlineStr">
        <is>
          <t>On Time</t>
        </is>
      </c>
      <c r="L4633" t="n">
        <v>5</v>
      </c>
      <c r="M4633">
        <f>VLOOKUP(D4633,State_Lookup!$A$2:$B$28,2,FALSE)</f>
        <v/>
      </c>
    </row>
    <row r="4634">
      <c r="A4634" t="inlineStr">
        <is>
          <t>882abff9de7349a0ba8503f90af0a5b5</t>
        </is>
      </c>
      <c r="B4634" t="inlineStr">
        <is>
          <t>2018-07-28</t>
        </is>
      </c>
      <c r="C4634" t="inlineStr">
        <is>
          <t>2018-07</t>
        </is>
      </c>
      <c r="D4634" t="inlineStr">
        <is>
          <t>DF</t>
        </is>
      </c>
      <c r="E4634" t="inlineStr">
        <is>
          <t>telephony</t>
        </is>
      </c>
      <c r="F4634" t="n">
        <v>1</v>
      </c>
      <c r="G4634" t="n">
        <v>170</v>
      </c>
      <c r="H4634" t="n">
        <v>21.46</v>
      </c>
      <c r="I4634" t="inlineStr">
        <is>
          <t>credit_card</t>
        </is>
      </c>
      <c r="J4634" t="n">
        <v>10</v>
      </c>
      <c r="K4634" t="inlineStr">
        <is>
          <t>On Time</t>
        </is>
      </c>
      <c r="L4634" t="n">
        <v>4</v>
      </c>
      <c r="M4634">
        <f>VLOOKUP(D4634,State_Lookup!$A$2:$B$28,2,FALSE)</f>
        <v/>
      </c>
    </row>
    <row r="4635">
      <c r="A4635" t="inlineStr">
        <is>
          <t>f38bba7355a2382087be5ad984cd1f40</t>
        </is>
      </c>
      <c r="B4635" t="inlineStr">
        <is>
          <t>2018-07-29</t>
        </is>
      </c>
      <c r="C4635" t="inlineStr">
        <is>
          <t>2018-07</t>
        </is>
      </c>
      <c r="D4635" t="inlineStr">
        <is>
          <t>DF</t>
        </is>
      </c>
      <c r="E4635" t="inlineStr">
        <is>
          <t>sports_leisure</t>
        </is>
      </c>
      <c r="F4635" t="n">
        <v>1</v>
      </c>
      <c r="G4635" t="n">
        <v>109.9</v>
      </c>
      <c r="H4635" t="n">
        <v>18.57</v>
      </c>
      <c r="I4635" t="inlineStr">
        <is>
          <t>debit_card</t>
        </is>
      </c>
      <c r="J4635" t="n">
        <v>8</v>
      </c>
      <c r="K4635" t="inlineStr">
        <is>
          <t>On Time</t>
        </is>
      </c>
      <c r="L4635" t="n">
        <v>5</v>
      </c>
      <c r="M4635">
        <f>VLOOKUP(D4635,State_Lookup!$A$2:$B$28,2,FALSE)</f>
        <v/>
      </c>
    </row>
    <row r="4636">
      <c r="A4636" t="inlineStr">
        <is>
          <t>fe0b65896fefa5e3ed76059830c2e49c</t>
        </is>
      </c>
      <c r="B4636" t="inlineStr">
        <is>
          <t>2018-07-29</t>
        </is>
      </c>
      <c r="C4636" t="inlineStr">
        <is>
          <t>2018-07</t>
        </is>
      </c>
      <c r="D4636" t="inlineStr">
        <is>
          <t>CE</t>
        </is>
      </c>
      <c r="E4636" t="inlineStr">
        <is>
          <t>food</t>
        </is>
      </c>
      <c r="F4636" t="n">
        <v>1</v>
      </c>
      <c r="G4636" t="n">
        <v>99</v>
      </c>
      <c r="H4636" t="n">
        <v>39.99</v>
      </c>
      <c r="I4636" t="inlineStr">
        <is>
          <t>credit_card</t>
        </is>
      </c>
      <c r="J4636" t="n">
        <v>8</v>
      </c>
      <c r="K4636" t="inlineStr">
        <is>
          <t>On Time</t>
        </is>
      </c>
      <c r="L4636" t="n">
        <v>5</v>
      </c>
      <c r="M4636">
        <f>VLOOKUP(D4636,State_Lookup!$A$2:$B$28,2,FALSE)</f>
        <v/>
      </c>
    </row>
    <row r="4637">
      <c r="A4637" t="inlineStr">
        <is>
          <t>c005c973843746a08a6ea826af4ce0c0</t>
        </is>
      </c>
      <c r="B4637" t="inlineStr">
        <is>
          <t>2018-07-29</t>
        </is>
      </c>
      <c r="C4637" t="inlineStr">
        <is>
          <t>2018-07</t>
        </is>
      </c>
      <c r="D4637" t="inlineStr">
        <is>
          <t>PE</t>
        </is>
      </c>
      <c r="E4637" t="inlineStr">
        <is>
          <t>furniture_decor</t>
        </is>
      </c>
      <c r="F4637" t="n">
        <v>1</v>
      </c>
      <c r="G4637" t="n">
        <v>64.90000000000001</v>
      </c>
      <c r="H4637" t="n">
        <v>19.36</v>
      </c>
      <c r="I4637" t="inlineStr">
        <is>
          <t>credit_card</t>
        </is>
      </c>
      <c r="J4637" t="n">
        <v>46</v>
      </c>
      <c r="K4637" t="inlineStr">
        <is>
          <t>Late</t>
        </is>
      </c>
      <c r="L4637" t="n">
        <v>1</v>
      </c>
      <c r="M4637">
        <f>VLOOKUP(D4637,State_Lookup!$A$2:$B$28,2,FALSE)</f>
        <v/>
      </c>
    </row>
    <row r="4638">
      <c r="A4638" t="inlineStr">
        <is>
          <t>b744841b6a754e51042b8abcab208ffe</t>
        </is>
      </c>
      <c r="B4638" t="inlineStr">
        <is>
          <t>2018-07-29</t>
        </is>
      </c>
      <c r="C4638" t="inlineStr">
        <is>
          <t>2018-07</t>
        </is>
      </c>
      <c r="D4638" t="inlineStr">
        <is>
          <t>MG</t>
        </is>
      </c>
      <c r="E4638" t="inlineStr">
        <is>
          <t>housewares</t>
        </is>
      </c>
      <c r="F4638" t="n">
        <v>1</v>
      </c>
      <c r="G4638" t="n">
        <v>118.13</v>
      </c>
      <c r="H4638" t="n">
        <v>15.13</v>
      </c>
      <c r="I4638" t="inlineStr">
        <is>
          <t>credit_card</t>
        </is>
      </c>
      <c r="J4638" t="n">
        <v>3</v>
      </c>
      <c r="K4638" t="inlineStr">
        <is>
          <t>On Time</t>
        </is>
      </c>
      <c r="L4638" t="n">
        <v>4</v>
      </c>
      <c r="M4638">
        <f>VLOOKUP(D4638,State_Lookup!$A$2:$B$28,2,FALSE)</f>
        <v/>
      </c>
    </row>
    <row r="4639">
      <c r="A4639" t="inlineStr">
        <is>
          <t>96a5fb2398277bfb8d2854443ac8bd26</t>
        </is>
      </c>
      <c r="B4639" t="inlineStr">
        <is>
          <t>2018-07-29</t>
        </is>
      </c>
      <c r="C4639" t="inlineStr">
        <is>
          <t>2018-07</t>
        </is>
      </c>
      <c r="D4639" t="inlineStr">
        <is>
          <t>SP</t>
        </is>
      </c>
      <c r="E4639" t="inlineStr">
        <is>
          <t>baby</t>
        </is>
      </c>
      <c r="F4639" t="n">
        <v>1</v>
      </c>
      <c r="G4639" t="n">
        <v>136.9</v>
      </c>
      <c r="H4639" t="n">
        <v>18.99</v>
      </c>
      <c r="I4639" t="inlineStr">
        <is>
          <t>credit_card</t>
        </is>
      </c>
      <c r="J4639" t="n">
        <v>3</v>
      </c>
      <c r="K4639" t="inlineStr">
        <is>
          <t>On Time</t>
        </is>
      </c>
      <c r="L4639" t="n">
        <v>5</v>
      </c>
      <c r="M4639">
        <f>VLOOKUP(D4639,State_Lookup!$A$2:$B$28,2,FALSE)</f>
        <v/>
      </c>
    </row>
    <row r="4640">
      <c r="A4640" t="inlineStr">
        <is>
          <t>a5474c0071dd5d1074e12d417078bbd0</t>
        </is>
      </c>
      <c r="B4640" t="inlineStr">
        <is>
          <t>2018-07-30</t>
        </is>
      </c>
      <c r="C4640" t="inlineStr">
        <is>
          <t>2018-07</t>
        </is>
      </c>
      <c r="D4640" t="inlineStr">
        <is>
          <t>SP</t>
        </is>
      </c>
      <c r="E4640" t="inlineStr">
        <is>
          <t>health_beauty</t>
        </is>
      </c>
      <c r="F4640" t="n">
        <v>1</v>
      </c>
      <c r="G4640" t="n">
        <v>13.99</v>
      </c>
      <c r="H4640" t="n">
        <v>7.39</v>
      </c>
      <c r="I4640" t="inlineStr">
        <is>
          <t>boleto</t>
        </is>
      </c>
      <c r="J4640" t="n">
        <v>3</v>
      </c>
      <c r="K4640" t="inlineStr">
        <is>
          <t>Late</t>
        </is>
      </c>
      <c r="L4640" t="n">
        <v>5</v>
      </c>
      <c r="M4640">
        <f>VLOOKUP(D4640,State_Lookup!$A$2:$B$28,2,FALSE)</f>
        <v/>
      </c>
    </row>
    <row r="4641">
      <c r="A4641" t="inlineStr">
        <is>
          <t>81cedc4d2132eb6f512354166e51b187</t>
        </is>
      </c>
      <c r="B4641" t="inlineStr">
        <is>
          <t>2018-07-30</t>
        </is>
      </c>
      <c r="C4641" t="inlineStr">
        <is>
          <t>2018-07</t>
        </is>
      </c>
      <c r="D4641" t="inlineStr">
        <is>
          <t>SP</t>
        </is>
      </c>
      <c r="E4641" t="inlineStr">
        <is>
          <t>electronics</t>
        </is>
      </c>
      <c r="F4641" t="n">
        <v>1</v>
      </c>
      <c r="G4641" t="n">
        <v>17.49</v>
      </c>
      <c r="H4641" t="n">
        <v>12.79</v>
      </c>
      <c r="I4641" t="inlineStr">
        <is>
          <t>credit_card</t>
        </is>
      </c>
      <c r="J4641" t="n">
        <v>7</v>
      </c>
      <c r="K4641" t="inlineStr">
        <is>
          <t>On Time</t>
        </is>
      </c>
      <c r="L4641" t="n">
        <v>1</v>
      </c>
      <c r="M4641">
        <f>VLOOKUP(D4641,State_Lookup!$A$2:$B$28,2,FALSE)</f>
        <v/>
      </c>
    </row>
    <row r="4642">
      <c r="A4642" t="inlineStr">
        <is>
          <t>bda3c40c66117ac3211d4934f4a43ec6</t>
        </is>
      </c>
      <c r="B4642" t="inlineStr">
        <is>
          <t>2018-07-30</t>
        </is>
      </c>
      <c r="C4642" t="inlineStr">
        <is>
          <t>2018-07</t>
        </is>
      </c>
      <c r="D4642" t="inlineStr">
        <is>
          <t>SP</t>
        </is>
      </c>
      <c r="E4642" t="inlineStr">
        <is>
          <t>telephony</t>
        </is>
      </c>
      <c r="F4642" t="n">
        <v>1</v>
      </c>
      <c r="G4642" t="n">
        <v>12.67</v>
      </c>
      <c r="H4642" t="n">
        <v>7.39</v>
      </c>
      <c r="I4642" t="inlineStr">
        <is>
          <t>debit_card</t>
        </is>
      </c>
      <c r="J4642" t="n">
        <v>11</v>
      </c>
      <c r="K4642" t="inlineStr">
        <is>
          <t>Late</t>
        </is>
      </c>
      <c r="L4642" t="n">
        <v>4</v>
      </c>
      <c r="M4642">
        <f>VLOOKUP(D4642,State_Lookup!$A$2:$B$28,2,FALSE)</f>
        <v/>
      </c>
    </row>
    <row r="4643">
      <c r="A4643" t="inlineStr">
        <is>
          <t>0e947809a364825d9cd3af9fe3197074</t>
        </is>
      </c>
      <c r="B4643" t="inlineStr">
        <is>
          <t>2018-07-30</t>
        </is>
      </c>
      <c r="C4643" t="inlineStr">
        <is>
          <t>2018-07</t>
        </is>
      </c>
      <c r="D4643" t="inlineStr">
        <is>
          <t>SP</t>
        </is>
      </c>
      <c r="E4643" t="inlineStr">
        <is>
          <t>perfumery</t>
        </is>
      </c>
      <c r="F4643" t="n">
        <v>1</v>
      </c>
      <c r="G4643" t="n">
        <v>104.9</v>
      </c>
      <c r="H4643" t="n">
        <v>19.64</v>
      </c>
      <c r="I4643" t="inlineStr">
        <is>
          <t>credit_card</t>
        </is>
      </c>
      <c r="J4643" t="n">
        <v>7</v>
      </c>
      <c r="K4643" t="inlineStr">
        <is>
          <t>On Time</t>
        </is>
      </c>
      <c r="L4643" t="n">
        <v>5</v>
      </c>
      <c r="M4643">
        <f>VLOOKUP(D4643,State_Lookup!$A$2:$B$28,2,FALSE)</f>
        <v/>
      </c>
    </row>
    <row r="4644">
      <c r="A4644" t="inlineStr">
        <is>
          <t>d199e989bbb5f7b410c1a717d589499e</t>
        </is>
      </c>
      <c r="B4644" t="inlineStr">
        <is>
          <t>2018-07-30</t>
        </is>
      </c>
      <c r="C4644" t="inlineStr">
        <is>
          <t>2018-07</t>
        </is>
      </c>
      <c r="D4644" t="inlineStr">
        <is>
          <t>SP</t>
        </is>
      </c>
      <c r="E4644" t="inlineStr">
        <is>
          <t>sports_leisure</t>
        </is>
      </c>
      <c r="F4644" t="n">
        <v>2</v>
      </c>
      <c r="G4644" t="n">
        <v>72.78999999999999</v>
      </c>
      <c r="H4644" t="n">
        <v>15.04</v>
      </c>
      <c r="I4644" t="inlineStr">
        <is>
          <t>credit_card</t>
        </is>
      </c>
      <c r="J4644" t="n">
        <v>2</v>
      </c>
      <c r="K4644" t="inlineStr">
        <is>
          <t>On Time</t>
        </is>
      </c>
      <c r="L4644" t="n">
        <v>2</v>
      </c>
      <c r="M4644">
        <f>VLOOKUP(D4644,State_Lookup!$A$2:$B$28,2,FALSE)</f>
        <v/>
      </c>
    </row>
    <row r="4645">
      <c r="A4645" t="inlineStr">
        <is>
          <t>18bcbca4b2c948e7653345492627a1cc</t>
        </is>
      </c>
      <c r="B4645" t="inlineStr">
        <is>
          <t>2018-07-30</t>
        </is>
      </c>
      <c r="C4645" t="inlineStr">
        <is>
          <t>2018-07</t>
        </is>
      </c>
      <c r="D4645" t="inlineStr">
        <is>
          <t>DF</t>
        </is>
      </c>
      <c r="E4645" t="inlineStr">
        <is>
          <t>sports_leisure</t>
        </is>
      </c>
      <c r="F4645" t="n">
        <v>1</v>
      </c>
      <c r="G4645" t="n">
        <v>114.99</v>
      </c>
      <c r="H4645" t="n">
        <v>34.57</v>
      </c>
      <c r="I4645" t="inlineStr">
        <is>
          <t>credit_card</t>
        </is>
      </c>
      <c r="J4645" t="n">
        <v>4</v>
      </c>
      <c r="K4645" t="inlineStr">
        <is>
          <t>On Time</t>
        </is>
      </c>
      <c r="L4645" t="n">
        <v>3</v>
      </c>
      <c r="M4645">
        <f>VLOOKUP(D4645,State_Lookup!$A$2:$B$28,2,FALSE)</f>
        <v/>
      </c>
    </row>
    <row r="4646">
      <c r="A4646" t="inlineStr">
        <is>
          <t>fcb2af36166db4e5d7ac2491544cc1e9</t>
        </is>
      </c>
      <c r="B4646" t="inlineStr">
        <is>
          <t>2018-07-30</t>
        </is>
      </c>
      <c r="C4646" t="inlineStr">
        <is>
          <t>2018-07</t>
        </is>
      </c>
      <c r="D4646" t="inlineStr">
        <is>
          <t>RJ</t>
        </is>
      </c>
      <c r="E4646" t="inlineStr">
        <is>
          <t>home_appliances</t>
        </is>
      </c>
      <c r="F4646" t="n">
        <v>1</v>
      </c>
      <c r="G4646" t="n">
        <v>26</v>
      </c>
      <c r="H4646" t="n">
        <v>18.28</v>
      </c>
      <c r="I4646" t="inlineStr">
        <is>
          <t>credit_card</t>
        </is>
      </c>
      <c r="J4646" t="n">
        <v>7</v>
      </c>
      <c r="K4646" t="inlineStr">
        <is>
          <t>On Time</t>
        </is>
      </c>
      <c r="L4646" t="n">
        <v>5</v>
      </c>
      <c r="M4646">
        <f>VLOOKUP(D4646,State_Lookup!$A$2:$B$28,2,FALSE)</f>
        <v/>
      </c>
    </row>
    <row r="4647">
      <c r="A4647" t="inlineStr">
        <is>
          <t>96b947c986b42f213c9e6b8ccccedb89</t>
        </is>
      </c>
      <c r="B4647" t="inlineStr">
        <is>
          <t>2018-07-30</t>
        </is>
      </c>
      <c r="C4647" t="inlineStr">
        <is>
          <t>2018-07</t>
        </is>
      </c>
      <c r="D4647" t="inlineStr">
        <is>
          <t>RJ</t>
        </is>
      </c>
      <c r="E4647" t="inlineStr">
        <is>
          <t>office_furniture</t>
        </is>
      </c>
      <c r="F4647" t="n">
        <v>1</v>
      </c>
      <c r="G4647" t="n">
        <v>380</v>
      </c>
      <c r="H4647" t="n">
        <v>79.63</v>
      </c>
      <c r="I4647" t="inlineStr">
        <is>
          <t>boleto</t>
        </is>
      </c>
      <c r="J4647" t="inlineStr"/>
      <c r="K4647" t="inlineStr">
        <is>
          <t>Not Delivered</t>
        </is>
      </c>
      <c r="L4647" t="n">
        <v>3</v>
      </c>
      <c r="M4647">
        <f>VLOOKUP(D4647,State_Lookup!$A$2:$B$28,2,FALSE)</f>
        <v/>
      </c>
    </row>
    <row r="4648">
      <c r="A4648" t="inlineStr">
        <is>
          <t>ba45595538a13176b4850483d5f787e3</t>
        </is>
      </c>
      <c r="B4648" t="inlineStr">
        <is>
          <t>2018-07-30</t>
        </is>
      </c>
      <c r="C4648" t="inlineStr">
        <is>
          <t>2018-07</t>
        </is>
      </c>
      <c r="D4648" t="inlineStr">
        <is>
          <t>PR</t>
        </is>
      </c>
      <c r="E4648" t="inlineStr">
        <is>
          <t>baby</t>
        </is>
      </c>
      <c r="F4648" t="n">
        <v>1</v>
      </c>
      <c r="G4648" t="n">
        <v>95.98999999999999</v>
      </c>
      <c r="H4648" t="n">
        <v>23.47</v>
      </c>
      <c r="I4648" t="inlineStr">
        <is>
          <t>voucher</t>
        </is>
      </c>
      <c r="J4648" t="n">
        <v>8</v>
      </c>
      <c r="K4648" t="inlineStr">
        <is>
          <t>On Time</t>
        </is>
      </c>
      <c r="L4648" t="n">
        <v>4</v>
      </c>
      <c r="M4648">
        <f>VLOOKUP(D4648,State_Lookup!$A$2:$B$28,2,FALSE)</f>
        <v/>
      </c>
    </row>
    <row r="4649">
      <c r="A4649" t="inlineStr">
        <is>
          <t>c67afe8b6c6b9dbbcfbccb18ae4b5556</t>
        </is>
      </c>
      <c r="B4649" t="inlineStr">
        <is>
          <t>2018-07-30</t>
        </is>
      </c>
      <c r="C4649" t="inlineStr">
        <is>
          <t>2018-07</t>
        </is>
      </c>
      <c r="D4649" t="inlineStr">
        <is>
          <t>SP</t>
        </is>
      </c>
      <c r="E4649" t="inlineStr">
        <is>
          <t>computers_accessories</t>
        </is>
      </c>
      <c r="F4649" t="n">
        <v>1</v>
      </c>
      <c r="G4649" t="n">
        <v>8.99</v>
      </c>
      <c r="H4649" t="n">
        <v>7.39</v>
      </c>
      <c r="I4649" t="inlineStr">
        <is>
          <t>credit_card</t>
        </is>
      </c>
      <c r="J4649" t="n">
        <v>1</v>
      </c>
      <c r="K4649" t="inlineStr">
        <is>
          <t>On Time</t>
        </is>
      </c>
      <c r="L4649" t="n">
        <v>5</v>
      </c>
      <c r="M4649">
        <f>VLOOKUP(D4649,State_Lookup!$A$2:$B$28,2,FALSE)</f>
        <v/>
      </c>
    </row>
    <row r="4650">
      <c r="A4650" t="inlineStr">
        <is>
          <t>ef3d3d6bac50c7e2e1cc25ba953e11f6</t>
        </is>
      </c>
      <c r="B4650" t="inlineStr">
        <is>
          <t>2018-07-30</t>
        </is>
      </c>
      <c r="C4650" t="inlineStr">
        <is>
          <t>2018-07</t>
        </is>
      </c>
      <c r="D4650" t="inlineStr">
        <is>
          <t>RJ</t>
        </is>
      </c>
      <c r="E4650" t="inlineStr">
        <is>
          <t>food</t>
        </is>
      </c>
      <c r="F4650" t="n">
        <v>1</v>
      </c>
      <c r="G4650" t="n">
        <v>29.9</v>
      </c>
      <c r="H4650" t="n">
        <v>22.14</v>
      </c>
      <c r="I4650" t="inlineStr">
        <is>
          <t>credit_card</t>
        </is>
      </c>
      <c r="J4650" t="n">
        <v>10</v>
      </c>
      <c r="K4650" t="inlineStr">
        <is>
          <t>On Time</t>
        </is>
      </c>
      <c r="L4650" t="n">
        <v>5</v>
      </c>
      <c r="M4650">
        <f>VLOOKUP(D4650,State_Lookup!$A$2:$B$28,2,FALSE)</f>
        <v/>
      </c>
    </row>
    <row r="4651">
      <c r="A4651" t="inlineStr">
        <is>
          <t>1b4ef3bdad72cad23a9bd4b06f87ab7b</t>
        </is>
      </c>
      <c r="B4651" t="inlineStr">
        <is>
          <t>2018-07-30</t>
        </is>
      </c>
      <c r="C4651" t="inlineStr">
        <is>
          <t>2018-07</t>
        </is>
      </c>
      <c r="D4651" t="inlineStr">
        <is>
          <t>BA</t>
        </is>
      </c>
      <c r="E4651" t="inlineStr">
        <is>
          <t>sports_leisure</t>
        </is>
      </c>
      <c r="F4651" t="n">
        <v>1</v>
      </c>
      <c r="G4651" t="n">
        <v>76</v>
      </c>
      <c r="H4651" t="n">
        <v>22.46</v>
      </c>
      <c r="I4651" t="inlineStr">
        <is>
          <t>boleto</t>
        </is>
      </c>
      <c r="J4651" t="n">
        <v>14</v>
      </c>
      <c r="K4651" t="inlineStr">
        <is>
          <t>On Time</t>
        </is>
      </c>
      <c r="L4651" t="n">
        <v>5</v>
      </c>
      <c r="M4651">
        <f>VLOOKUP(D4651,State_Lookup!$A$2:$B$28,2,FALSE)</f>
        <v/>
      </c>
    </row>
    <row r="4652">
      <c r="A4652" t="inlineStr">
        <is>
          <t>62dedcd31d4b3c43f9adbab2d7fd84d4</t>
        </is>
      </c>
      <c r="B4652" t="inlineStr">
        <is>
          <t>2018-07-30</t>
        </is>
      </c>
      <c r="C4652" t="inlineStr">
        <is>
          <t>2018-07</t>
        </is>
      </c>
      <c r="D4652" t="inlineStr">
        <is>
          <t>SC</t>
        </is>
      </c>
      <c r="E4652" t="inlineStr">
        <is>
          <t>health_beauty</t>
        </is>
      </c>
      <c r="F4652" t="n">
        <v>1</v>
      </c>
      <c r="G4652" t="n">
        <v>38.9</v>
      </c>
      <c r="H4652" t="n">
        <v>18.37</v>
      </c>
      <c r="I4652" t="inlineStr">
        <is>
          <t>credit_card</t>
        </is>
      </c>
      <c r="J4652" t="n">
        <v>3</v>
      </c>
      <c r="K4652" t="inlineStr">
        <is>
          <t>On Time</t>
        </is>
      </c>
      <c r="L4652" t="n">
        <v>5</v>
      </c>
      <c r="M4652">
        <f>VLOOKUP(D4652,State_Lookup!$A$2:$B$28,2,FALSE)</f>
        <v/>
      </c>
    </row>
    <row r="4653">
      <c r="A4653" t="inlineStr">
        <is>
          <t>5e9f1a71f53f74f8c4e829ffbb4b52e9</t>
        </is>
      </c>
      <c r="B4653" t="inlineStr">
        <is>
          <t>2018-07-30</t>
        </is>
      </c>
      <c r="C4653" t="inlineStr">
        <is>
          <t>2018-07</t>
        </is>
      </c>
      <c r="D4653" t="inlineStr">
        <is>
          <t>RS</t>
        </is>
      </c>
      <c r="E4653" t="inlineStr">
        <is>
          <t>computers_accessories</t>
        </is>
      </c>
      <c r="F4653" t="n">
        <v>3</v>
      </c>
      <c r="G4653" t="n">
        <v>150.6</v>
      </c>
      <c r="H4653" t="n">
        <v>55.35</v>
      </c>
      <c r="I4653" t="inlineStr">
        <is>
          <t>credit_card</t>
        </is>
      </c>
      <c r="J4653" t="n">
        <v>20</v>
      </c>
      <c r="K4653" t="inlineStr">
        <is>
          <t>On Time</t>
        </is>
      </c>
      <c r="L4653" t="n">
        <v>5</v>
      </c>
      <c r="M4653">
        <f>VLOOKUP(D4653,State_Lookup!$A$2:$B$28,2,FALSE)</f>
        <v/>
      </c>
    </row>
    <row r="4654">
      <c r="A4654" t="inlineStr">
        <is>
          <t>ee987bbabed0cc87dc5354eb2b661740</t>
        </is>
      </c>
      <c r="B4654" t="inlineStr">
        <is>
          <t>2018-07-30</t>
        </is>
      </c>
      <c r="C4654" t="inlineStr">
        <is>
          <t>2018-07</t>
        </is>
      </c>
      <c r="D4654" t="inlineStr">
        <is>
          <t>MG</t>
        </is>
      </c>
      <c r="E4654" t="inlineStr">
        <is>
          <t>small_appliances</t>
        </is>
      </c>
      <c r="F4654" t="n">
        <v>1</v>
      </c>
      <c r="G4654" t="n">
        <v>549.9</v>
      </c>
      <c r="H4654" t="n">
        <v>50.93</v>
      </c>
      <c r="I4654" t="inlineStr">
        <is>
          <t>boleto</t>
        </is>
      </c>
      <c r="J4654" t="inlineStr"/>
      <c r="K4654" t="inlineStr">
        <is>
          <t>Not Delivered</t>
        </is>
      </c>
      <c r="L4654" t="n">
        <v>1</v>
      </c>
      <c r="M4654">
        <f>VLOOKUP(D4654,State_Lookup!$A$2:$B$28,2,FALSE)</f>
        <v/>
      </c>
    </row>
    <row r="4655">
      <c r="A4655" t="inlineStr">
        <is>
          <t>278e7730f7062014d198fbf20451b935</t>
        </is>
      </c>
      <c r="B4655" t="inlineStr">
        <is>
          <t>2018-07-30</t>
        </is>
      </c>
      <c r="C4655" t="inlineStr">
        <is>
          <t>2018-07</t>
        </is>
      </c>
      <c r="D4655" t="inlineStr">
        <is>
          <t>RJ</t>
        </is>
      </c>
      <c r="E4655" t="inlineStr">
        <is>
          <t>toys</t>
        </is>
      </c>
      <c r="F4655" t="n">
        <v>1</v>
      </c>
      <c r="G4655" t="n">
        <v>113.1</v>
      </c>
      <c r="H4655" t="n">
        <v>8.210000000000001</v>
      </c>
      <c r="I4655" t="inlineStr">
        <is>
          <t>credit_card</t>
        </is>
      </c>
      <c r="J4655" t="n">
        <v>3</v>
      </c>
      <c r="K4655" t="inlineStr">
        <is>
          <t>Late</t>
        </is>
      </c>
      <c r="L4655" t="n">
        <v>5</v>
      </c>
      <c r="M4655">
        <f>VLOOKUP(D4655,State_Lookup!$A$2:$B$28,2,FALSE)</f>
        <v/>
      </c>
    </row>
    <row r="4656">
      <c r="A4656" t="inlineStr">
        <is>
          <t>b2997e1d7061605e9285496c581d1fbd</t>
        </is>
      </c>
      <c r="B4656" t="inlineStr">
        <is>
          <t>2018-07-30</t>
        </is>
      </c>
      <c r="C4656" t="inlineStr">
        <is>
          <t>2018-07</t>
        </is>
      </c>
      <c r="D4656" t="inlineStr">
        <is>
          <t>MG</t>
        </is>
      </c>
      <c r="E4656" t="inlineStr">
        <is>
          <t>furniture_decor</t>
        </is>
      </c>
      <c r="F4656" t="n">
        <v>1</v>
      </c>
      <c r="G4656" t="n">
        <v>70</v>
      </c>
      <c r="H4656" t="n">
        <v>31.36</v>
      </c>
      <c r="I4656" t="inlineStr">
        <is>
          <t>credit_card</t>
        </is>
      </c>
      <c r="J4656" t="n">
        <v>63</v>
      </c>
      <c r="K4656" t="inlineStr">
        <is>
          <t>Late</t>
        </is>
      </c>
      <c r="L4656" t="n">
        <v>5</v>
      </c>
      <c r="M4656">
        <f>VLOOKUP(D4656,State_Lookup!$A$2:$B$28,2,FALSE)</f>
        <v/>
      </c>
    </row>
    <row r="4657">
      <c r="A4657" t="inlineStr">
        <is>
          <t>ddd9c425db13b8b55a6dc676634ea208</t>
        </is>
      </c>
      <c r="B4657" t="inlineStr">
        <is>
          <t>2018-07-30</t>
        </is>
      </c>
      <c r="C4657" t="inlineStr">
        <is>
          <t>2018-07</t>
        </is>
      </c>
      <c r="D4657" t="inlineStr">
        <is>
          <t>SP</t>
        </is>
      </c>
      <c r="E4657" t="inlineStr">
        <is>
          <t>computers_accessories</t>
        </is>
      </c>
      <c r="F4657" t="n">
        <v>2</v>
      </c>
      <c r="G4657" t="n">
        <v>131.8</v>
      </c>
      <c r="H4657" t="n">
        <v>27.6</v>
      </c>
      <c r="I4657" t="inlineStr">
        <is>
          <t>boleto</t>
        </is>
      </c>
      <c r="J4657" t="n">
        <v>15</v>
      </c>
      <c r="K4657" t="inlineStr">
        <is>
          <t>On Time</t>
        </is>
      </c>
      <c r="L4657" t="n">
        <v>5</v>
      </c>
      <c r="M4657">
        <f>VLOOKUP(D4657,State_Lookup!$A$2:$B$28,2,FALSE)</f>
        <v/>
      </c>
    </row>
    <row r="4658">
      <c r="A4658" t="inlineStr">
        <is>
          <t>d8d875126ddbeec8b736ffd7f0b1a4c0</t>
        </is>
      </c>
      <c r="B4658" t="inlineStr">
        <is>
          <t>2018-07-30</t>
        </is>
      </c>
      <c r="C4658" t="inlineStr">
        <is>
          <t>2018-07</t>
        </is>
      </c>
      <c r="D4658" t="inlineStr">
        <is>
          <t>BA</t>
        </is>
      </c>
      <c r="E4658" t="inlineStr">
        <is>
          <t>telephony</t>
        </is>
      </c>
      <c r="F4658" t="n">
        <v>1</v>
      </c>
      <c r="G4658" t="n">
        <v>29.99</v>
      </c>
      <c r="H4658" t="n">
        <v>17.14</v>
      </c>
      <c r="I4658" t="inlineStr">
        <is>
          <t>voucher</t>
        </is>
      </c>
      <c r="J4658" t="n">
        <v>15</v>
      </c>
      <c r="K4658" t="inlineStr">
        <is>
          <t>On Time</t>
        </is>
      </c>
      <c r="L4658" t="n">
        <v>5</v>
      </c>
      <c r="M4658">
        <f>VLOOKUP(D4658,State_Lookup!$A$2:$B$28,2,FALSE)</f>
        <v/>
      </c>
    </row>
    <row r="4659">
      <c r="A4659" t="inlineStr">
        <is>
          <t>60320e541a6e9dc0cb5919399543f905</t>
        </is>
      </c>
      <c r="B4659" t="inlineStr">
        <is>
          <t>2018-07-30</t>
        </is>
      </c>
      <c r="C4659" t="inlineStr">
        <is>
          <t>2018-07</t>
        </is>
      </c>
      <c r="D4659" t="inlineStr">
        <is>
          <t>SP</t>
        </is>
      </c>
      <c r="E4659" t="inlineStr">
        <is>
          <t>bed_bath_table</t>
        </is>
      </c>
      <c r="F4659" t="n">
        <v>1</v>
      </c>
      <c r="G4659" t="n">
        <v>29.97</v>
      </c>
      <c r="H4659" t="n">
        <v>18.31</v>
      </c>
      <c r="I4659" t="inlineStr">
        <is>
          <t>boleto</t>
        </is>
      </c>
      <c r="J4659" t="n">
        <v>5</v>
      </c>
      <c r="K4659" t="inlineStr">
        <is>
          <t>On Time</t>
        </is>
      </c>
      <c r="L4659" t="n">
        <v>4</v>
      </c>
      <c r="M4659">
        <f>VLOOKUP(D4659,State_Lookup!$A$2:$B$28,2,FALSE)</f>
        <v/>
      </c>
    </row>
    <row r="4660">
      <c r="A4660" t="inlineStr">
        <is>
          <t>3788e0af9e212034588d6d24fa1b7fd1</t>
        </is>
      </c>
      <c r="B4660" t="inlineStr">
        <is>
          <t>2018-07-30</t>
        </is>
      </c>
      <c r="C4660" t="inlineStr">
        <is>
          <t>2018-07</t>
        </is>
      </c>
      <c r="D4660" t="inlineStr">
        <is>
          <t>MS</t>
        </is>
      </c>
      <c r="E4660" t="inlineStr">
        <is>
          <t>toys</t>
        </is>
      </c>
      <c r="F4660" t="n">
        <v>1</v>
      </c>
      <c r="G4660" t="n">
        <v>39.9</v>
      </c>
      <c r="H4660" t="n">
        <v>23.08</v>
      </c>
      <c r="I4660" t="inlineStr">
        <is>
          <t>credit_card</t>
        </is>
      </c>
      <c r="J4660" t="n">
        <v>7</v>
      </c>
      <c r="K4660" t="inlineStr">
        <is>
          <t>On Time</t>
        </is>
      </c>
      <c r="L4660" t="n">
        <v>4</v>
      </c>
      <c r="M4660">
        <f>VLOOKUP(D4660,State_Lookup!$A$2:$B$28,2,FALSE)</f>
        <v/>
      </c>
    </row>
    <row r="4661">
      <c r="A4661" t="inlineStr">
        <is>
          <t>d796fb3fcd8046bf2eedc21bcb2e407a</t>
        </is>
      </c>
      <c r="B4661" t="inlineStr">
        <is>
          <t>2018-07-31</t>
        </is>
      </c>
      <c r="C4661" t="inlineStr">
        <is>
          <t>2018-07</t>
        </is>
      </c>
      <c r="D4661" t="inlineStr">
        <is>
          <t>SP</t>
        </is>
      </c>
      <c r="E4661" t="inlineStr">
        <is>
          <t>garden_tools</t>
        </is>
      </c>
      <c r="F4661" t="n">
        <v>1</v>
      </c>
      <c r="G4661" t="n">
        <v>32</v>
      </c>
      <c r="H4661" t="n">
        <v>20.49</v>
      </c>
      <c r="I4661" t="inlineStr">
        <is>
          <t>credit_card</t>
        </is>
      </c>
      <c r="J4661" t="n">
        <v>7</v>
      </c>
      <c r="K4661" t="inlineStr">
        <is>
          <t>On Time</t>
        </is>
      </c>
      <c r="L4661" t="n">
        <v>5</v>
      </c>
      <c r="M4661">
        <f>VLOOKUP(D4661,State_Lookup!$A$2:$B$28,2,FALSE)</f>
        <v/>
      </c>
    </row>
    <row r="4662">
      <c r="A4662" t="inlineStr">
        <is>
          <t>daa1c13dd8df972cbc97ca351c67f32b</t>
        </is>
      </c>
      <c r="B4662" t="inlineStr">
        <is>
          <t>2018-07-31</t>
        </is>
      </c>
      <c r="C4662" t="inlineStr">
        <is>
          <t>2018-07</t>
        </is>
      </c>
      <c r="D4662" t="inlineStr">
        <is>
          <t>MT</t>
        </is>
      </c>
      <c r="E4662" t="inlineStr">
        <is>
          <t>telephony</t>
        </is>
      </c>
      <c r="F4662" t="n">
        <v>2</v>
      </c>
      <c r="G4662" t="n">
        <v>340</v>
      </c>
      <c r="H4662" t="n">
        <v>51.08</v>
      </c>
      <c r="I4662" t="inlineStr">
        <is>
          <t>credit_card</t>
        </is>
      </c>
      <c r="J4662" t="n">
        <v>24</v>
      </c>
      <c r="K4662" t="inlineStr">
        <is>
          <t>On Time</t>
        </is>
      </c>
      <c r="L4662" t="n">
        <v>1</v>
      </c>
      <c r="M4662">
        <f>VLOOKUP(D4662,State_Lookup!$A$2:$B$28,2,FALSE)</f>
        <v/>
      </c>
    </row>
    <row r="4663">
      <c r="A4663" t="inlineStr">
        <is>
          <t>aa7c4f87e8a4651e709bb23f0aee94c9</t>
        </is>
      </c>
      <c r="B4663" t="inlineStr">
        <is>
          <t>2018-07-31</t>
        </is>
      </c>
      <c r="C4663" t="inlineStr">
        <is>
          <t>2018-07</t>
        </is>
      </c>
      <c r="D4663" t="inlineStr">
        <is>
          <t>SP</t>
        </is>
      </c>
      <c r="E4663" t="inlineStr">
        <is>
          <t>housewares</t>
        </is>
      </c>
      <c r="F4663" t="n">
        <v>1</v>
      </c>
      <c r="G4663" t="n">
        <v>69.90000000000001</v>
      </c>
      <c r="H4663" t="n">
        <v>19.68</v>
      </c>
      <c r="I4663" t="inlineStr">
        <is>
          <t>debit_card</t>
        </is>
      </c>
      <c r="J4663" t="n">
        <v>6</v>
      </c>
      <c r="K4663" t="inlineStr">
        <is>
          <t>On Time</t>
        </is>
      </c>
      <c r="L4663" t="n">
        <v>4</v>
      </c>
      <c r="M4663">
        <f>VLOOKUP(D4663,State_Lookup!$A$2:$B$28,2,FALSE)</f>
        <v/>
      </c>
    </row>
    <row r="4664">
      <c r="A4664" t="inlineStr">
        <is>
          <t>3b1f8d68684710eac0cad28d412dcaf8</t>
        </is>
      </c>
      <c r="B4664" t="inlineStr">
        <is>
          <t>2018-07-31</t>
        </is>
      </c>
      <c r="C4664" t="inlineStr">
        <is>
          <t>2018-07</t>
        </is>
      </c>
      <c r="D4664" t="inlineStr">
        <is>
          <t>RJ</t>
        </is>
      </c>
      <c r="E4664" t="inlineStr">
        <is>
          <t>computers_accessories</t>
        </is>
      </c>
      <c r="F4664" t="n">
        <v>1</v>
      </c>
      <c r="G4664" t="n">
        <v>65.90000000000001</v>
      </c>
      <c r="H4664" t="n">
        <v>22.39</v>
      </c>
      <c r="I4664" t="inlineStr">
        <is>
          <t>credit_card</t>
        </is>
      </c>
      <c r="J4664" t="n">
        <v>15</v>
      </c>
      <c r="K4664" t="inlineStr">
        <is>
          <t>On Time</t>
        </is>
      </c>
      <c r="L4664" t="n">
        <v>5</v>
      </c>
      <c r="M4664">
        <f>VLOOKUP(D4664,State_Lookup!$A$2:$B$28,2,FALSE)</f>
        <v/>
      </c>
    </row>
    <row r="4665">
      <c r="A4665" t="inlineStr">
        <is>
          <t>3d352a1e37d7eabd08d9104244fa0e21</t>
        </is>
      </c>
      <c r="B4665" t="inlineStr">
        <is>
          <t>2018-07-31</t>
        </is>
      </c>
      <c r="C4665" t="inlineStr">
        <is>
          <t>2018-07</t>
        </is>
      </c>
      <c r="D4665" t="inlineStr">
        <is>
          <t>RJ</t>
        </is>
      </c>
      <c r="E4665" t="inlineStr">
        <is>
          <t>computers_accessories</t>
        </is>
      </c>
      <c r="F4665" t="n">
        <v>1</v>
      </c>
      <c r="G4665" t="n">
        <v>135</v>
      </c>
      <c r="H4665" t="n">
        <v>17.88</v>
      </c>
      <c r="I4665" t="inlineStr">
        <is>
          <t>boleto</t>
        </is>
      </c>
      <c r="J4665" t="n">
        <v>6</v>
      </c>
      <c r="K4665" t="inlineStr">
        <is>
          <t>On Time</t>
        </is>
      </c>
      <c r="L4665" t="n">
        <v>5</v>
      </c>
      <c r="M4665">
        <f>VLOOKUP(D4665,State_Lookup!$A$2:$B$28,2,FALSE)</f>
        <v/>
      </c>
    </row>
    <row r="4666">
      <c r="A4666" t="inlineStr">
        <is>
          <t>0decb14beb4de8d3b4e37103e81f119b</t>
        </is>
      </c>
      <c r="B4666" t="inlineStr">
        <is>
          <t>2018-07-31</t>
        </is>
      </c>
      <c r="C4666" t="inlineStr">
        <is>
          <t>2018-07</t>
        </is>
      </c>
      <c r="D4666" t="inlineStr">
        <is>
          <t>RJ</t>
        </is>
      </c>
      <c r="E4666" t="inlineStr">
        <is>
          <t>sports_leisure</t>
        </is>
      </c>
      <c r="F4666" t="n">
        <v>1</v>
      </c>
      <c r="G4666" t="n">
        <v>34.9</v>
      </c>
      <c r="H4666" t="n">
        <v>17.17</v>
      </c>
      <c r="I4666" t="inlineStr">
        <is>
          <t>voucher</t>
        </is>
      </c>
      <c r="J4666" t="n">
        <v>8</v>
      </c>
      <c r="K4666" t="inlineStr">
        <is>
          <t>On Time</t>
        </is>
      </c>
      <c r="L4666" t="n">
        <v>5</v>
      </c>
      <c r="M4666">
        <f>VLOOKUP(D4666,State_Lookup!$A$2:$B$28,2,FALSE)</f>
        <v/>
      </c>
    </row>
    <row r="4667">
      <c r="A4667" t="inlineStr">
        <is>
          <t>7fc163ae2a200d57c1118812221bcf8e</t>
        </is>
      </c>
      <c r="B4667" t="inlineStr">
        <is>
          <t>2018-07-31</t>
        </is>
      </c>
      <c r="C4667" t="inlineStr">
        <is>
          <t>2018-07</t>
        </is>
      </c>
      <c r="D4667" t="inlineStr">
        <is>
          <t>SP</t>
        </is>
      </c>
      <c r="E4667" t="inlineStr">
        <is>
          <t>toys</t>
        </is>
      </c>
      <c r="F4667" t="n">
        <v>1</v>
      </c>
      <c r="G4667" t="n">
        <v>29.99</v>
      </c>
      <c r="H4667" t="n">
        <v>8.960000000000001</v>
      </c>
      <c r="I4667" t="inlineStr">
        <is>
          <t>credit_card</t>
        </is>
      </c>
      <c r="J4667" t="n">
        <v>9</v>
      </c>
      <c r="K4667" t="inlineStr">
        <is>
          <t>Late</t>
        </is>
      </c>
      <c r="L4667" t="n">
        <v>5</v>
      </c>
      <c r="M4667">
        <f>VLOOKUP(D4667,State_Lookup!$A$2:$B$28,2,FALSE)</f>
        <v/>
      </c>
    </row>
    <row r="4668">
      <c r="A4668" t="inlineStr">
        <is>
          <t>18995b654ef8f346243a4a9e0b278164</t>
        </is>
      </c>
      <c r="B4668" t="inlineStr">
        <is>
          <t>2018-07-31</t>
        </is>
      </c>
      <c r="C4668" t="inlineStr">
        <is>
          <t>2018-07</t>
        </is>
      </c>
      <c r="D4668" t="inlineStr">
        <is>
          <t>SP</t>
        </is>
      </c>
      <c r="E4668" t="inlineStr">
        <is>
          <t>luggage_accessories</t>
        </is>
      </c>
      <c r="F4668" t="n">
        <v>1</v>
      </c>
      <c r="G4668" t="n">
        <v>115.99</v>
      </c>
      <c r="H4668" t="n">
        <v>22.11</v>
      </c>
      <c r="I4668" t="inlineStr">
        <is>
          <t>credit_card</t>
        </is>
      </c>
      <c r="J4668" t="n">
        <v>4</v>
      </c>
      <c r="K4668" t="inlineStr">
        <is>
          <t>On Time</t>
        </is>
      </c>
      <c r="L4668" t="n">
        <v>5</v>
      </c>
      <c r="M4668">
        <f>VLOOKUP(D4668,State_Lookup!$A$2:$B$28,2,FALSE)</f>
        <v/>
      </c>
    </row>
    <row r="4669">
      <c r="A4669" t="inlineStr">
        <is>
          <t>aec0f45f4c980472a8293f2213d49a19</t>
        </is>
      </c>
      <c r="B4669" t="inlineStr">
        <is>
          <t>2018-07-31</t>
        </is>
      </c>
      <c r="C4669" t="inlineStr">
        <is>
          <t>2018-07</t>
        </is>
      </c>
      <c r="D4669" t="inlineStr">
        <is>
          <t>SP</t>
        </is>
      </c>
      <c r="E4669" t="inlineStr">
        <is>
          <t>computers_accessories</t>
        </is>
      </c>
      <c r="F4669" t="n">
        <v>1</v>
      </c>
      <c r="G4669" t="n">
        <v>22.32</v>
      </c>
      <c r="H4669" t="n">
        <v>15.26</v>
      </c>
      <c r="I4669" t="inlineStr">
        <is>
          <t>credit_card</t>
        </is>
      </c>
      <c r="J4669" t="n">
        <v>15</v>
      </c>
      <c r="K4669" t="inlineStr">
        <is>
          <t>Late</t>
        </is>
      </c>
      <c r="L4669" t="n">
        <v>3</v>
      </c>
      <c r="M4669">
        <f>VLOOKUP(D4669,State_Lookup!$A$2:$B$28,2,FALSE)</f>
        <v/>
      </c>
    </row>
    <row r="4670">
      <c r="A4670" t="inlineStr">
        <is>
          <t>dc67745e87e769607de677683ab1fd08</t>
        </is>
      </c>
      <c r="B4670" t="inlineStr">
        <is>
          <t>2018-07-31</t>
        </is>
      </c>
      <c r="C4670" t="inlineStr">
        <is>
          <t>2018-07</t>
        </is>
      </c>
      <c r="D4670" t="inlineStr">
        <is>
          <t>SP</t>
        </is>
      </c>
      <c r="E4670" t="inlineStr">
        <is>
          <t>watches_gifts</t>
        </is>
      </c>
      <c r="F4670" t="n">
        <v>1</v>
      </c>
      <c r="G4670" t="n">
        <v>149</v>
      </c>
      <c r="H4670" t="n">
        <v>9.789999999999999</v>
      </c>
      <c r="I4670" t="inlineStr">
        <is>
          <t>credit_card</t>
        </is>
      </c>
      <c r="J4670" t="n">
        <v>2</v>
      </c>
      <c r="K4670" t="inlineStr">
        <is>
          <t>Late</t>
        </is>
      </c>
      <c r="L4670" t="n">
        <v>5</v>
      </c>
      <c r="M4670">
        <f>VLOOKUP(D4670,State_Lookup!$A$2:$B$28,2,FALSE)</f>
        <v/>
      </c>
    </row>
    <row r="4671">
      <c r="A4671" t="inlineStr">
        <is>
          <t>06b7229726fb71407516395c69b6172a</t>
        </is>
      </c>
      <c r="B4671" t="inlineStr">
        <is>
          <t>2018-07-31</t>
        </is>
      </c>
      <c r="C4671" t="inlineStr">
        <is>
          <t>2018-07</t>
        </is>
      </c>
      <c r="D4671" t="inlineStr">
        <is>
          <t>RJ</t>
        </is>
      </c>
      <c r="E4671" t="inlineStr">
        <is>
          <t>computers_accessories</t>
        </is>
      </c>
      <c r="F4671" t="n">
        <v>1</v>
      </c>
      <c r="G4671" t="n">
        <v>65.90000000000001</v>
      </c>
      <c r="H4671" t="n">
        <v>22.39</v>
      </c>
      <c r="I4671" t="inlineStr">
        <is>
          <t>credit_card</t>
        </is>
      </c>
      <c r="J4671" t="n">
        <v>14</v>
      </c>
      <c r="K4671" t="inlineStr">
        <is>
          <t>On Time</t>
        </is>
      </c>
      <c r="L4671" t="n">
        <v>1</v>
      </c>
      <c r="M4671">
        <f>VLOOKUP(D4671,State_Lookup!$A$2:$B$28,2,FALSE)</f>
        <v/>
      </c>
    </row>
    <row r="4672">
      <c r="A4672" t="inlineStr">
        <is>
          <t>fa4c59a94711decb9c0410a0e7f878bc</t>
        </is>
      </c>
      <c r="B4672" t="inlineStr">
        <is>
          <t>2018-07-31</t>
        </is>
      </c>
      <c r="C4672" t="inlineStr">
        <is>
          <t>2018-07</t>
        </is>
      </c>
      <c r="D4672" t="inlineStr">
        <is>
          <t>SP</t>
        </is>
      </c>
      <c r="E4672" t="inlineStr">
        <is>
          <t>furniture_decor</t>
        </is>
      </c>
      <c r="F4672" t="n">
        <v>1</v>
      </c>
      <c r="G4672" t="n">
        <v>19.2</v>
      </c>
      <c r="H4672" t="n">
        <v>13.47</v>
      </c>
      <c r="I4672" t="inlineStr">
        <is>
          <t>credit_card</t>
        </is>
      </c>
      <c r="J4672" t="inlineStr"/>
      <c r="K4672" t="inlineStr">
        <is>
          <t>Not Delivered</t>
        </is>
      </c>
      <c r="L4672" t="n">
        <v>1</v>
      </c>
      <c r="M4672">
        <f>VLOOKUP(D4672,State_Lookup!$A$2:$B$28,2,FALSE)</f>
        <v/>
      </c>
    </row>
    <row r="4673">
      <c r="A4673" t="inlineStr">
        <is>
          <t>1ecfa320a6763da8b71ad1fbd4df6550</t>
        </is>
      </c>
      <c r="B4673" t="inlineStr">
        <is>
          <t>2018-07-31</t>
        </is>
      </c>
      <c r="C4673" t="inlineStr">
        <is>
          <t>2018-07</t>
        </is>
      </c>
      <c r="D4673" t="inlineStr">
        <is>
          <t>GO</t>
        </is>
      </c>
      <c r="E4673" t="inlineStr">
        <is>
          <t>housewares</t>
        </is>
      </c>
      <c r="F4673" t="n">
        <v>1</v>
      </c>
      <c r="G4673" t="n">
        <v>24.9</v>
      </c>
      <c r="H4673" t="n">
        <v>17.97</v>
      </c>
      <c r="I4673" t="inlineStr">
        <is>
          <t>boleto</t>
        </is>
      </c>
      <c r="J4673" t="n">
        <v>6</v>
      </c>
      <c r="K4673" t="inlineStr">
        <is>
          <t>On Time</t>
        </is>
      </c>
      <c r="L4673" t="n">
        <v>5</v>
      </c>
      <c r="M4673">
        <f>VLOOKUP(D4673,State_Lookup!$A$2:$B$28,2,FALSE)</f>
        <v/>
      </c>
    </row>
    <row r="4674">
      <c r="A4674" t="inlineStr">
        <is>
          <t>22d03f81f36cfd05e90af56d5dc63e74</t>
        </is>
      </c>
      <c r="B4674" t="inlineStr">
        <is>
          <t>2018-07-31</t>
        </is>
      </c>
      <c r="C4674" t="inlineStr">
        <is>
          <t>2018-07</t>
        </is>
      </c>
      <c r="D4674" t="inlineStr">
        <is>
          <t>MS</t>
        </is>
      </c>
      <c r="E4674" t="inlineStr">
        <is>
          <t>watches_gifts</t>
        </is>
      </c>
      <c r="F4674" t="n">
        <v>1</v>
      </c>
      <c r="G4674" t="n">
        <v>45</v>
      </c>
      <c r="H4674" t="n">
        <v>18.42</v>
      </c>
      <c r="I4674" t="inlineStr">
        <is>
          <t>credit_card</t>
        </is>
      </c>
      <c r="J4674" t="n">
        <v>16</v>
      </c>
      <c r="K4674" t="inlineStr">
        <is>
          <t>On Time</t>
        </is>
      </c>
      <c r="L4674" t="n">
        <v>4</v>
      </c>
      <c r="M4674">
        <f>VLOOKUP(D4674,State_Lookup!$A$2:$B$28,2,FALSE)</f>
        <v/>
      </c>
    </row>
    <row r="4675">
      <c r="A4675" t="inlineStr">
        <is>
          <t>fae8533726bd31cbcb92d9bdcaf5e92f</t>
        </is>
      </c>
      <c r="B4675" t="inlineStr">
        <is>
          <t>2018-08-01</t>
        </is>
      </c>
      <c r="C4675" t="inlineStr">
        <is>
          <t>2018-08</t>
        </is>
      </c>
      <c r="D4675" t="inlineStr">
        <is>
          <t>MG</t>
        </is>
      </c>
      <c r="E4675" t="inlineStr">
        <is>
          <t>computers_accessories</t>
        </is>
      </c>
      <c r="F4675" t="n">
        <v>1</v>
      </c>
      <c r="G4675" t="n">
        <v>54.9</v>
      </c>
      <c r="H4675" t="n">
        <v>22.31</v>
      </c>
      <c r="I4675" t="inlineStr">
        <is>
          <t>boleto</t>
        </is>
      </c>
      <c r="J4675" t="n">
        <v>19</v>
      </c>
      <c r="K4675" t="inlineStr">
        <is>
          <t>On Time</t>
        </is>
      </c>
      <c r="L4675" t="n">
        <v>1</v>
      </c>
      <c r="M4675">
        <f>VLOOKUP(D4675,State_Lookup!$A$2:$B$28,2,FALSE)</f>
        <v/>
      </c>
    </row>
    <row r="4676">
      <c r="A4676" t="inlineStr">
        <is>
          <t>4969634a191db1f7ef36954434938327</t>
        </is>
      </c>
      <c r="B4676" t="inlineStr">
        <is>
          <t>2018-08-01</t>
        </is>
      </c>
      <c r="C4676" t="inlineStr">
        <is>
          <t>2018-08</t>
        </is>
      </c>
      <c r="D4676" t="inlineStr">
        <is>
          <t>RJ</t>
        </is>
      </c>
      <c r="E4676" t="inlineStr">
        <is>
          <t>cool_stuff</t>
        </is>
      </c>
      <c r="F4676" t="n">
        <v>1</v>
      </c>
      <c r="G4676" t="n">
        <v>34.9</v>
      </c>
      <c r="H4676" t="n">
        <v>7.66</v>
      </c>
      <c r="I4676" t="inlineStr">
        <is>
          <t>credit_card</t>
        </is>
      </c>
      <c r="J4676" t="n">
        <v>6</v>
      </c>
      <c r="K4676" t="inlineStr">
        <is>
          <t>Late</t>
        </is>
      </c>
      <c r="L4676" t="n">
        <v>4</v>
      </c>
      <c r="M4676">
        <f>VLOOKUP(D4676,State_Lookup!$A$2:$B$28,2,FALSE)</f>
        <v/>
      </c>
    </row>
    <row r="4677">
      <c r="A4677" t="inlineStr">
        <is>
          <t>c99f547e83c25761f4c58fd7f41cd337</t>
        </is>
      </c>
      <c r="B4677" t="inlineStr">
        <is>
          <t>2018-08-01</t>
        </is>
      </c>
      <c r="C4677" t="inlineStr">
        <is>
          <t>2018-08</t>
        </is>
      </c>
      <c r="D4677" t="inlineStr">
        <is>
          <t>PR</t>
        </is>
      </c>
      <c r="E4677" t="inlineStr">
        <is>
          <t>health_beauty</t>
        </is>
      </c>
      <c r="F4677" t="n">
        <v>1</v>
      </c>
      <c r="G4677" t="n">
        <v>23.99</v>
      </c>
      <c r="H4677" t="n">
        <v>18.27</v>
      </c>
      <c r="I4677" t="inlineStr">
        <is>
          <t>credit_card</t>
        </is>
      </c>
      <c r="J4677" t="n">
        <v>12</v>
      </c>
      <c r="K4677" t="inlineStr">
        <is>
          <t>On Time</t>
        </is>
      </c>
      <c r="L4677" t="n">
        <v>5</v>
      </c>
      <c r="M4677">
        <f>VLOOKUP(D4677,State_Lookup!$A$2:$B$28,2,FALSE)</f>
        <v/>
      </c>
    </row>
    <row r="4678">
      <c r="A4678" t="inlineStr">
        <is>
          <t>61c136fddac571834516a52d2e03458d</t>
        </is>
      </c>
      <c r="B4678" t="inlineStr">
        <is>
          <t>2018-08-01</t>
        </is>
      </c>
      <c r="C4678" t="inlineStr">
        <is>
          <t>2018-08</t>
        </is>
      </c>
      <c r="D4678" t="inlineStr">
        <is>
          <t>SP</t>
        </is>
      </c>
      <c r="E4678" t="inlineStr">
        <is>
          <t>bed_bath_table</t>
        </is>
      </c>
      <c r="F4678" t="n">
        <v>1</v>
      </c>
      <c r="G4678" t="n">
        <v>41.99</v>
      </c>
      <c r="H4678" t="n">
        <v>13.87</v>
      </c>
      <c r="I4678" t="inlineStr">
        <is>
          <t>credit_card</t>
        </is>
      </c>
      <c r="J4678" t="n">
        <v>13</v>
      </c>
      <c r="K4678" t="inlineStr">
        <is>
          <t>Late</t>
        </is>
      </c>
      <c r="L4678" t="n">
        <v>3</v>
      </c>
      <c r="M4678">
        <f>VLOOKUP(D4678,State_Lookup!$A$2:$B$28,2,FALSE)</f>
        <v/>
      </c>
    </row>
    <row r="4679">
      <c r="A4679" t="inlineStr">
        <is>
          <t>5a5cbced9c57dbafd90dd9b04594b2d7</t>
        </is>
      </c>
      <c r="B4679" t="inlineStr">
        <is>
          <t>2018-08-01</t>
        </is>
      </c>
      <c r="C4679" t="inlineStr">
        <is>
          <t>2018-08</t>
        </is>
      </c>
      <c r="D4679" t="inlineStr">
        <is>
          <t>PR</t>
        </is>
      </c>
      <c r="E4679" t="inlineStr">
        <is>
          <t>auto</t>
        </is>
      </c>
      <c r="F4679" t="n">
        <v>1</v>
      </c>
      <c r="G4679" t="n">
        <v>121.99</v>
      </c>
      <c r="H4679" t="n">
        <v>45.97</v>
      </c>
      <c r="I4679" t="inlineStr">
        <is>
          <t>credit_card</t>
        </is>
      </c>
      <c r="J4679" t="n">
        <v>7</v>
      </c>
      <c r="K4679" t="inlineStr">
        <is>
          <t>On Time</t>
        </is>
      </c>
      <c r="L4679" t="n">
        <v>5</v>
      </c>
      <c r="M4679">
        <f>VLOOKUP(D4679,State_Lookup!$A$2:$B$28,2,FALSE)</f>
        <v/>
      </c>
    </row>
    <row r="4680">
      <c r="A4680" t="inlineStr">
        <is>
          <t>be80ccb8f620862ee6fec40409d35aee</t>
        </is>
      </c>
      <c r="B4680" t="inlineStr">
        <is>
          <t>2018-08-01</t>
        </is>
      </c>
      <c r="C4680" t="inlineStr">
        <is>
          <t>2018-08</t>
        </is>
      </c>
      <c r="D4680" t="inlineStr">
        <is>
          <t>SP</t>
        </is>
      </c>
      <c r="E4680" t="inlineStr">
        <is>
          <t>books_technical</t>
        </is>
      </c>
      <c r="F4680" t="n">
        <v>1</v>
      </c>
      <c r="G4680" t="n">
        <v>28</v>
      </c>
      <c r="H4680" t="n">
        <v>12.86</v>
      </c>
      <c r="I4680" t="inlineStr">
        <is>
          <t>credit_card</t>
        </is>
      </c>
      <c r="J4680" t="n">
        <v>7</v>
      </c>
      <c r="K4680" t="inlineStr">
        <is>
          <t>On Time</t>
        </is>
      </c>
      <c r="L4680" t="n">
        <v>5</v>
      </c>
      <c r="M4680">
        <f>VLOOKUP(D4680,State_Lookup!$A$2:$B$28,2,FALSE)</f>
        <v/>
      </c>
    </row>
    <row r="4681">
      <c r="A4681" t="inlineStr">
        <is>
          <t>28b6917cb6d7f6fe0540986342ec6866</t>
        </is>
      </c>
      <c r="B4681" t="inlineStr">
        <is>
          <t>2018-08-01</t>
        </is>
      </c>
      <c r="C4681" t="inlineStr">
        <is>
          <t>2018-08</t>
        </is>
      </c>
      <c r="D4681" t="inlineStr">
        <is>
          <t>ES</t>
        </is>
      </c>
      <c r="E4681" t="inlineStr">
        <is>
          <t>telephony</t>
        </is>
      </c>
      <c r="F4681" t="n">
        <v>1</v>
      </c>
      <c r="G4681" t="n">
        <v>37.99</v>
      </c>
      <c r="H4681" t="n">
        <v>18.37</v>
      </c>
      <c r="I4681" t="inlineStr">
        <is>
          <t>credit_card</t>
        </is>
      </c>
      <c r="J4681" t="n">
        <v>6</v>
      </c>
      <c r="K4681" t="inlineStr">
        <is>
          <t>On Time</t>
        </is>
      </c>
      <c r="L4681" t="n">
        <v>5</v>
      </c>
      <c r="M4681">
        <f>VLOOKUP(D4681,State_Lookup!$A$2:$B$28,2,FALSE)</f>
        <v/>
      </c>
    </row>
    <row r="4682">
      <c r="A4682" t="inlineStr">
        <is>
          <t>d640892cc6e635047b062a06b5f9ce32</t>
        </is>
      </c>
      <c r="B4682" t="inlineStr">
        <is>
          <t>2018-08-01</t>
        </is>
      </c>
      <c r="C4682" t="inlineStr">
        <is>
          <t>2018-08</t>
        </is>
      </c>
      <c r="D4682" t="inlineStr">
        <is>
          <t>SP</t>
        </is>
      </c>
      <c r="E4682" t="inlineStr">
        <is>
          <t>pet_shop</t>
        </is>
      </c>
      <c r="F4682" t="n">
        <v>1</v>
      </c>
      <c r="G4682" t="n">
        <v>34.9</v>
      </c>
      <c r="H4682" t="n">
        <v>12.9</v>
      </c>
      <c r="I4682" t="inlineStr">
        <is>
          <t>boleto</t>
        </is>
      </c>
      <c r="J4682" t="n">
        <v>9</v>
      </c>
      <c r="K4682" t="inlineStr">
        <is>
          <t>On Time</t>
        </is>
      </c>
      <c r="L4682" t="n">
        <v>5</v>
      </c>
      <c r="M4682">
        <f>VLOOKUP(D4682,State_Lookup!$A$2:$B$28,2,FALSE)</f>
        <v/>
      </c>
    </row>
    <row r="4683">
      <c r="A4683" t="inlineStr">
        <is>
          <t>1126e8ce51fcc395870c8fabcf7de709</t>
        </is>
      </c>
      <c r="B4683" t="inlineStr">
        <is>
          <t>2018-08-01</t>
        </is>
      </c>
      <c r="C4683" t="inlineStr">
        <is>
          <t>2018-08</t>
        </is>
      </c>
      <c r="D4683" t="inlineStr">
        <is>
          <t>SP</t>
        </is>
      </c>
      <c r="E4683" t="inlineStr">
        <is>
          <t>furniture_decor</t>
        </is>
      </c>
      <c r="F4683" t="n">
        <v>1</v>
      </c>
      <c r="G4683" t="n">
        <v>42.99</v>
      </c>
      <c r="H4683" t="n">
        <v>11.32</v>
      </c>
      <c r="I4683" t="inlineStr">
        <is>
          <t>boleto</t>
        </is>
      </c>
      <c r="J4683" t="n">
        <v>6</v>
      </c>
      <c r="K4683" t="inlineStr">
        <is>
          <t>Late</t>
        </is>
      </c>
      <c r="L4683" t="n">
        <v>3</v>
      </c>
      <c r="M4683">
        <f>VLOOKUP(D4683,State_Lookup!$A$2:$B$28,2,FALSE)</f>
        <v/>
      </c>
    </row>
    <row r="4684">
      <c r="A4684" t="inlineStr">
        <is>
          <t>d23bc376aeb971eadf9129860f03c047</t>
        </is>
      </c>
      <c r="B4684" t="inlineStr">
        <is>
          <t>2018-08-01</t>
        </is>
      </c>
      <c r="C4684" t="inlineStr">
        <is>
          <t>2018-08</t>
        </is>
      </c>
      <c r="D4684" t="inlineStr">
        <is>
          <t>ES</t>
        </is>
      </c>
      <c r="E4684" t="inlineStr">
        <is>
          <t>garden_tools</t>
        </is>
      </c>
      <c r="F4684" t="n">
        <v>1</v>
      </c>
      <c r="G4684" t="n">
        <v>229.9</v>
      </c>
      <c r="H4684" t="n">
        <v>28.59</v>
      </c>
      <c r="I4684" t="inlineStr">
        <is>
          <t>credit_card</t>
        </is>
      </c>
      <c r="J4684" t="n">
        <v>9</v>
      </c>
      <c r="K4684" t="inlineStr">
        <is>
          <t>On Time</t>
        </is>
      </c>
      <c r="L4684" t="n">
        <v>5</v>
      </c>
      <c r="M4684">
        <f>VLOOKUP(D4684,State_Lookup!$A$2:$B$28,2,FALSE)</f>
        <v/>
      </c>
    </row>
    <row r="4685">
      <c r="A4685" t="inlineStr">
        <is>
          <t>23936c5f77c03f7cbd20d185732c60d9</t>
        </is>
      </c>
      <c r="B4685" t="inlineStr">
        <is>
          <t>2018-08-01</t>
        </is>
      </c>
      <c r="C4685" t="inlineStr">
        <is>
          <t>2018-08</t>
        </is>
      </c>
      <c r="D4685" t="inlineStr">
        <is>
          <t>SP</t>
        </is>
      </c>
      <c r="E4685" t="inlineStr">
        <is>
          <t>computers_accessories</t>
        </is>
      </c>
      <c r="F4685" t="n">
        <v>1</v>
      </c>
      <c r="G4685" t="n">
        <v>50.2</v>
      </c>
      <c r="H4685" t="n">
        <v>13.69</v>
      </c>
      <c r="I4685" t="inlineStr">
        <is>
          <t>credit_card</t>
        </is>
      </c>
      <c r="J4685" t="n">
        <v>20</v>
      </c>
      <c r="K4685" t="inlineStr">
        <is>
          <t>On Time</t>
        </is>
      </c>
      <c r="L4685" t="n">
        <v>5</v>
      </c>
      <c r="M4685">
        <f>VLOOKUP(D4685,State_Lookup!$A$2:$B$28,2,FALSE)</f>
        <v/>
      </c>
    </row>
    <row r="4686">
      <c r="A4686" t="inlineStr">
        <is>
          <t>e71783fc8cd92f708d13542f6d17ff7f</t>
        </is>
      </c>
      <c r="B4686" t="inlineStr">
        <is>
          <t>2018-08-01</t>
        </is>
      </c>
      <c r="C4686" t="inlineStr">
        <is>
          <t>2018-08</t>
        </is>
      </c>
      <c r="D4686" t="inlineStr">
        <is>
          <t>MG</t>
        </is>
      </c>
      <c r="E4686" t="inlineStr">
        <is>
          <t>construction_tools_construction</t>
        </is>
      </c>
      <c r="F4686" t="n">
        <v>1</v>
      </c>
      <c r="G4686" t="n">
        <v>61.1</v>
      </c>
      <c r="H4686" t="n">
        <v>23.23</v>
      </c>
      <c r="I4686" t="inlineStr">
        <is>
          <t>boleto</t>
        </is>
      </c>
      <c r="J4686" t="n">
        <v>15</v>
      </c>
      <c r="K4686" t="inlineStr">
        <is>
          <t>On Time</t>
        </is>
      </c>
      <c r="L4686" t="n">
        <v>4</v>
      </c>
      <c r="M4686">
        <f>VLOOKUP(D4686,State_Lookup!$A$2:$B$28,2,FALSE)</f>
        <v/>
      </c>
    </row>
    <row r="4687">
      <c r="A4687" t="inlineStr">
        <is>
          <t>edc07d2563b2d10bdf1a0376f65b8f76</t>
        </is>
      </c>
      <c r="B4687" t="inlineStr">
        <is>
          <t>2018-08-01</t>
        </is>
      </c>
      <c r="C4687" t="inlineStr">
        <is>
          <t>2018-08</t>
        </is>
      </c>
      <c r="D4687" t="inlineStr">
        <is>
          <t>MG</t>
        </is>
      </c>
      <c r="E4687" t="inlineStr">
        <is>
          <t>housewares</t>
        </is>
      </c>
      <c r="F4687" t="n">
        <v>1</v>
      </c>
      <c r="G4687" t="n">
        <v>10</v>
      </c>
      <c r="H4687" t="n">
        <v>18.23</v>
      </c>
      <c r="I4687" t="inlineStr">
        <is>
          <t>boleto</t>
        </is>
      </c>
      <c r="J4687" t="n">
        <v>7</v>
      </c>
      <c r="K4687" t="inlineStr">
        <is>
          <t>On Time</t>
        </is>
      </c>
      <c r="L4687" t="n">
        <v>5</v>
      </c>
      <c r="M4687">
        <f>VLOOKUP(D4687,State_Lookup!$A$2:$B$28,2,FALSE)</f>
        <v/>
      </c>
    </row>
    <row r="4688">
      <c r="A4688" t="inlineStr">
        <is>
          <t>07e74b39ce62a7c6f7063b3168748191</t>
        </is>
      </c>
      <c r="B4688" t="inlineStr">
        <is>
          <t>2018-08-01</t>
        </is>
      </c>
      <c r="C4688" t="inlineStr">
        <is>
          <t>2018-08</t>
        </is>
      </c>
      <c r="D4688" t="inlineStr">
        <is>
          <t>SP</t>
        </is>
      </c>
      <c r="E4688" t="inlineStr">
        <is>
          <t>health_beauty</t>
        </is>
      </c>
      <c r="F4688" t="n">
        <v>2</v>
      </c>
      <c r="G4688" t="n">
        <v>113.8</v>
      </c>
      <c r="H4688" t="n">
        <v>22.84</v>
      </c>
      <c r="I4688" t="inlineStr">
        <is>
          <t>voucher</t>
        </is>
      </c>
      <c r="J4688" t="n">
        <v>5</v>
      </c>
      <c r="K4688" t="inlineStr">
        <is>
          <t>Late</t>
        </is>
      </c>
      <c r="L4688" t="inlineStr"/>
      <c r="M4688">
        <f>VLOOKUP(D4688,State_Lookup!$A$2:$B$28,2,FALSE)</f>
        <v/>
      </c>
    </row>
    <row r="4689">
      <c r="A4689" t="inlineStr">
        <is>
          <t>fe98cb0615a7611265d8955be5ca9497</t>
        </is>
      </c>
      <c r="B4689" t="inlineStr">
        <is>
          <t>2018-08-01</t>
        </is>
      </c>
      <c r="C4689" t="inlineStr">
        <is>
          <t>2018-08</t>
        </is>
      </c>
      <c r="D4689" t="inlineStr">
        <is>
          <t>GO</t>
        </is>
      </c>
      <c r="E4689" t="inlineStr">
        <is>
          <t>furniture_decor</t>
        </is>
      </c>
      <c r="F4689" t="n">
        <v>1</v>
      </c>
      <c r="G4689" t="n">
        <v>37.9</v>
      </c>
      <c r="H4689" t="n">
        <v>16.46</v>
      </c>
      <c r="I4689" t="inlineStr">
        <is>
          <t>credit_card</t>
        </is>
      </c>
      <c r="J4689" t="n">
        <v>9</v>
      </c>
      <c r="K4689" t="inlineStr">
        <is>
          <t>On Time</t>
        </is>
      </c>
      <c r="L4689" t="n">
        <v>5</v>
      </c>
      <c r="M4689">
        <f>VLOOKUP(D4689,State_Lookup!$A$2:$B$28,2,FALSE)</f>
        <v/>
      </c>
    </row>
    <row r="4690">
      <c r="A4690" t="inlineStr">
        <is>
          <t>aa240e84341dc3a58a69fdaa1c0b927c</t>
        </is>
      </c>
      <c r="B4690" t="inlineStr">
        <is>
          <t>2018-08-02</t>
        </is>
      </c>
      <c r="C4690" t="inlineStr">
        <is>
          <t>2018-08</t>
        </is>
      </c>
      <c r="D4690" t="inlineStr">
        <is>
          <t>SP</t>
        </is>
      </c>
      <c r="E4690" t="inlineStr">
        <is>
          <t>watches_gifts</t>
        </is>
      </c>
      <c r="F4690" t="n">
        <v>1</v>
      </c>
      <c r="G4690" t="n">
        <v>78</v>
      </c>
      <c r="H4690" t="n">
        <v>7.81</v>
      </c>
      <c r="I4690" t="inlineStr">
        <is>
          <t>credit_card</t>
        </is>
      </c>
      <c r="J4690" t="n">
        <v>1</v>
      </c>
      <c r="K4690" t="inlineStr">
        <is>
          <t>On Time</t>
        </is>
      </c>
      <c r="L4690" t="n">
        <v>5</v>
      </c>
      <c r="M4690">
        <f>VLOOKUP(D4690,State_Lookup!$A$2:$B$28,2,FALSE)</f>
        <v/>
      </c>
    </row>
    <row r="4691">
      <c r="A4691" t="inlineStr">
        <is>
          <t>3300cd5468b45a06dd47487a0d936212</t>
        </is>
      </c>
      <c r="B4691" t="inlineStr">
        <is>
          <t>2018-08-02</t>
        </is>
      </c>
      <c r="C4691" t="inlineStr">
        <is>
          <t>2018-08</t>
        </is>
      </c>
      <c r="D4691" t="inlineStr">
        <is>
          <t>SC</t>
        </is>
      </c>
      <c r="E4691" t="inlineStr">
        <is>
          <t>toys</t>
        </is>
      </c>
      <c r="F4691" t="n">
        <v>1</v>
      </c>
      <c r="G4691" t="n">
        <v>121.75</v>
      </c>
      <c r="H4691" t="n">
        <v>23.65</v>
      </c>
      <c r="I4691" t="inlineStr">
        <is>
          <t>credit_card</t>
        </is>
      </c>
      <c r="J4691" t="n">
        <v>6</v>
      </c>
      <c r="K4691" t="inlineStr">
        <is>
          <t>On Time</t>
        </is>
      </c>
      <c r="L4691" t="n">
        <v>5</v>
      </c>
      <c r="M4691">
        <f>VLOOKUP(D4691,State_Lookup!$A$2:$B$28,2,FALSE)</f>
        <v/>
      </c>
    </row>
    <row r="4692">
      <c r="A4692" t="inlineStr">
        <is>
          <t>d8a38160525fa277b48b3502ad5ae5cf</t>
        </is>
      </c>
      <c r="B4692" t="inlineStr">
        <is>
          <t>2018-08-02</t>
        </is>
      </c>
      <c r="C4692" t="inlineStr">
        <is>
          <t>2018-08</t>
        </is>
      </c>
      <c r="D4692" t="inlineStr">
        <is>
          <t>SC</t>
        </is>
      </c>
      <c r="E4692" t="inlineStr">
        <is>
          <t>construction_tools_construction</t>
        </is>
      </c>
      <c r="F4692" t="n">
        <v>1</v>
      </c>
      <c r="G4692" t="n">
        <v>45.97</v>
      </c>
      <c r="H4692" t="n">
        <v>19.51</v>
      </c>
      <c r="I4692" t="inlineStr">
        <is>
          <t>credit_card</t>
        </is>
      </c>
      <c r="J4692" t="n">
        <v>7</v>
      </c>
      <c r="K4692" t="inlineStr">
        <is>
          <t>On Time</t>
        </is>
      </c>
      <c r="L4692" t="n">
        <v>5</v>
      </c>
      <c r="M4692">
        <f>VLOOKUP(D4692,State_Lookup!$A$2:$B$28,2,FALSE)</f>
        <v/>
      </c>
    </row>
    <row r="4693">
      <c r="A4693" t="inlineStr">
        <is>
          <t>5295a4f70cac6082f1f9051409e69010</t>
        </is>
      </c>
      <c r="B4693" t="inlineStr">
        <is>
          <t>2018-08-02</t>
        </is>
      </c>
      <c r="C4693" t="inlineStr">
        <is>
          <t>2018-08</t>
        </is>
      </c>
      <c r="D4693" t="inlineStr">
        <is>
          <t>SP</t>
        </is>
      </c>
      <c r="E4693" t="inlineStr">
        <is>
          <t>bed_bath_table</t>
        </is>
      </c>
      <c r="F4693" t="n">
        <v>1</v>
      </c>
      <c r="G4693" t="n">
        <v>52.9</v>
      </c>
      <c r="H4693" t="n">
        <v>14.68</v>
      </c>
      <c r="I4693" t="inlineStr">
        <is>
          <t>credit_card</t>
        </is>
      </c>
      <c r="J4693" t="n">
        <v>11</v>
      </c>
      <c r="K4693" t="inlineStr">
        <is>
          <t>Late</t>
        </is>
      </c>
      <c r="L4693" t="n">
        <v>3</v>
      </c>
      <c r="M4693">
        <f>VLOOKUP(D4693,State_Lookup!$A$2:$B$28,2,FALSE)</f>
        <v/>
      </c>
    </row>
    <row r="4694">
      <c r="A4694" t="inlineStr">
        <is>
          <t>4c1b702493f9e6a8e7ab024bd34ba0d4</t>
        </is>
      </c>
      <c r="B4694" t="inlineStr">
        <is>
          <t>2018-08-02</t>
        </is>
      </c>
      <c r="C4694" t="inlineStr">
        <is>
          <t>2018-08</t>
        </is>
      </c>
      <c r="D4694" t="inlineStr">
        <is>
          <t>SP</t>
        </is>
      </c>
      <c r="E4694" t="inlineStr">
        <is>
          <t>construction_tools_construction</t>
        </is>
      </c>
      <c r="F4694" t="n">
        <v>1</v>
      </c>
      <c r="G4694" t="n">
        <v>148</v>
      </c>
      <c r="H4694" t="n">
        <v>23.84</v>
      </c>
      <c r="I4694" t="inlineStr">
        <is>
          <t>credit_card</t>
        </is>
      </c>
      <c r="J4694" t="n">
        <v>6</v>
      </c>
      <c r="K4694" t="inlineStr">
        <is>
          <t>On Time</t>
        </is>
      </c>
      <c r="L4694" t="n">
        <v>4</v>
      </c>
      <c r="M4694">
        <f>VLOOKUP(D4694,State_Lookup!$A$2:$B$28,2,FALSE)</f>
        <v/>
      </c>
    </row>
    <row r="4695">
      <c r="A4695" t="inlineStr">
        <is>
          <t>3828ca6e6450e317619b87f49eca6492</t>
        </is>
      </c>
      <c r="B4695" t="inlineStr">
        <is>
          <t>2018-08-02</t>
        </is>
      </c>
      <c r="C4695" t="inlineStr">
        <is>
          <t>2018-08</t>
        </is>
      </c>
      <c r="D4695" t="inlineStr">
        <is>
          <t>SP</t>
        </is>
      </c>
      <c r="E4695" t="inlineStr">
        <is>
          <t>housewares</t>
        </is>
      </c>
      <c r="F4695" t="n">
        <v>1</v>
      </c>
      <c r="G4695" t="n">
        <v>13.5</v>
      </c>
      <c r="H4695" t="n">
        <v>7.39</v>
      </c>
      <c r="I4695" t="inlineStr">
        <is>
          <t>debit_card</t>
        </is>
      </c>
      <c r="J4695" t="n">
        <v>7</v>
      </c>
      <c r="K4695" t="inlineStr">
        <is>
          <t>Late</t>
        </is>
      </c>
      <c r="L4695" t="n">
        <v>3</v>
      </c>
      <c r="M4695">
        <f>VLOOKUP(D4695,State_Lookup!$A$2:$B$28,2,FALSE)</f>
        <v/>
      </c>
    </row>
    <row r="4696">
      <c r="A4696" t="inlineStr">
        <is>
          <t>6826d5740591909e368433e2a5ec75fb</t>
        </is>
      </c>
      <c r="B4696" t="inlineStr">
        <is>
          <t>2018-08-02</t>
        </is>
      </c>
      <c r="C4696" t="inlineStr">
        <is>
          <t>2018-08</t>
        </is>
      </c>
      <c r="D4696" t="inlineStr">
        <is>
          <t>PR</t>
        </is>
      </c>
      <c r="E4696" t="inlineStr">
        <is>
          <t>costruction_tools_tools</t>
        </is>
      </c>
      <c r="F4696" t="n">
        <v>1</v>
      </c>
      <c r="G4696" t="n">
        <v>9.880000000000001</v>
      </c>
      <c r="H4696" t="n">
        <v>13.47</v>
      </c>
      <c r="I4696" t="inlineStr">
        <is>
          <t>credit_card</t>
        </is>
      </c>
      <c r="J4696" t="n">
        <v>5</v>
      </c>
      <c r="K4696" t="inlineStr">
        <is>
          <t>On Time</t>
        </is>
      </c>
      <c r="L4696" t="n">
        <v>5</v>
      </c>
      <c r="M4696">
        <f>VLOOKUP(D4696,State_Lookup!$A$2:$B$28,2,FALSE)</f>
        <v/>
      </c>
    </row>
    <row r="4697">
      <c r="A4697" t="inlineStr">
        <is>
          <t>2dd5f6a66c1d82ee0b8c864ddf9833f2</t>
        </is>
      </c>
      <c r="B4697" t="inlineStr">
        <is>
          <t>2018-08-02</t>
        </is>
      </c>
      <c r="C4697" t="inlineStr">
        <is>
          <t>2018-08</t>
        </is>
      </c>
      <c r="D4697" t="inlineStr">
        <is>
          <t>SP</t>
        </is>
      </c>
      <c r="E4697" t="inlineStr">
        <is>
          <t>health_beauty</t>
        </is>
      </c>
      <c r="F4697" t="n">
        <v>1</v>
      </c>
      <c r="G4697" t="n">
        <v>527.9</v>
      </c>
      <c r="H4697" t="n">
        <v>21.8</v>
      </c>
      <c r="I4697" t="inlineStr">
        <is>
          <t>boleto</t>
        </is>
      </c>
      <c r="J4697" t="n">
        <v>32</v>
      </c>
      <c r="K4697" t="inlineStr">
        <is>
          <t>Late</t>
        </is>
      </c>
      <c r="L4697" t="n">
        <v>1</v>
      </c>
      <c r="M4697">
        <f>VLOOKUP(D4697,State_Lookup!$A$2:$B$28,2,FALSE)</f>
        <v/>
      </c>
    </row>
    <row r="4698">
      <c r="A4698" t="inlineStr">
        <is>
          <t>8458b41c26bf20ba9b4ad514cacd4b2a</t>
        </is>
      </c>
      <c r="B4698" t="inlineStr">
        <is>
          <t>2018-08-02</t>
        </is>
      </c>
      <c r="C4698" t="inlineStr">
        <is>
          <t>2018-08</t>
        </is>
      </c>
      <c r="D4698" t="inlineStr">
        <is>
          <t>TO</t>
        </is>
      </c>
      <c r="E4698" t="inlineStr">
        <is>
          <t>consoles_games</t>
        </is>
      </c>
      <c r="F4698" t="n">
        <v>1</v>
      </c>
      <c r="G4698" t="n">
        <v>171.9</v>
      </c>
      <c r="H4698" t="n">
        <v>28.48</v>
      </c>
      <c r="I4698" t="inlineStr">
        <is>
          <t>voucher</t>
        </is>
      </c>
      <c r="J4698" t="n">
        <v>13</v>
      </c>
      <c r="K4698" t="inlineStr">
        <is>
          <t>On Time</t>
        </is>
      </c>
      <c r="L4698" t="n">
        <v>5</v>
      </c>
      <c r="M4698">
        <f>VLOOKUP(D4698,State_Lookup!$A$2:$B$28,2,FALSE)</f>
        <v/>
      </c>
    </row>
    <row r="4699">
      <c r="A4699" t="inlineStr">
        <is>
          <t>3eec01b486a4d08de50a38ef2fb87b79</t>
        </is>
      </c>
      <c r="B4699" t="inlineStr">
        <is>
          <t>2018-08-02</t>
        </is>
      </c>
      <c r="C4699" t="inlineStr">
        <is>
          <t>2018-08</t>
        </is>
      </c>
      <c r="D4699" t="inlineStr">
        <is>
          <t>SP</t>
        </is>
      </c>
      <c r="E4699" t="inlineStr">
        <is>
          <t>garden_tools</t>
        </is>
      </c>
      <c r="F4699" t="n">
        <v>1</v>
      </c>
      <c r="G4699" t="n">
        <v>35</v>
      </c>
      <c r="H4699" t="n">
        <v>14.56</v>
      </c>
      <c r="I4699" t="inlineStr">
        <is>
          <t>credit_card</t>
        </is>
      </c>
      <c r="J4699" t="n">
        <v>6</v>
      </c>
      <c r="K4699" t="inlineStr">
        <is>
          <t>On Time</t>
        </is>
      </c>
      <c r="L4699" t="n">
        <v>2</v>
      </c>
      <c r="M4699">
        <f>VLOOKUP(D4699,State_Lookup!$A$2:$B$28,2,FALSE)</f>
        <v/>
      </c>
    </row>
    <row r="4700">
      <c r="A4700" t="inlineStr">
        <is>
          <t>032d90128bd4c1c63e317ab45ddc2879</t>
        </is>
      </c>
      <c r="B4700" t="inlineStr">
        <is>
          <t>2018-08-02</t>
        </is>
      </c>
      <c r="C4700" t="inlineStr">
        <is>
          <t>2018-08</t>
        </is>
      </c>
      <c r="D4700" t="inlineStr">
        <is>
          <t>MG</t>
        </is>
      </c>
      <c r="E4700" t="inlineStr">
        <is>
          <t>costruction_tools_garden</t>
        </is>
      </c>
      <c r="F4700" t="n">
        <v>1</v>
      </c>
      <c r="G4700" t="n">
        <v>144.9</v>
      </c>
      <c r="H4700" t="n">
        <v>21.65</v>
      </c>
      <c r="I4700" t="inlineStr">
        <is>
          <t>credit_card</t>
        </is>
      </c>
      <c r="J4700" t="n">
        <v>5</v>
      </c>
      <c r="K4700" t="inlineStr">
        <is>
          <t>On Time</t>
        </is>
      </c>
      <c r="L4700" t="n">
        <v>5</v>
      </c>
      <c r="M4700">
        <f>VLOOKUP(D4700,State_Lookup!$A$2:$B$28,2,FALSE)</f>
        <v/>
      </c>
    </row>
    <row r="4701">
      <c r="A4701" t="inlineStr">
        <is>
          <t>1f9ed60661469689dae5955276ef81a5</t>
        </is>
      </c>
      <c r="B4701" t="inlineStr">
        <is>
          <t>2018-08-02</t>
        </is>
      </c>
      <c r="C4701" t="inlineStr">
        <is>
          <t>2018-08</t>
        </is>
      </c>
      <c r="D4701" t="inlineStr">
        <is>
          <t>SP</t>
        </is>
      </c>
      <c r="E4701" t="inlineStr">
        <is>
          <t>unknown</t>
        </is>
      </c>
      <c r="F4701" t="n">
        <v>1</v>
      </c>
      <c r="G4701" t="n">
        <v>56.9</v>
      </c>
      <c r="H4701" t="n">
        <v>13.98</v>
      </c>
      <c r="I4701" t="inlineStr">
        <is>
          <t>credit_card</t>
        </is>
      </c>
      <c r="J4701" t="n">
        <v>7</v>
      </c>
      <c r="K4701" t="inlineStr">
        <is>
          <t>On Time</t>
        </is>
      </c>
      <c r="L4701" t="n">
        <v>4</v>
      </c>
      <c r="M4701">
        <f>VLOOKUP(D4701,State_Lookup!$A$2:$B$28,2,FALSE)</f>
        <v/>
      </c>
    </row>
    <row r="4702">
      <c r="A4702" t="inlineStr">
        <is>
          <t>b300e160f5892169bafa006e670a43f5</t>
        </is>
      </c>
      <c r="B4702" t="inlineStr">
        <is>
          <t>2018-08-02</t>
        </is>
      </c>
      <c r="C4702" t="inlineStr">
        <is>
          <t>2018-08</t>
        </is>
      </c>
      <c r="D4702" t="inlineStr">
        <is>
          <t>SP</t>
        </is>
      </c>
      <c r="E4702" t="inlineStr">
        <is>
          <t>bed_bath_table</t>
        </is>
      </c>
      <c r="F4702" t="n">
        <v>1</v>
      </c>
      <c r="G4702" t="n">
        <v>52.9</v>
      </c>
      <c r="H4702" t="n">
        <v>14.68</v>
      </c>
      <c r="I4702" t="inlineStr">
        <is>
          <t>credit_card</t>
        </is>
      </c>
      <c r="J4702" t="n">
        <v>11</v>
      </c>
      <c r="K4702" t="inlineStr">
        <is>
          <t>Late</t>
        </is>
      </c>
      <c r="L4702" t="n">
        <v>5</v>
      </c>
      <c r="M4702">
        <f>VLOOKUP(D4702,State_Lookup!$A$2:$B$28,2,FALSE)</f>
        <v/>
      </c>
    </row>
    <row r="4703">
      <c r="A4703" t="inlineStr">
        <is>
          <t>5ab34a3449b54e0fff6d7ba20781a655</t>
        </is>
      </c>
      <c r="B4703" t="inlineStr">
        <is>
          <t>2018-08-03</t>
        </is>
      </c>
      <c r="C4703" t="inlineStr">
        <is>
          <t>2018-08</t>
        </is>
      </c>
      <c r="D4703" t="inlineStr">
        <is>
          <t>SP</t>
        </is>
      </c>
      <c r="E4703" t="inlineStr">
        <is>
          <t>sports_leisure</t>
        </is>
      </c>
      <c r="F4703" t="n">
        <v>1</v>
      </c>
      <c r="G4703" t="n">
        <v>89.90000000000001</v>
      </c>
      <c r="H4703" t="n">
        <v>23.43</v>
      </c>
      <c r="I4703" t="inlineStr">
        <is>
          <t>credit_card</t>
        </is>
      </c>
      <c r="J4703" t="n">
        <v>10</v>
      </c>
      <c r="K4703" t="inlineStr">
        <is>
          <t>On Time</t>
        </is>
      </c>
      <c r="L4703" t="n">
        <v>5</v>
      </c>
      <c r="M4703">
        <f>VLOOKUP(D4703,State_Lookup!$A$2:$B$28,2,FALSE)</f>
        <v/>
      </c>
    </row>
    <row r="4704">
      <c r="A4704" t="inlineStr">
        <is>
          <t>49e46b4388f4b9ea96901467bd26eb6d</t>
        </is>
      </c>
      <c r="B4704" t="inlineStr">
        <is>
          <t>2018-08-03</t>
        </is>
      </c>
      <c r="C4704" t="inlineStr">
        <is>
          <t>2018-08</t>
        </is>
      </c>
      <c r="D4704" t="inlineStr">
        <is>
          <t>PR</t>
        </is>
      </c>
      <c r="E4704" t="inlineStr">
        <is>
          <t>furniture_decor</t>
        </is>
      </c>
      <c r="F4704" t="n">
        <v>1</v>
      </c>
      <c r="G4704" t="n">
        <v>49</v>
      </c>
      <c r="H4704" t="n">
        <v>13.68</v>
      </c>
      <c r="I4704" t="inlineStr">
        <is>
          <t>credit_card</t>
        </is>
      </c>
      <c r="J4704" t="n">
        <v>9</v>
      </c>
      <c r="K4704" t="inlineStr">
        <is>
          <t>On Time</t>
        </is>
      </c>
      <c r="L4704" t="n">
        <v>5</v>
      </c>
      <c r="M4704">
        <f>VLOOKUP(D4704,State_Lookup!$A$2:$B$28,2,FALSE)</f>
        <v/>
      </c>
    </row>
    <row r="4705">
      <c r="A4705" t="inlineStr">
        <is>
          <t>64f25972cba1c6faca4f32c7ac90e3c2</t>
        </is>
      </c>
      <c r="B4705" t="inlineStr">
        <is>
          <t>2018-08-03</t>
        </is>
      </c>
      <c r="C4705" t="inlineStr">
        <is>
          <t>2018-08</t>
        </is>
      </c>
      <c r="D4705" t="inlineStr">
        <is>
          <t>SP</t>
        </is>
      </c>
      <c r="E4705" t="inlineStr">
        <is>
          <t>computers_accessories</t>
        </is>
      </c>
      <c r="F4705" t="n">
        <v>1</v>
      </c>
      <c r="G4705" t="n">
        <v>139</v>
      </c>
      <c r="H4705" t="n">
        <v>19.07</v>
      </c>
      <c r="I4705" t="inlineStr">
        <is>
          <t>credit_card</t>
        </is>
      </c>
      <c r="J4705" t="n">
        <v>11</v>
      </c>
      <c r="K4705" t="inlineStr">
        <is>
          <t>On Time</t>
        </is>
      </c>
      <c r="L4705" t="n">
        <v>5</v>
      </c>
      <c r="M4705">
        <f>VLOOKUP(D4705,State_Lookup!$A$2:$B$28,2,FALSE)</f>
        <v/>
      </c>
    </row>
    <row r="4706">
      <c r="A4706" t="inlineStr">
        <is>
          <t>de11314f84cd5578a36ab8312ab5b5df</t>
        </is>
      </c>
      <c r="B4706" t="inlineStr">
        <is>
          <t>2018-08-03</t>
        </is>
      </c>
      <c r="C4706" t="inlineStr">
        <is>
          <t>2018-08</t>
        </is>
      </c>
      <c r="D4706" t="inlineStr">
        <is>
          <t>BA</t>
        </is>
      </c>
      <c r="E4706" t="inlineStr">
        <is>
          <t>telephony</t>
        </is>
      </c>
      <c r="F4706" t="n">
        <v>1</v>
      </c>
      <c r="G4706" t="n">
        <v>170</v>
      </c>
      <c r="H4706" t="n">
        <v>10.32</v>
      </c>
      <c r="I4706" t="inlineStr">
        <is>
          <t>credit_card</t>
        </is>
      </c>
      <c r="J4706" t="inlineStr"/>
      <c r="K4706" t="inlineStr">
        <is>
          <t>Not Delivered</t>
        </is>
      </c>
      <c r="L4706" t="n">
        <v>4</v>
      </c>
      <c r="M4706">
        <f>VLOOKUP(D4706,State_Lookup!$A$2:$B$28,2,FALSE)</f>
        <v/>
      </c>
    </row>
    <row r="4707">
      <c r="A4707" t="inlineStr">
        <is>
          <t>3d5c01d5bef96b82a7ae8684f1665c31</t>
        </is>
      </c>
      <c r="B4707" t="inlineStr">
        <is>
          <t>2018-08-03</t>
        </is>
      </c>
      <c r="C4707" t="inlineStr">
        <is>
          <t>2018-08</t>
        </is>
      </c>
      <c r="D4707" t="inlineStr">
        <is>
          <t>SP</t>
        </is>
      </c>
      <c r="E4707" t="inlineStr">
        <is>
          <t>health_beauty</t>
        </is>
      </c>
      <c r="F4707" t="n">
        <v>1</v>
      </c>
      <c r="G4707" t="n">
        <v>109.22</v>
      </c>
      <c r="H4707" t="n">
        <v>9.52</v>
      </c>
      <c r="I4707" t="inlineStr">
        <is>
          <t>credit_card</t>
        </is>
      </c>
      <c r="J4707" t="n">
        <v>3</v>
      </c>
      <c r="K4707" t="inlineStr">
        <is>
          <t>On Time</t>
        </is>
      </c>
      <c r="L4707" t="n">
        <v>5</v>
      </c>
      <c r="M4707">
        <f>VLOOKUP(D4707,State_Lookup!$A$2:$B$28,2,FALSE)</f>
        <v/>
      </c>
    </row>
    <row r="4708">
      <c r="A4708" t="inlineStr">
        <is>
          <t>a274d2bbfcca25b8c47ee2467583e81e</t>
        </is>
      </c>
      <c r="B4708" t="inlineStr">
        <is>
          <t>2018-08-03</t>
        </is>
      </c>
      <c r="C4708" t="inlineStr">
        <is>
          <t>2018-08</t>
        </is>
      </c>
      <c r="D4708" t="inlineStr">
        <is>
          <t>MG</t>
        </is>
      </c>
      <c r="E4708" t="inlineStr">
        <is>
          <t>health_beauty</t>
        </is>
      </c>
      <c r="F4708" t="n">
        <v>1</v>
      </c>
      <c r="G4708" t="n">
        <v>199.9</v>
      </c>
      <c r="H4708" t="n">
        <v>24.2</v>
      </c>
      <c r="I4708" t="inlineStr">
        <is>
          <t>credit_card</t>
        </is>
      </c>
      <c r="J4708" t="n">
        <v>7</v>
      </c>
      <c r="K4708" t="inlineStr">
        <is>
          <t>On Time</t>
        </is>
      </c>
      <c r="L4708" t="n">
        <v>5</v>
      </c>
      <c r="M4708">
        <f>VLOOKUP(D4708,State_Lookup!$A$2:$B$28,2,FALSE)</f>
        <v/>
      </c>
    </row>
    <row r="4709">
      <c r="A4709" t="inlineStr">
        <is>
          <t>283bf5d2f306422175c079231da015f7</t>
        </is>
      </c>
      <c r="B4709" t="inlineStr">
        <is>
          <t>2018-08-03</t>
        </is>
      </c>
      <c r="C4709" t="inlineStr">
        <is>
          <t>2018-08</t>
        </is>
      </c>
      <c r="D4709" t="inlineStr">
        <is>
          <t>SP</t>
        </is>
      </c>
      <c r="E4709" t="inlineStr">
        <is>
          <t>perfumery</t>
        </is>
      </c>
      <c r="F4709" t="n">
        <v>1</v>
      </c>
      <c r="G4709" t="n">
        <v>114.08</v>
      </c>
      <c r="H4709" t="n">
        <v>13.46</v>
      </c>
      <c r="I4709" t="inlineStr">
        <is>
          <t>credit_card</t>
        </is>
      </c>
      <c r="J4709" t="n">
        <v>9</v>
      </c>
      <c r="K4709" t="inlineStr">
        <is>
          <t>On Time</t>
        </is>
      </c>
      <c r="L4709" t="n">
        <v>5</v>
      </c>
      <c r="M4709">
        <f>VLOOKUP(D4709,State_Lookup!$A$2:$B$28,2,FALSE)</f>
        <v/>
      </c>
    </row>
    <row r="4710">
      <c r="A4710" t="inlineStr">
        <is>
          <t>8f31b05b300b9648b988906d899b97e1</t>
        </is>
      </c>
      <c r="B4710" t="inlineStr">
        <is>
          <t>2018-08-03</t>
        </is>
      </c>
      <c r="C4710" t="inlineStr">
        <is>
          <t>2018-08</t>
        </is>
      </c>
      <c r="D4710" t="inlineStr">
        <is>
          <t>SP</t>
        </is>
      </c>
      <c r="E4710" t="inlineStr">
        <is>
          <t>health_beauty</t>
        </is>
      </c>
      <c r="F4710" t="n">
        <v>1</v>
      </c>
      <c r="G4710" t="n">
        <v>109.22</v>
      </c>
      <c r="H4710" t="n">
        <v>9.52</v>
      </c>
      <c r="I4710" t="inlineStr">
        <is>
          <t>credit_card</t>
        </is>
      </c>
      <c r="J4710" t="n">
        <v>4</v>
      </c>
      <c r="K4710" t="inlineStr">
        <is>
          <t>On Time</t>
        </is>
      </c>
      <c r="L4710" t="n">
        <v>5</v>
      </c>
      <c r="M4710">
        <f>VLOOKUP(D4710,State_Lookup!$A$2:$B$28,2,FALSE)</f>
        <v/>
      </c>
    </row>
    <row r="4711">
      <c r="A4711" t="inlineStr">
        <is>
          <t>913ed16681197337e68e936fc28b8370</t>
        </is>
      </c>
      <c r="B4711" t="inlineStr">
        <is>
          <t>2018-08-03</t>
        </is>
      </c>
      <c r="C4711" t="inlineStr">
        <is>
          <t>2018-08</t>
        </is>
      </c>
      <c r="D4711" t="inlineStr">
        <is>
          <t>SP</t>
        </is>
      </c>
      <c r="E4711" t="inlineStr">
        <is>
          <t>watches_gifts</t>
        </is>
      </c>
      <c r="F4711" t="n">
        <v>1</v>
      </c>
      <c r="G4711" t="n">
        <v>58</v>
      </c>
      <c r="H4711" t="n">
        <v>13.07</v>
      </c>
      <c r="I4711" t="inlineStr">
        <is>
          <t>credit_card</t>
        </is>
      </c>
      <c r="J4711" t="n">
        <v>5</v>
      </c>
      <c r="K4711" t="inlineStr">
        <is>
          <t>On Time</t>
        </is>
      </c>
      <c r="L4711" t="n">
        <v>4</v>
      </c>
      <c r="M4711">
        <f>VLOOKUP(D4711,State_Lookup!$A$2:$B$28,2,FALSE)</f>
        <v/>
      </c>
    </row>
    <row r="4712">
      <c r="A4712" t="inlineStr">
        <is>
          <t>0f213d7015dad47737aecd4d7403f919</t>
        </is>
      </c>
      <c r="B4712" t="inlineStr">
        <is>
          <t>2018-08-03</t>
        </is>
      </c>
      <c r="C4712" t="inlineStr">
        <is>
          <t>2018-08</t>
        </is>
      </c>
      <c r="D4712" t="inlineStr">
        <is>
          <t>MS</t>
        </is>
      </c>
      <c r="E4712" t="inlineStr">
        <is>
          <t>health_beauty</t>
        </is>
      </c>
      <c r="F4712" t="n">
        <v>1</v>
      </c>
      <c r="G4712" t="n">
        <v>175.06</v>
      </c>
      <c r="H4712" t="n">
        <v>19.03</v>
      </c>
      <c r="I4712" t="inlineStr">
        <is>
          <t>credit_card</t>
        </is>
      </c>
      <c r="J4712" t="n">
        <v>21</v>
      </c>
      <c r="K4712" t="inlineStr">
        <is>
          <t>Late</t>
        </is>
      </c>
      <c r="L4712" t="n">
        <v>1</v>
      </c>
      <c r="M4712">
        <f>VLOOKUP(D4712,State_Lookup!$A$2:$B$28,2,FALSE)</f>
        <v/>
      </c>
    </row>
    <row r="4713">
      <c r="A4713" t="inlineStr">
        <is>
          <t>01c156f67900e1f33d1234ce92cb18d9</t>
        </is>
      </c>
      <c r="B4713" t="inlineStr">
        <is>
          <t>2018-08-03</t>
        </is>
      </c>
      <c r="C4713" t="inlineStr">
        <is>
          <t>2018-08</t>
        </is>
      </c>
      <c r="D4713" t="inlineStr">
        <is>
          <t>RS</t>
        </is>
      </c>
      <c r="E4713" t="inlineStr">
        <is>
          <t>telephony</t>
        </is>
      </c>
      <c r="F4713" t="n">
        <v>1</v>
      </c>
      <c r="G4713" t="n">
        <v>13.47</v>
      </c>
      <c r="H4713" t="n">
        <v>18.23</v>
      </c>
      <c r="I4713" t="inlineStr">
        <is>
          <t>credit_card</t>
        </is>
      </c>
      <c r="J4713" t="n">
        <v>13</v>
      </c>
      <c r="K4713" t="inlineStr">
        <is>
          <t>On Time</t>
        </is>
      </c>
      <c r="L4713" t="n">
        <v>5</v>
      </c>
      <c r="M4713">
        <f>VLOOKUP(D4713,State_Lookup!$A$2:$B$28,2,FALSE)</f>
        <v/>
      </c>
    </row>
    <row r="4714">
      <c r="A4714" t="inlineStr">
        <is>
          <t>ee05ea68d27584f43ac19ad104738fea</t>
        </is>
      </c>
      <c r="B4714" t="inlineStr">
        <is>
          <t>2018-08-03</t>
        </is>
      </c>
      <c r="C4714" t="inlineStr">
        <is>
          <t>2018-08</t>
        </is>
      </c>
      <c r="D4714" t="inlineStr">
        <is>
          <t>SP</t>
        </is>
      </c>
      <c r="E4714" t="inlineStr">
        <is>
          <t>watches_gifts</t>
        </is>
      </c>
      <c r="F4714" t="n">
        <v>1</v>
      </c>
      <c r="G4714" t="n">
        <v>78</v>
      </c>
      <c r="H4714" t="n">
        <v>13.21</v>
      </c>
      <c r="I4714" t="inlineStr">
        <is>
          <t>credit_card</t>
        </is>
      </c>
      <c r="J4714" t="n">
        <v>5</v>
      </c>
      <c r="K4714" t="inlineStr">
        <is>
          <t>On Time</t>
        </is>
      </c>
      <c r="L4714" t="n">
        <v>5</v>
      </c>
      <c r="M4714">
        <f>VLOOKUP(D4714,State_Lookup!$A$2:$B$28,2,FALSE)</f>
        <v/>
      </c>
    </row>
    <row r="4715">
      <c r="A4715" t="inlineStr">
        <is>
          <t>003a94f778ef8cfd50247c8c1b582257</t>
        </is>
      </c>
      <c r="B4715" t="inlineStr">
        <is>
          <t>2018-08-03</t>
        </is>
      </c>
      <c r="C4715" t="inlineStr">
        <is>
          <t>2018-08</t>
        </is>
      </c>
      <c r="D4715" t="inlineStr">
        <is>
          <t>MS</t>
        </is>
      </c>
      <c r="E4715" t="inlineStr">
        <is>
          <t>construction_tools_construction</t>
        </is>
      </c>
      <c r="F4715" t="n">
        <v>1</v>
      </c>
      <c r="G4715" t="n">
        <v>39.9</v>
      </c>
      <c r="H4715" t="n">
        <v>18.08</v>
      </c>
      <c r="I4715" t="inlineStr">
        <is>
          <t>credit_card</t>
        </is>
      </c>
      <c r="J4715" t="n">
        <v>20</v>
      </c>
      <c r="K4715" t="inlineStr">
        <is>
          <t>Late</t>
        </is>
      </c>
      <c r="L4715" t="n">
        <v>1</v>
      </c>
      <c r="M4715">
        <f>VLOOKUP(D4715,State_Lookup!$A$2:$B$28,2,FALSE)</f>
        <v/>
      </c>
    </row>
    <row r="4716">
      <c r="A4716" t="inlineStr">
        <is>
          <t>fa6e801a54147fb8ada766a1f407a80f</t>
        </is>
      </c>
      <c r="B4716" t="inlineStr">
        <is>
          <t>2018-08-03</t>
        </is>
      </c>
      <c r="C4716" t="inlineStr">
        <is>
          <t>2018-08</t>
        </is>
      </c>
      <c r="D4716" t="inlineStr">
        <is>
          <t>PR</t>
        </is>
      </c>
      <c r="E4716" t="inlineStr">
        <is>
          <t>sports_leisure</t>
        </is>
      </c>
      <c r="F4716" t="n">
        <v>1</v>
      </c>
      <c r="G4716" t="n">
        <v>43</v>
      </c>
      <c r="H4716" t="n">
        <v>18.4</v>
      </c>
      <c r="I4716" t="inlineStr">
        <is>
          <t>credit_card</t>
        </is>
      </c>
      <c r="J4716" t="n">
        <v>4</v>
      </c>
      <c r="K4716" t="inlineStr">
        <is>
          <t>On Time</t>
        </is>
      </c>
      <c r="L4716" t="n">
        <v>4</v>
      </c>
      <c r="M4716">
        <f>VLOOKUP(D4716,State_Lookup!$A$2:$B$28,2,FALSE)</f>
        <v/>
      </c>
    </row>
    <row r="4717">
      <c r="A4717" t="inlineStr">
        <is>
          <t>405b7a0bffb459dbc7646665024a2665</t>
        </is>
      </c>
      <c r="B4717" t="inlineStr">
        <is>
          <t>2018-08-03</t>
        </is>
      </c>
      <c r="C4717" t="inlineStr">
        <is>
          <t>2018-08</t>
        </is>
      </c>
      <c r="D4717" t="inlineStr">
        <is>
          <t>PA</t>
        </is>
      </c>
      <c r="E4717" t="inlineStr">
        <is>
          <t>housewares</t>
        </is>
      </c>
      <c r="F4717" t="n">
        <v>1</v>
      </c>
      <c r="G4717" t="n">
        <v>180</v>
      </c>
      <c r="H4717" t="n">
        <v>43.54</v>
      </c>
      <c r="I4717" t="inlineStr">
        <is>
          <t>credit_card</t>
        </is>
      </c>
      <c r="J4717" t="n">
        <v>12</v>
      </c>
      <c r="K4717" t="inlineStr">
        <is>
          <t>On Time</t>
        </is>
      </c>
      <c r="L4717" t="n">
        <v>5</v>
      </c>
      <c r="M4717">
        <f>VLOOKUP(D4717,State_Lookup!$A$2:$B$28,2,FALSE)</f>
        <v/>
      </c>
    </row>
    <row r="4718">
      <c r="A4718" t="inlineStr">
        <is>
          <t>120b19c8ebbbe34df59e157f3dd1f0c9</t>
        </is>
      </c>
      <c r="B4718" t="inlineStr">
        <is>
          <t>2018-08-03</t>
        </is>
      </c>
      <c r="C4718" t="inlineStr">
        <is>
          <t>2018-08</t>
        </is>
      </c>
      <c r="D4718" t="inlineStr">
        <is>
          <t>MG</t>
        </is>
      </c>
      <c r="E4718" t="inlineStr">
        <is>
          <t>sports_leisure</t>
        </is>
      </c>
      <c r="F4718" t="n">
        <v>1</v>
      </c>
      <c r="G4718" t="n">
        <v>28.9</v>
      </c>
      <c r="H4718" t="n">
        <v>23.35</v>
      </c>
      <c r="I4718" t="inlineStr">
        <is>
          <t>boleto</t>
        </is>
      </c>
      <c r="J4718" t="n">
        <v>12</v>
      </c>
      <c r="K4718" t="inlineStr">
        <is>
          <t>Late</t>
        </is>
      </c>
      <c r="L4718" t="n">
        <v>5</v>
      </c>
      <c r="M4718">
        <f>VLOOKUP(D4718,State_Lookup!$A$2:$B$28,2,FALSE)</f>
        <v/>
      </c>
    </row>
    <row r="4719">
      <c r="A4719" t="inlineStr">
        <is>
          <t>136a3da67b93100ec6fc05442613bcec</t>
        </is>
      </c>
      <c r="B4719" t="inlineStr">
        <is>
          <t>2018-08-03</t>
        </is>
      </c>
      <c r="C4719" t="inlineStr">
        <is>
          <t>2018-08</t>
        </is>
      </c>
      <c r="D4719" t="inlineStr">
        <is>
          <t>MG</t>
        </is>
      </c>
      <c r="E4719" t="inlineStr">
        <is>
          <t>computers_accessories</t>
        </is>
      </c>
      <c r="F4719" t="n">
        <v>1</v>
      </c>
      <c r="G4719" t="n">
        <v>189</v>
      </c>
      <c r="H4719" t="n">
        <v>19.42</v>
      </c>
      <c r="I4719" t="inlineStr">
        <is>
          <t>boleto</t>
        </is>
      </c>
      <c r="J4719" t="n">
        <v>7</v>
      </c>
      <c r="K4719" t="inlineStr">
        <is>
          <t>On Time</t>
        </is>
      </c>
      <c r="L4719" t="n">
        <v>5</v>
      </c>
      <c r="M4719">
        <f>VLOOKUP(D4719,State_Lookup!$A$2:$B$28,2,FALSE)</f>
        <v/>
      </c>
    </row>
    <row r="4720">
      <c r="A4720" t="inlineStr">
        <is>
          <t>19c12787aa9334d1ccac97bfab56e576</t>
        </is>
      </c>
      <c r="B4720" t="inlineStr">
        <is>
          <t>2018-08-04</t>
        </is>
      </c>
      <c r="C4720" t="inlineStr">
        <is>
          <t>2018-08</t>
        </is>
      </c>
      <c r="D4720" t="inlineStr">
        <is>
          <t>MG</t>
        </is>
      </c>
      <c r="E4720" t="inlineStr">
        <is>
          <t>housewares</t>
        </is>
      </c>
      <c r="F4720" t="n">
        <v>1</v>
      </c>
      <c r="G4720" t="n">
        <v>59.99</v>
      </c>
      <c r="H4720" t="n">
        <v>21.72</v>
      </c>
      <c r="I4720" t="inlineStr">
        <is>
          <t>boleto</t>
        </is>
      </c>
      <c r="J4720" t="n">
        <v>16</v>
      </c>
      <c r="K4720" t="inlineStr">
        <is>
          <t>On Time</t>
        </is>
      </c>
      <c r="L4720" t="n">
        <v>4</v>
      </c>
      <c r="M4720">
        <f>VLOOKUP(D4720,State_Lookup!$A$2:$B$28,2,FALSE)</f>
        <v/>
      </c>
    </row>
    <row r="4721">
      <c r="A4721" t="inlineStr">
        <is>
          <t>fab137488ea6654792ec4cac3000cee8</t>
        </is>
      </c>
      <c r="B4721" t="inlineStr">
        <is>
          <t>2018-08-04</t>
        </is>
      </c>
      <c r="C4721" t="inlineStr">
        <is>
          <t>2018-08</t>
        </is>
      </c>
      <c r="D4721" t="inlineStr">
        <is>
          <t>SP</t>
        </is>
      </c>
      <c r="E4721" t="inlineStr">
        <is>
          <t>stationery</t>
        </is>
      </c>
      <c r="F4721" t="n">
        <v>1</v>
      </c>
      <c r="G4721" t="n">
        <v>29</v>
      </c>
      <c r="H4721" t="n">
        <v>7.46</v>
      </c>
      <c r="I4721" t="inlineStr">
        <is>
          <t>credit_card</t>
        </is>
      </c>
      <c r="J4721" t="n">
        <v>17</v>
      </c>
      <c r="K4721" t="inlineStr">
        <is>
          <t>Late</t>
        </is>
      </c>
      <c r="L4721" t="n">
        <v>4</v>
      </c>
      <c r="M4721">
        <f>VLOOKUP(D4721,State_Lookup!$A$2:$B$28,2,FALSE)</f>
        <v/>
      </c>
    </row>
    <row r="4722">
      <c r="A4722" t="inlineStr">
        <is>
          <t>db70f8a5634ca9a20586be3dec6ad653</t>
        </is>
      </c>
      <c r="B4722" t="inlineStr">
        <is>
          <t>2018-08-04</t>
        </is>
      </c>
      <c r="C4722" t="inlineStr">
        <is>
          <t>2018-08</t>
        </is>
      </c>
      <c r="D4722" t="inlineStr">
        <is>
          <t>SP</t>
        </is>
      </c>
      <c r="E4722" t="inlineStr">
        <is>
          <t>computers_accessories</t>
        </is>
      </c>
      <c r="F4722" t="n">
        <v>1</v>
      </c>
      <c r="G4722" t="n">
        <v>82</v>
      </c>
      <c r="H4722" t="n">
        <v>13.87</v>
      </c>
      <c r="I4722" t="inlineStr">
        <is>
          <t>credit_card</t>
        </is>
      </c>
      <c r="J4722" t="n">
        <v>9</v>
      </c>
      <c r="K4722" t="inlineStr">
        <is>
          <t>Late</t>
        </is>
      </c>
      <c r="L4722" t="n">
        <v>2</v>
      </c>
      <c r="M4722">
        <f>VLOOKUP(D4722,State_Lookup!$A$2:$B$28,2,FALSE)</f>
        <v/>
      </c>
    </row>
    <row r="4723">
      <c r="A4723" t="inlineStr">
        <is>
          <t>6fe3cca762774a4e0e4e75467b4651e6</t>
        </is>
      </c>
      <c r="B4723" t="inlineStr">
        <is>
          <t>2018-08-04</t>
        </is>
      </c>
      <c r="C4723" t="inlineStr">
        <is>
          <t>2018-08</t>
        </is>
      </c>
      <c r="D4723" t="inlineStr">
        <is>
          <t>SP</t>
        </is>
      </c>
      <c r="E4723" t="inlineStr">
        <is>
          <t>auto</t>
        </is>
      </c>
      <c r="F4723" t="n">
        <v>1</v>
      </c>
      <c r="G4723" t="n">
        <v>30</v>
      </c>
      <c r="H4723" t="n">
        <v>8.960000000000001</v>
      </c>
      <c r="I4723" t="inlineStr">
        <is>
          <t>boleto</t>
        </is>
      </c>
      <c r="J4723" t="n">
        <v>10</v>
      </c>
      <c r="K4723" t="inlineStr">
        <is>
          <t>Late</t>
        </is>
      </c>
      <c r="L4723" t="n">
        <v>5</v>
      </c>
      <c r="M4723">
        <f>VLOOKUP(D4723,State_Lookup!$A$2:$B$28,2,FALSE)</f>
        <v/>
      </c>
    </row>
    <row r="4724">
      <c r="A4724" t="inlineStr">
        <is>
          <t>edf195e14f83b9753f2cf2f7263f279e</t>
        </is>
      </c>
      <c r="B4724" t="inlineStr">
        <is>
          <t>2018-08-04</t>
        </is>
      </c>
      <c r="C4724" t="inlineStr">
        <is>
          <t>2018-08</t>
        </is>
      </c>
      <c r="D4724" t="inlineStr">
        <is>
          <t>SC</t>
        </is>
      </c>
      <c r="E4724" t="inlineStr">
        <is>
          <t>telephony</t>
        </is>
      </c>
      <c r="F4724" t="n">
        <v>1</v>
      </c>
      <c r="G4724" t="n">
        <v>170</v>
      </c>
      <c r="H4724" t="n">
        <v>53.54</v>
      </c>
      <c r="I4724" t="inlineStr">
        <is>
          <t>voucher</t>
        </is>
      </c>
      <c r="J4724" t="n">
        <v>16</v>
      </c>
      <c r="K4724" t="inlineStr">
        <is>
          <t>On Time</t>
        </is>
      </c>
      <c r="L4724" t="n">
        <v>5</v>
      </c>
      <c r="M4724">
        <f>VLOOKUP(D4724,State_Lookup!$A$2:$B$28,2,FALSE)</f>
        <v/>
      </c>
    </row>
    <row r="4725">
      <c r="A4725" t="inlineStr">
        <is>
          <t>359dfdef7cf4ed1003c2a0463eb431ba</t>
        </is>
      </c>
      <c r="B4725" t="inlineStr">
        <is>
          <t>2018-08-04</t>
        </is>
      </c>
      <c r="C4725" t="inlineStr">
        <is>
          <t>2018-08</t>
        </is>
      </c>
      <c r="D4725" t="inlineStr">
        <is>
          <t>SP</t>
        </is>
      </c>
      <c r="E4725" t="inlineStr">
        <is>
          <t>sports_leisure</t>
        </is>
      </c>
      <c r="F4725" t="n">
        <v>1</v>
      </c>
      <c r="G4725" t="n">
        <v>53.49</v>
      </c>
      <c r="H4725" t="n">
        <v>7.63</v>
      </c>
      <c r="I4725" t="inlineStr">
        <is>
          <t>credit_card</t>
        </is>
      </c>
      <c r="J4725" t="n">
        <v>3</v>
      </c>
      <c r="K4725" t="inlineStr">
        <is>
          <t>On Time</t>
        </is>
      </c>
      <c r="L4725" t="n">
        <v>5</v>
      </c>
      <c r="M4725">
        <f>VLOOKUP(D4725,State_Lookup!$A$2:$B$28,2,FALSE)</f>
        <v/>
      </c>
    </row>
    <row r="4726">
      <c r="A4726" t="inlineStr">
        <is>
          <t>3c74e538974fb013e938fbdd7d83675c</t>
        </is>
      </c>
      <c r="B4726" t="inlineStr">
        <is>
          <t>2018-08-04</t>
        </is>
      </c>
      <c r="C4726" t="inlineStr">
        <is>
          <t>2018-08</t>
        </is>
      </c>
      <c r="D4726" t="inlineStr">
        <is>
          <t>SP</t>
        </is>
      </c>
      <c r="E4726" t="inlineStr">
        <is>
          <t>computers_accessories</t>
        </is>
      </c>
      <c r="F4726" t="n">
        <v>1</v>
      </c>
      <c r="G4726" t="n">
        <v>61.4</v>
      </c>
      <c r="H4726" t="n">
        <v>13.77</v>
      </c>
      <c r="I4726" t="inlineStr">
        <is>
          <t>voucher</t>
        </is>
      </c>
      <c r="J4726" t="n">
        <v>12</v>
      </c>
      <c r="K4726" t="inlineStr">
        <is>
          <t>On Time</t>
        </is>
      </c>
      <c r="L4726" t="n">
        <v>5</v>
      </c>
      <c r="M4726">
        <f>VLOOKUP(D4726,State_Lookup!$A$2:$B$28,2,FALSE)</f>
        <v/>
      </c>
    </row>
    <row r="4727">
      <c r="A4727" t="inlineStr">
        <is>
          <t>d6cd9d63e25452e0278cb6eeed08de6b</t>
        </is>
      </c>
      <c r="B4727" t="inlineStr">
        <is>
          <t>2018-08-04</t>
        </is>
      </c>
      <c r="C4727" t="inlineStr">
        <is>
          <t>2018-08</t>
        </is>
      </c>
      <c r="D4727" t="inlineStr">
        <is>
          <t>CE</t>
        </is>
      </c>
      <c r="E4727" t="inlineStr">
        <is>
          <t>furniture_decor</t>
        </is>
      </c>
      <c r="F4727" t="n">
        <v>2</v>
      </c>
      <c r="G4727" t="n">
        <v>174.89</v>
      </c>
      <c r="H4727" t="n">
        <v>46.9</v>
      </c>
      <c r="I4727" t="inlineStr">
        <is>
          <t>credit_card</t>
        </is>
      </c>
      <c r="J4727" t="n">
        <v>16</v>
      </c>
      <c r="K4727" t="inlineStr">
        <is>
          <t>On Time</t>
        </is>
      </c>
      <c r="L4727" t="n">
        <v>3</v>
      </c>
      <c r="M4727">
        <f>VLOOKUP(D4727,State_Lookup!$A$2:$B$28,2,FALSE)</f>
        <v/>
      </c>
    </row>
    <row r="4728">
      <c r="A4728" t="inlineStr">
        <is>
          <t>6a9ea3a6a0a791f6c34b8145d6cbd42a</t>
        </is>
      </c>
      <c r="B4728" t="inlineStr">
        <is>
          <t>2018-08-04</t>
        </is>
      </c>
      <c r="C4728" t="inlineStr">
        <is>
          <t>2018-08</t>
        </is>
      </c>
      <c r="D4728" t="inlineStr">
        <is>
          <t>SP</t>
        </is>
      </c>
      <c r="E4728" t="inlineStr">
        <is>
          <t>health_beauty</t>
        </is>
      </c>
      <c r="F4728" t="n">
        <v>1</v>
      </c>
      <c r="G4728" t="n">
        <v>310</v>
      </c>
      <c r="H4728" t="n">
        <v>9.43</v>
      </c>
      <c r="I4728" t="inlineStr">
        <is>
          <t>debit_card</t>
        </is>
      </c>
      <c r="J4728" t="n">
        <v>4</v>
      </c>
      <c r="K4728" t="inlineStr">
        <is>
          <t>On Time</t>
        </is>
      </c>
      <c r="L4728" t="n">
        <v>5</v>
      </c>
      <c r="M4728">
        <f>VLOOKUP(D4728,State_Lookup!$A$2:$B$28,2,FALSE)</f>
        <v/>
      </c>
    </row>
    <row r="4729">
      <c r="A4729" t="inlineStr">
        <is>
          <t>8ea8033700913a32e94988adbe26d5aa</t>
        </is>
      </c>
      <c r="B4729" t="inlineStr">
        <is>
          <t>2018-08-04</t>
        </is>
      </c>
      <c r="C4729" t="inlineStr">
        <is>
          <t>2018-08</t>
        </is>
      </c>
      <c r="D4729" t="inlineStr">
        <is>
          <t>SP</t>
        </is>
      </c>
      <c r="E4729" t="inlineStr">
        <is>
          <t>baby</t>
        </is>
      </c>
      <c r="F4729" t="n">
        <v>1</v>
      </c>
      <c r="G4729" t="n">
        <v>134.9</v>
      </c>
      <c r="H4729" t="n">
        <v>9.69</v>
      </c>
      <c r="I4729" t="inlineStr">
        <is>
          <t>credit_card</t>
        </is>
      </c>
      <c r="J4729" t="n">
        <v>3</v>
      </c>
      <c r="K4729" t="inlineStr">
        <is>
          <t>On Time</t>
        </is>
      </c>
      <c r="L4729" t="n">
        <v>5</v>
      </c>
      <c r="M4729">
        <f>VLOOKUP(D4729,State_Lookup!$A$2:$B$28,2,FALSE)</f>
        <v/>
      </c>
    </row>
    <row r="4730">
      <c r="A4730" t="inlineStr">
        <is>
          <t>afaa845a7a044d65051e77109d5b6ac2</t>
        </is>
      </c>
      <c r="B4730" t="inlineStr">
        <is>
          <t>2018-08-04</t>
        </is>
      </c>
      <c r="C4730" t="inlineStr">
        <is>
          <t>2018-08</t>
        </is>
      </c>
      <c r="D4730" t="inlineStr">
        <is>
          <t>MG</t>
        </is>
      </c>
      <c r="E4730" t="inlineStr">
        <is>
          <t>fashion_bags_accessories</t>
        </is>
      </c>
      <c r="F4730" t="n">
        <v>1</v>
      </c>
      <c r="G4730" t="n">
        <v>69</v>
      </c>
      <c r="H4730" t="n">
        <v>18.58</v>
      </c>
      <c r="I4730" t="inlineStr">
        <is>
          <t>credit_card</t>
        </is>
      </c>
      <c r="J4730" t="n">
        <v>6</v>
      </c>
      <c r="K4730" t="inlineStr">
        <is>
          <t>On Time</t>
        </is>
      </c>
      <c r="L4730" t="n">
        <v>5</v>
      </c>
      <c r="M4730">
        <f>VLOOKUP(D4730,State_Lookup!$A$2:$B$28,2,FALSE)</f>
        <v/>
      </c>
    </row>
    <row r="4731">
      <c r="A4731" t="inlineStr">
        <is>
          <t>300542e713279c59c9741f77d049f567</t>
        </is>
      </c>
      <c r="B4731" t="inlineStr">
        <is>
          <t>2018-08-04</t>
        </is>
      </c>
      <c r="C4731" t="inlineStr">
        <is>
          <t>2018-08</t>
        </is>
      </c>
      <c r="D4731" t="inlineStr">
        <is>
          <t>SP</t>
        </is>
      </c>
      <c r="E4731" t="inlineStr">
        <is>
          <t>baby</t>
        </is>
      </c>
      <c r="F4731" t="n">
        <v>1</v>
      </c>
      <c r="G4731" t="n">
        <v>97.09999999999999</v>
      </c>
      <c r="H4731" t="n">
        <v>8.84</v>
      </c>
      <c r="I4731" t="inlineStr">
        <is>
          <t>credit_card</t>
        </is>
      </c>
      <c r="J4731" t="n">
        <v>9</v>
      </c>
      <c r="K4731" t="inlineStr">
        <is>
          <t>Late</t>
        </is>
      </c>
      <c r="L4731" t="n">
        <v>1</v>
      </c>
      <c r="M4731">
        <f>VLOOKUP(D4731,State_Lookup!$A$2:$B$28,2,FALSE)</f>
        <v/>
      </c>
    </row>
    <row r="4732">
      <c r="A4732" t="inlineStr">
        <is>
          <t>51e5e08365469f68d9f281c619b2354f</t>
        </is>
      </c>
      <c r="B4732" t="inlineStr">
        <is>
          <t>2018-08-04</t>
        </is>
      </c>
      <c r="C4732" t="inlineStr">
        <is>
          <t>2018-08</t>
        </is>
      </c>
      <c r="D4732" t="inlineStr">
        <is>
          <t>MA</t>
        </is>
      </c>
      <c r="E4732" t="inlineStr">
        <is>
          <t>housewares</t>
        </is>
      </c>
      <c r="F4732" t="n">
        <v>1</v>
      </c>
      <c r="G4732" t="n">
        <v>25.99</v>
      </c>
      <c r="H4732" t="n">
        <v>37.09</v>
      </c>
      <c r="I4732" t="inlineStr">
        <is>
          <t>boleto</t>
        </is>
      </c>
      <c r="J4732" t="n">
        <v>9</v>
      </c>
      <c r="K4732" t="inlineStr">
        <is>
          <t>On Time</t>
        </is>
      </c>
      <c r="L4732" t="n">
        <v>5</v>
      </c>
      <c r="M4732">
        <f>VLOOKUP(D4732,State_Lookup!$A$2:$B$28,2,FALSE)</f>
        <v/>
      </c>
    </row>
    <row r="4733">
      <c r="A4733" t="inlineStr">
        <is>
          <t>69f0148dd6fd1fd804e48c202c93ad0b</t>
        </is>
      </c>
      <c r="B4733" t="inlineStr">
        <is>
          <t>2018-08-05</t>
        </is>
      </c>
      <c r="C4733" t="inlineStr">
        <is>
          <t>2018-08</t>
        </is>
      </c>
      <c r="D4733" t="inlineStr">
        <is>
          <t>SP</t>
        </is>
      </c>
      <c r="E4733" t="inlineStr">
        <is>
          <t>electronics</t>
        </is>
      </c>
      <c r="F4733" t="n">
        <v>1</v>
      </c>
      <c r="G4733" t="n">
        <v>24.5</v>
      </c>
      <c r="H4733" t="n">
        <v>7.43</v>
      </c>
      <c r="I4733" t="inlineStr">
        <is>
          <t>credit_card</t>
        </is>
      </c>
      <c r="J4733" t="n">
        <v>3</v>
      </c>
      <c r="K4733" t="inlineStr">
        <is>
          <t>On Time</t>
        </is>
      </c>
      <c r="L4733" t="n">
        <v>5</v>
      </c>
      <c r="M4733">
        <f>VLOOKUP(D4733,State_Lookup!$A$2:$B$28,2,FALSE)</f>
        <v/>
      </c>
    </row>
    <row r="4734">
      <c r="A4734" t="inlineStr">
        <is>
          <t>a8e595153c8bec02b29e66399b21e1ae</t>
        </is>
      </c>
      <c r="B4734" t="inlineStr">
        <is>
          <t>2018-08-05</t>
        </is>
      </c>
      <c r="C4734" t="inlineStr">
        <is>
          <t>2018-08</t>
        </is>
      </c>
      <c r="D4734" t="inlineStr">
        <is>
          <t>MG</t>
        </is>
      </c>
      <c r="E4734" t="inlineStr">
        <is>
          <t>auto</t>
        </is>
      </c>
      <c r="F4734" t="n">
        <v>1</v>
      </c>
      <c r="G4734" t="n">
        <v>28.99</v>
      </c>
      <c r="H4734" t="n">
        <v>18.3</v>
      </c>
      <c r="I4734" t="inlineStr">
        <is>
          <t>credit_card</t>
        </is>
      </c>
      <c r="J4734" t="n">
        <v>7</v>
      </c>
      <c r="K4734" t="inlineStr">
        <is>
          <t>On Time</t>
        </is>
      </c>
      <c r="L4734" t="n">
        <v>5</v>
      </c>
      <c r="M4734">
        <f>VLOOKUP(D4734,State_Lookup!$A$2:$B$28,2,FALSE)</f>
        <v/>
      </c>
    </row>
    <row r="4735">
      <c r="A4735" t="inlineStr">
        <is>
          <t>c6f64ddfd9a519815891070106aa9543</t>
        </is>
      </c>
      <c r="B4735" t="inlineStr">
        <is>
          <t>2018-08-05</t>
        </is>
      </c>
      <c r="C4735" t="inlineStr">
        <is>
          <t>2018-08</t>
        </is>
      </c>
      <c r="D4735" t="inlineStr">
        <is>
          <t>SP</t>
        </is>
      </c>
      <c r="E4735" t="inlineStr">
        <is>
          <t>home_construction</t>
        </is>
      </c>
      <c r="F4735" t="n">
        <v>1</v>
      </c>
      <c r="G4735" t="n">
        <v>155.99</v>
      </c>
      <c r="H4735" t="n">
        <v>13.75</v>
      </c>
      <c r="I4735" t="inlineStr">
        <is>
          <t>credit_card</t>
        </is>
      </c>
      <c r="J4735" t="n">
        <v>5</v>
      </c>
      <c r="K4735" t="inlineStr">
        <is>
          <t>On Time</t>
        </is>
      </c>
      <c r="L4735" t="n">
        <v>4</v>
      </c>
      <c r="M4735">
        <f>VLOOKUP(D4735,State_Lookup!$A$2:$B$28,2,FALSE)</f>
        <v/>
      </c>
    </row>
    <row r="4736">
      <c r="A4736" t="inlineStr">
        <is>
          <t>80b201a88f23aa35799eac75fa4cdf99</t>
        </is>
      </c>
      <c r="B4736" t="inlineStr">
        <is>
          <t>2018-08-05</t>
        </is>
      </c>
      <c r="C4736" t="inlineStr">
        <is>
          <t>2018-08</t>
        </is>
      </c>
      <c r="D4736" t="inlineStr">
        <is>
          <t>SP</t>
        </is>
      </c>
      <c r="E4736" t="inlineStr">
        <is>
          <t>health_beauty</t>
        </is>
      </c>
      <c r="F4736" t="n">
        <v>1</v>
      </c>
      <c r="G4736" t="n">
        <v>29.9</v>
      </c>
      <c r="H4736" t="n">
        <v>7.47</v>
      </c>
      <c r="I4736" t="inlineStr">
        <is>
          <t>debit_card</t>
        </is>
      </c>
      <c r="J4736" t="n">
        <v>9</v>
      </c>
      <c r="K4736" t="inlineStr">
        <is>
          <t>Late</t>
        </is>
      </c>
      <c r="L4736" t="n">
        <v>5</v>
      </c>
      <c r="M4736">
        <f>VLOOKUP(D4736,State_Lookup!$A$2:$B$28,2,FALSE)</f>
        <v/>
      </c>
    </row>
    <row r="4737">
      <c r="A4737" t="inlineStr">
        <is>
          <t>87bad43228f375c518a80fd2cdec8e17</t>
        </is>
      </c>
      <c r="B4737" t="inlineStr">
        <is>
          <t>2018-08-05</t>
        </is>
      </c>
      <c r="C4737" t="inlineStr">
        <is>
          <t>2018-08</t>
        </is>
      </c>
      <c r="D4737" t="inlineStr">
        <is>
          <t>SP</t>
        </is>
      </c>
      <c r="E4737" t="inlineStr">
        <is>
          <t>computers_accessories</t>
        </is>
      </c>
      <c r="F4737" t="n">
        <v>1</v>
      </c>
      <c r="G4737" t="n">
        <v>74.98999999999999</v>
      </c>
      <c r="H4737" t="n">
        <v>8.69</v>
      </c>
      <c r="I4737" t="inlineStr">
        <is>
          <t>boleto</t>
        </is>
      </c>
      <c r="J4737" t="n">
        <v>3</v>
      </c>
      <c r="K4737" t="inlineStr">
        <is>
          <t>On Time</t>
        </is>
      </c>
      <c r="L4737" t="n">
        <v>5</v>
      </c>
      <c r="M4737">
        <f>VLOOKUP(D4737,State_Lookup!$A$2:$B$28,2,FALSE)</f>
        <v/>
      </c>
    </row>
    <row r="4738">
      <c r="A4738" t="inlineStr">
        <is>
          <t>95a79263ff4f759875074b9c5024edba</t>
        </is>
      </c>
      <c r="B4738" t="inlineStr">
        <is>
          <t>2018-08-05</t>
        </is>
      </c>
      <c r="C4738" t="inlineStr">
        <is>
          <t>2018-08</t>
        </is>
      </c>
      <c r="D4738" t="inlineStr">
        <is>
          <t>SP</t>
        </is>
      </c>
      <c r="E4738" t="inlineStr">
        <is>
          <t>consoles_games</t>
        </is>
      </c>
      <c r="F4738" t="n">
        <v>1</v>
      </c>
      <c r="G4738" t="n">
        <v>69.98999999999999</v>
      </c>
      <c r="H4738" t="n">
        <v>18.59</v>
      </c>
      <c r="I4738" t="inlineStr">
        <is>
          <t>voucher</t>
        </is>
      </c>
      <c r="J4738" t="n">
        <v>4</v>
      </c>
      <c r="K4738" t="inlineStr">
        <is>
          <t>On Time</t>
        </is>
      </c>
      <c r="L4738" t="n">
        <v>3</v>
      </c>
      <c r="M4738">
        <f>VLOOKUP(D4738,State_Lookup!$A$2:$B$28,2,FALSE)</f>
        <v/>
      </c>
    </row>
    <row r="4739">
      <c r="A4739" t="inlineStr">
        <is>
          <t>c3aa0764f72af0672f23966336a8fd0c</t>
        </is>
      </c>
      <c r="B4739" t="inlineStr">
        <is>
          <t>2018-08-05</t>
        </is>
      </c>
      <c r="C4739" t="inlineStr">
        <is>
          <t>2018-08</t>
        </is>
      </c>
      <c r="D4739" t="inlineStr">
        <is>
          <t>PR</t>
        </is>
      </c>
      <c r="E4739" t="inlineStr">
        <is>
          <t>cool_stuff</t>
        </is>
      </c>
      <c r="F4739" t="n">
        <v>2</v>
      </c>
      <c r="G4739" t="n">
        <v>250</v>
      </c>
      <c r="H4739" t="n">
        <v>28.44</v>
      </c>
      <c r="I4739" t="inlineStr">
        <is>
          <t>credit_card</t>
        </is>
      </c>
      <c r="J4739" t="n">
        <v>15</v>
      </c>
      <c r="K4739" t="inlineStr">
        <is>
          <t>Late</t>
        </is>
      </c>
      <c r="L4739" t="n">
        <v>4</v>
      </c>
      <c r="M4739">
        <f>VLOOKUP(D4739,State_Lookup!$A$2:$B$28,2,FALSE)</f>
        <v/>
      </c>
    </row>
    <row r="4740">
      <c r="A4740" t="inlineStr">
        <is>
          <t>c9d520a482f52b364a05d0252cd45852</t>
        </is>
      </c>
      <c r="B4740" t="inlineStr">
        <is>
          <t>2018-08-05</t>
        </is>
      </c>
      <c r="C4740" t="inlineStr">
        <is>
          <t>2018-08</t>
        </is>
      </c>
      <c r="D4740" t="inlineStr">
        <is>
          <t>SP</t>
        </is>
      </c>
      <c r="E4740" t="inlineStr">
        <is>
          <t>computers_accessories</t>
        </is>
      </c>
      <c r="F4740" t="n">
        <v>1</v>
      </c>
      <c r="G4740" t="n">
        <v>105</v>
      </c>
      <c r="H4740" t="n">
        <v>14.32</v>
      </c>
      <c r="I4740" t="inlineStr">
        <is>
          <t>credit_card</t>
        </is>
      </c>
      <c r="J4740" t="n">
        <v>7</v>
      </c>
      <c r="K4740" t="inlineStr">
        <is>
          <t>On Time</t>
        </is>
      </c>
      <c r="L4740" t="n">
        <v>3</v>
      </c>
      <c r="M4740">
        <f>VLOOKUP(D4740,State_Lookup!$A$2:$B$28,2,FALSE)</f>
        <v/>
      </c>
    </row>
    <row r="4741">
      <c r="A4741" t="inlineStr">
        <is>
          <t>5494b2ddfe11df2c043ab5a56a2832bd</t>
        </is>
      </c>
      <c r="B4741" t="inlineStr">
        <is>
          <t>2018-08-05</t>
        </is>
      </c>
      <c r="C4741" t="inlineStr">
        <is>
          <t>2018-08</t>
        </is>
      </c>
      <c r="D4741" t="inlineStr">
        <is>
          <t>SP</t>
        </is>
      </c>
      <c r="E4741" t="inlineStr">
        <is>
          <t>auto</t>
        </is>
      </c>
      <c r="F4741" t="n">
        <v>1</v>
      </c>
      <c r="G4741" t="n">
        <v>69.98999999999999</v>
      </c>
      <c r="H4741" t="n">
        <v>18.59</v>
      </c>
      <c r="I4741" t="inlineStr">
        <is>
          <t>credit_card</t>
        </is>
      </c>
      <c r="J4741" t="n">
        <v>4</v>
      </c>
      <c r="K4741" t="inlineStr">
        <is>
          <t>On Time</t>
        </is>
      </c>
      <c r="L4741" t="n">
        <v>4</v>
      </c>
      <c r="M4741">
        <f>VLOOKUP(D4741,State_Lookup!$A$2:$B$28,2,FALSE)</f>
        <v/>
      </c>
    </row>
    <row r="4742">
      <c r="A4742" t="inlineStr">
        <is>
          <t>a016702972f9a03256db6aecb30ba538</t>
        </is>
      </c>
      <c r="B4742" t="inlineStr">
        <is>
          <t>2018-08-05</t>
        </is>
      </c>
      <c r="C4742" t="inlineStr">
        <is>
          <t>2018-08</t>
        </is>
      </c>
      <c r="D4742" t="inlineStr">
        <is>
          <t>SP</t>
        </is>
      </c>
      <c r="E4742" t="inlineStr">
        <is>
          <t>furniture_decor</t>
        </is>
      </c>
      <c r="F4742" t="n">
        <v>3</v>
      </c>
      <c r="G4742" t="n">
        <v>225</v>
      </c>
      <c r="H4742" t="n">
        <v>63.51000000000001</v>
      </c>
      <c r="I4742" t="inlineStr">
        <is>
          <t>boleto</t>
        </is>
      </c>
      <c r="J4742" t="n">
        <v>9</v>
      </c>
      <c r="K4742" t="inlineStr">
        <is>
          <t>On Time</t>
        </is>
      </c>
      <c r="L4742" t="n">
        <v>5</v>
      </c>
      <c r="M4742">
        <f>VLOOKUP(D4742,State_Lookup!$A$2:$B$28,2,FALSE)</f>
        <v/>
      </c>
    </row>
    <row r="4743">
      <c r="A4743" t="inlineStr">
        <is>
          <t>69cfaf72cc14e5d3ade9e5f121f74c19</t>
        </is>
      </c>
      <c r="B4743" t="inlineStr">
        <is>
          <t>2018-08-05</t>
        </is>
      </c>
      <c r="C4743" t="inlineStr">
        <is>
          <t>2018-08</t>
        </is>
      </c>
      <c r="D4743" t="inlineStr">
        <is>
          <t>RJ</t>
        </is>
      </c>
      <c r="E4743" t="inlineStr">
        <is>
          <t>stationery</t>
        </is>
      </c>
      <c r="F4743" t="n">
        <v>1</v>
      </c>
      <c r="G4743" t="n">
        <v>129.9</v>
      </c>
      <c r="H4743" t="n">
        <v>27.89</v>
      </c>
      <c r="I4743" t="inlineStr">
        <is>
          <t>credit_card</t>
        </is>
      </c>
      <c r="J4743" t="n">
        <v>2</v>
      </c>
      <c r="K4743" t="inlineStr">
        <is>
          <t>On Time</t>
        </is>
      </c>
      <c r="L4743" t="n">
        <v>5</v>
      </c>
      <c r="M4743">
        <f>VLOOKUP(D4743,State_Lookup!$A$2:$B$28,2,FALSE)</f>
        <v/>
      </c>
    </row>
    <row r="4744">
      <c r="A4744" t="inlineStr">
        <is>
          <t>51520d3bdef580c2ffd3b8fea209172a</t>
        </is>
      </c>
      <c r="B4744" t="inlineStr">
        <is>
          <t>2018-08-06</t>
        </is>
      </c>
      <c r="C4744" t="inlineStr">
        <is>
          <t>2018-08</t>
        </is>
      </c>
      <c r="D4744" t="inlineStr">
        <is>
          <t>SP</t>
        </is>
      </c>
      <c r="E4744" t="inlineStr">
        <is>
          <t>fashion_bags_accessories</t>
        </is>
      </c>
      <c r="F4744" t="n">
        <v>1</v>
      </c>
      <c r="G4744" t="n">
        <v>49</v>
      </c>
      <c r="H4744" t="n">
        <v>7.6</v>
      </c>
      <c r="I4744" t="inlineStr">
        <is>
          <t>debit_card</t>
        </is>
      </c>
      <c r="J4744" t="n">
        <v>3</v>
      </c>
      <c r="K4744" t="inlineStr">
        <is>
          <t>Late</t>
        </is>
      </c>
      <c r="L4744" t="n">
        <v>5</v>
      </c>
      <c r="M4744">
        <f>VLOOKUP(D4744,State_Lookup!$A$2:$B$28,2,FALSE)</f>
        <v/>
      </c>
    </row>
    <row r="4745">
      <c r="A4745" t="inlineStr">
        <is>
          <t>2d141367a3c00a99a25764eced13ef4e</t>
        </is>
      </c>
      <c r="B4745" t="inlineStr">
        <is>
          <t>2018-08-06</t>
        </is>
      </c>
      <c r="C4745" t="inlineStr">
        <is>
          <t>2018-08</t>
        </is>
      </c>
      <c r="D4745" t="inlineStr">
        <is>
          <t>SP</t>
        </is>
      </c>
      <c r="E4745" t="inlineStr">
        <is>
          <t>sports_leisure</t>
        </is>
      </c>
      <c r="F4745" t="n">
        <v>1</v>
      </c>
      <c r="G4745" t="n">
        <v>59</v>
      </c>
      <c r="H4745" t="n">
        <v>7.67</v>
      </c>
      <c r="I4745" t="inlineStr">
        <is>
          <t>credit_card</t>
        </is>
      </c>
      <c r="J4745" t="n">
        <v>1</v>
      </c>
      <c r="K4745" t="inlineStr">
        <is>
          <t>On Time</t>
        </is>
      </c>
      <c r="L4745" t="n">
        <v>5</v>
      </c>
      <c r="M4745">
        <f>VLOOKUP(D4745,State_Lookup!$A$2:$B$28,2,FALSE)</f>
        <v/>
      </c>
    </row>
    <row r="4746">
      <c r="A4746" t="inlineStr">
        <is>
          <t>4044c5fad995d07177b0c09ff2b0b7f6</t>
        </is>
      </c>
      <c r="B4746" t="inlineStr">
        <is>
          <t>2018-08-06</t>
        </is>
      </c>
      <c r="C4746" t="inlineStr">
        <is>
          <t>2018-08</t>
        </is>
      </c>
      <c r="D4746" t="inlineStr">
        <is>
          <t>TO</t>
        </is>
      </c>
      <c r="E4746" t="inlineStr">
        <is>
          <t>furniture_decor</t>
        </is>
      </c>
      <c r="F4746" t="n">
        <v>3</v>
      </c>
      <c r="G4746" t="n">
        <v>874</v>
      </c>
      <c r="H4746" t="n">
        <v>251.36</v>
      </c>
      <c r="I4746" t="inlineStr">
        <is>
          <t>credit_card</t>
        </is>
      </c>
      <c r="J4746" t="n">
        <v>8</v>
      </c>
      <c r="K4746" t="inlineStr">
        <is>
          <t>On Time</t>
        </is>
      </c>
      <c r="L4746" t="n">
        <v>5</v>
      </c>
      <c r="M4746">
        <f>VLOOKUP(D4746,State_Lookup!$A$2:$B$28,2,FALSE)</f>
        <v/>
      </c>
    </row>
    <row r="4747">
      <c r="A4747" t="inlineStr">
        <is>
          <t>64eda3241f07453a9d8aeb85428c18c5</t>
        </is>
      </c>
      <c r="B4747" t="inlineStr">
        <is>
          <t>2018-08-06</t>
        </is>
      </c>
      <c r="C4747" t="inlineStr">
        <is>
          <t>2018-08</t>
        </is>
      </c>
      <c r="D4747" t="inlineStr">
        <is>
          <t>SP</t>
        </is>
      </c>
      <c r="E4747" t="inlineStr">
        <is>
          <t>fashion_bags_accessories</t>
        </is>
      </c>
      <c r="F4747" t="n">
        <v>1</v>
      </c>
      <c r="G4747" t="n">
        <v>29.9</v>
      </c>
      <c r="H4747" t="n">
        <v>15.31</v>
      </c>
      <c r="I4747" t="inlineStr">
        <is>
          <t>credit_card</t>
        </is>
      </c>
      <c r="J4747" t="n">
        <v>7</v>
      </c>
      <c r="K4747" t="inlineStr">
        <is>
          <t>On Time</t>
        </is>
      </c>
      <c r="L4747" t="n">
        <v>5</v>
      </c>
      <c r="M4747">
        <f>VLOOKUP(D4747,State_Lookup!$A$2:$B$28,2,FALSE)</f>
        <v/>
      </c>
    </row>
    <row r="4748">
      <c r="A4748" t="inlineStr">
        <is>
          <t>9a503487f2a2141cfc220d61e43bd938</t>
        </is>
      </c>
      <c r="B4748" t="inlineStr">
        <is>
          <t>2018-08-06</t>
        </is>
      </c>
      <c r="C4748" t="inlineStr">
        <is>
          <t>2018-08</t>
        </is>
      </c>
      <c r="D4748" t="inlineStr">
        <is>
          <t>SP</t>
        </is>
      </c>
      <c r="E4748" t="inlineStr">
        <is>
          <t>health_beauty</t>
        </is>
      </c>
      <c r="F4748" t="n">
        <v>1</v>
      </c>
      <c r="G4748" t="n">
        <v>99.90000000000001</v>
      </c>
      <c r="H4748" t="n">
        <v>17.83</v>
      </c>
      <c r="I4748" t="inlineStr">
        <is>
          <t>boleto</t>
        </is>
      </c>
      <c r="J4748" t="n">
        <v>8</v>
      </c>
      <c r="K4748" t="inlineStr">
        <is>
          <t>Late</t>
        </is>
      </c>
      <c r="L4748" t="n">
        <v>5</v>
      </c>
      <c r="M4748">
        <f>VLOOKUP(D4748,State_Lookup!$A$2:$B$28,2,FALSE)</f>
        <v/>
      </c>
    </row>
    <row r="4749">
      <c r="A4749" t="inlineStr">
        <is>
          <t>7e72ec73eb316f40183f574d738eb99e</t>
        </is>
      </c>
      <c r="B4749" t="inlineStr">
        <is>
          <t>2018-08-06</t>
        </is>
      </c>
      <c r="C4749" t="inlineStr">
        <is>
          <t>2018-08</t>
        </is>
      </c>
      <c r="D4749" t="inlineStr">
        <is>
          <t>SP</t>
        </is>
      </c>
      <c r="E4749" t="inlineStr">
        <is>
          <t>construction_tools_lights</t>
        </is>
      </c>
      <c r="F4749" t="n">
        <v>1</v>
      </c>
      <c r="G4749" t="n">
        <v>240</v>
      </c>
      <c r="H4749" t="n">
        <v>15.99</v>
      </c>
      <c r="I4749" t="inlineStr">
        <is>
          <t>credit_card</t>
        </is>
      </c>
      <c r="J4749" t="n">
        <v>4</v>
      </c>
      <c r="K4749" t="inlineStr">
        <is>
          <t>On Time</t>
        </is>
      </c>
      <c r="L4749" t="n">
        <v>4</v>
      </c>
      <c r="M4749">
        <f>VLOOKUP(D4749,State_Lookup!$A$2:$B$28,2,FALSE)</f>
        <v/>
      </c>
    </row>
    <row r="4750">
      <c r="A4750" t="inlineStr">
        <is>
          <t>52550cee1dda83b2c06260891897dc60</t>
        </is>
      </c>
      <c r="B4750" t="inlineStr">
        <is>
          <t>2018-08-06</t>
        </is>
      </c>
      <c r="C4750" t="inlineStr">
        <is>
          <t>2018-08</t>
        </is>
      </c>
      <c r="D4750" t="inlineStr">
        <is>
          <t>SP</t>
        </is>
      </c>
      <c r="E4750" t="inlineStr">
        <is>
          <t>health_beauty</t>
        </is>
      </c>
      <c r="F4750" t="n">
        <v>1</v>
      </c>
      <c r="G4750" t="n">
        <v>527.9</v>
      </c>
      <c r="H4750" t="n">
        <v>21.8</v>
      </c>
      <c r="I4750" t="inlineStr">
        <is>
          <t>credit_card</t>
        </is>
      </c>
      <c r="J4750" t="n">
        <v>28</v>
      </c>
      <c r="K4750" t="inlineStr">
        <is>
          <t>Late</t>
        </is>
      </c>
      <c r="L4750" t="n">
        <v>2</v>
      </c>
      <c r="M4750">
        <f>VLOOKUP(D4750,State_Lookup!$A$2:$B$28,2,FALSE)</f>
        <v/>
      </c>
    </row>
    <row r="4751">
      <c r="A4751" t="inlineStr">
        <is>
          <t>3f090361c1e3266bf3dda7a00df3c0ec</t>
        </is>
      </c>
      <c r="B4751" t="inlineStr">
        <is>
          <t>2018-08-06</t>
        </is>
      </c>
      <c r="C4751" t="inlineStr">
        <is>
          <t>2018-08</t>
        </is>
      </c>
      <c r="D4751" t="inlineStr">
        <is>
          <t>SP</t>
        </is>
      </c>
      <c r="E4751" t="inlineStr">
        <is>
          <t>auto</t>
        </is>
      </c>
      <c r="F4751" t="n">
        <v>1</v>
      </c>
      <c r="G4751" t="n">
        <v>19.99</v>
      </c>
      <c r="H4751" t="n">
        <v>8.890000000000001</v>
      </c>
      <c r="I4751" t="inlineStr">
        <is>
          <t>credit_card</t>
        </is>
      </c>
      <c r="J4751" t="n">
        <v>5</v>
      </c>
      <c r="K4751" t="inlineStr">
        <is>
          <t>On Time</t>
        </is>
      </c>
      <c r="L4751" t="n">
        <v>4</v>
      </c>
      <c r="M4751">
        <f>VLOOKUP(D4751,State_Lookup!$A$2:$B$28,2,FALSE)</f>
        <v/>
      </c>
    </row>
    <row r="4752">
      <c r="A4752" t="inlineStr">
        <is>
          <t>375aac0ed45f117fefb4e511189306d4</t>
        </is>
      </c>
      <c r="B4752" t="inlineStr">
        <is>
          <t>2018-08-06</t>
        </is>
      </c>
      <c r="C4752" t="inlineStr">
        <is>
          <t>2018-08</t>
        </is>
      </c>
      <c r="D4752" t="inlineStr">
        <is>
          <t>SP</t>
        </is>
      </c>
      <c r="E4752" t="inlineStr">
        <is>
          <t>construction_tools_construction</t>
        </is>
      </c>
      <c r="F4752" t="n">
        <v>1</v>
      </c>
      <c r="G4752" t="n">
        <v>85.5</v>
      </c>
      <c r="H4752" t="n">
        <v>19.79</v>
      </c>
      <c r="I4752" t="inlineStr">
        <is>
          <t>credit_card</t>
        </is>
      </c>
      <c r="J4752" t="n">
        <v>9</v>
      </c>
      <c r="K4752" t="inlineStr">
        <is>
          <t>On Time</t>
        </is>
      </c>
      <c r="L4752" t="n">
        <v>4</v>
      </c>
      <c r="M4752">
        <f>VLOOKUP(D4752,State_Lookup!$A$2:$B$28,2,FALSE)</f>
        <v/>
      </c>
    </row>
    <row r="4753">
      <c r="A4753" t="inlineStr">
        <is>
          <t>035c01a45e289b155db4e47cf39b29d3</t>
        </is>
      </c>
      <c r="B4753" t="inlineStr">
        <is>
          <t>2018-08-06</t>
        </is>
      </c>
      <c r="C4753" t="inlineStr">
        <is>
          <t>2018-08</t>
        </is>
      </c>
      <c r="D4753" t="inlineStr">
        <is>
          <t>SP</t>
        </is>
      </c>
      <c r="E4753" t="inlineStr">
        <is>
          <t>computers_accessories</t>
        </is>
      </c>
      <c r="F4753" t="n">
        <v>1</v>
      </c>
      <c r="G4753" t="n">
        <v>79.90000000000001</v>
      </c>
      <c r="H4753" t="n">
        <v>13.9</v>
      </c>
      <c r="I4753" t="inlineStr">
        <is>
          <t>boleto</t>
        </is>
      </c>
      <c r="J4753" t="n">
        <v>16</v>
      </c>
      <c r="K4753" t="inlineStr">
        <is>
          <t>On Time</t>
        </is>
      </c>
      <c r="L4753" t="n">
        <v>5</v>
      </c>
      <c r="M4753">
        <f>VLOOKUP(D4753,State_Lookup!$A$2:$B$28,2,FALSE)</f>
        <v/>
      </c>
    </row>
    <row r="4754">
      <c r="A4754" t="inlineStr">
        <is>
          <t>c8035c255b0c345f46e7ed85cbaf1a79</t>
        </is>
      </c>
      <c r="B4754" t="inlineStr">
        <is>
          <t>2018-08-06</t>
        </is>
      </c>
      <c r="C4754" t="inlineStr">
        <is>
          <t>2018-08</t>
        </is>
      </c>
      <c r="D4754" t="inlineStr">
        <is>
          <t>SP</t>
        </is>
      </c>
      <c r="E4754" t="inlineStr">
        <is>
          <t>bed_bath_table</t>
        </is>
      </c>
      <c r="F4754" t="n">
        <v>1</v>
      </c>
      <c r="G4754" t="n">
        <v>58.67</v>
      </c>
      <c r="H4754" t="n">
        <v>8.57</v>
      </c>
      <c r="I4754" t="inlineStr">
        <is>
          <t>credit_card</t>
        </is>
      </c>
      <c r="J4754" t="n">
        <v>10</v>
      </c>
      <c r="K4754" t="inlineStr">
        <is>
          <t>On Time</t>
        </is>
      </c>
      <c r="L4754" t="n">
        <v>5</v>
      </c>
      <c r="M4754">
        <f>VLOOKUP(D4754,State_Lookup!$A$2:$B$28,2,FALSE)</f>
        <v/>
      </c>
    </row>
    <row r="4755">
      <c r="A4755" t="inlineStr">
        <is>
          <t>d802b8adcfb2cc03772c0645c9257a4a</t>
        </is>
      </c>
      <c r="B4755" t="inlineStr">
        <is>
          <t>2018-08-06</t>
        </is>
      </c>
      <c r="C4755" t="inlineStr">
        <is>
          <t>2018-08</t>
        </is>
      </c>
      <c r="D4755" t="inlineStr">
        <is>
          <t>GO</t>
        </is>
      </c>
      <c r="E4755" t="inlineStr">
        <is>
          <t>small_appliances</t>
        </is>
      </c>
      <c r="F4755" t="n">
        <v>1</v>
      </c>
      <c r="G4755" t="n">
        <v>109.9</v>
      </c>
      <c r="H4755" t="n">
        <v>51.06</v>
      </c>
      <c r="I4755" t="inlineStr">
        <is>
          <t>credit_card</t>
        </is>
      </c>
      <c r="J4755" t="n">
        <v>10</v>
      </c>
      <c r="K4755" t="inlineStr">
        <is>
          <t>On Time</t>
        </is>
      </c>
      <c r="L4755" t="n">
        <v>5</v>
      </c>
      <c r="M4755">
        <f>VLOOKUP(D4755,State_Lookup!$A$2:$B$28,2,FALSE)</f>
        <v/>
      </c>
    </row>
    <row r="4756">
      <c r="A4756" t="inlineStr">
        <is>
          <t>991dc90330a54fbf3461dec5bf8226ec</t>
        </is>
      </c>
      <c r="B4756" t="inlineStr">
        <is>
          <t>2018-08-06</t>
        </is>
      </c>
      <c r="C4756" t="inlineStr">
        <is>
          <t>2018-08</t>
        </is>
      </c>
      <c r="D4756" t="inlineStr">
        <is>
          <t>ES</t>
        </is>
      </c>
      <c r="E4756" t="inlineStr">
        <is>
          <t>toys</t>
        </is>
      </c>
      <c r="F4756" t="n">
        <v>1</v>
      </c>
      <c r="G4756" t="n">
        <v>113.1</v>
      </c>
      <c r="H4756" t="n">
        <v>18.89</v>
      </c>
      <c r="I4756" t="inlineStr">
        <is>
          <t>credit_card</t>
        </is>
      </c>
      <c r="J4756" t="inlineStr"/>
      <c r="K4756" t="inlineStr">
        <is>
          <t>Not Delivered</t>
        </is>
      </c>
      <c r="L4756" t="n">
        <v>1</v>
      </c>
      <c r="M4756">
        <f>VLOOKUP(D4756,State_Lookup!$A$2:$B$28,2,FALSE)</f>
        <v/>
      </c>
    </row>
    <row r="4757">
      <c r="A4757" t="inlineStr">
        <is>
          <t>2ce205c58fef8abc5963b6da38e4b2fe</t>
        </is>
      </c>
      <c r="B4757" t="inlineStr">
        <is>
          <t>2018-08-06</t>
        </is>
      </c>
      <c r="C4757" t="inlineStr">
        <is>
          <t>2018-08</t>
        </is>
      </c>
      <c r="D4757" t="inlineStr">
        <is>
          <t>RJ</t>
        </is>
      </c>
      <c r="E4757" t="inlineStr">
        <is>
          <t>computers_accessories</t>
        </is>
      </c>
      <c r="F4757" t="n">
        <v>1</v>
      </c>
      <c r="G4757" t="n">
        <v>169.9</v>
      </c>
      <c r="H4757" t="n">
        <v>14.4</v>
      </c>
      <c r="I4757" t="inlineStr">
        <is>
          <t>credit_card</t>
        </is>
      </c>
      <c r="J4757" t="n">
        <v>7</v>
      </c>
      <c r="K4757" t="inlineStr">
        <is>
          <t>On Time</t>
        </is>
      </c>
      <c r="L4757" t="n">
        <v>5</v>
      </c>
      <c r="M4757">
        <f>VLOOKUP(D4757,State_Lookup!$A$2:$B$28,2,FALSE)</f>
        <v/>
      </c>
    </row>
    <row r="4758">
      <c r="A4758" t="inlineStr">
        <is>
          <t>f98480aef384f1cb8d5b1e0e4816fd89</t>
        </is>
      </c>
      <c r="B4758" t="inlineStr">
        <is>
          <t>2018-08-06</t>
        </is>
      </c>
      <c r="C4758" t="inlineStr">
        <is>
          <t>2018-08</t>
        </is>
      </c>
      <c r="D4758" t="inlineStr">
        <is>
          <t>RJ</t>
        </is>
      </c>
      <c r="E4758" t="inlineStr">
        <is>
          <t>books_general_interest</t>
        </is>
      </c>
      <c r="F4758" t="n">
        <v>1</v>
      </c>
      <c r="G4758" t="n">
        <v>65.90000000000001</v>
      </c>
      <c r="H4758" t="n">
        <v>14.62</v>
      </c>
      <c r="I4758" t="inlineStr">
        <is>
          <t>credit_card</t>
        </is>
      </c>
      <c r="J4758" t="n">
        <v>3</v>
      </c>
      <c r="K4758" t="inlineStr">
        <is>
          <t>On Time</t>
        </is>
      </c>
      <c r="L4758" t="n">
        <v>5</v>
      </c>
      <c r="M4758">
        <f>VLOOKUP(D4758,State_Lookup!$A$2:$B$28,2,FALSE)</f>
        <v/>
      </c>
    </row>
    <row r="4759">
      <c r="A4759" t="inlineStr">
        <is>
          <t>57c38272c5be87d337e47ad5f1d88343</t>
        </is>
      </c>
      <c r="B4759" t="inlineStr">
        <is>
          <t>2018-08-06</t>
        </is>
      </c>
      <c r="C4759" t="inlineStr">
        <is>
          <t>2018-08</t>
        </is>
      </c>
      <c r="D4759" t="inlineStr">
        <is>
          <t>SC</t>
        </is>
      </c>
      <c r="E4759" t="inlineStr">
        <is>
          <t>sports_leisure</t>
        </is>
      </c>
      <c r="F4759" t="n">
        <v>1</v>
      </c>
      <c r="G4759" t="n">
        <v>190</v>
      </c>
      <c r="H4759" t="n">
        <v>24.13</v>
      </c>
      <c r="I4759" t="inlineStr">
        <is>
          <t>credit_card</t>
        </is>
      </c>
      <c r="J4759" t="n">
        <v>4</v>
      </c>
      <c r="K4759" t="inlineStr">
        <is>
          <t>On Time</t>
        </is>
      </c>
      <c r="L4759" t="n">
        <v>4</v>
      </c>
      <c r="M4759">
        <f>VLOOKUP(D4759,State_Lookup!$A$2:$B$28,2,FALSE)</f>
        <v/>
      </c>
    </row>
    <row r="4760">
      <c r="A4760" t="inlineStr">
        <is>
          <t>847e04c1fabd29748790e74c1430c603</t>
        </is>
      </c>
      <c r="B4760" t="inlineStr">
        <is>
          <t>2018-08-06</t>
        </is>
      </c>
      <c r="C4760" t="inlineStr">
        <is>
          <t>2018-08</t>
        </is>
      </c>
      <c r="D4760" t="inlineStr">
        <is>
          <t>RJ</t>
        </is>
      </c>
      <c r="E4760" t="inlineStr">
        <is>
          <t>health_beauty</t>
        </is>
      </c>
      <c r="F4760" t="n">
        <v>1</v>
      </c>
      <c r="G4760" t="n">
        <v>39.9</v>
      </c>
      <c r="H4760" t="n">
        <v>9.210000000000001</v>
      </c>
      <c r="I4760" t="inlineStr">
        <is>
          <t>voucher</t>
        </is>
      </c>
      <c r="J4760" t="inlineStr"/>
      <c r="K4760" t="inlineStr">
        <is>
          <t>Not Delivered</t>
        </is>
      </c>
      <c r="L4760" t="n">
        <v>1</v>
      </c>
      <c r="M4760">
        <f>VLOOKUP(D4760,State_Lookup!$A$2:$B$28,2,FALSE)</f>
        <v/>
      </c>
    </row>
    <row r="4761">
      <c r="A4761" t="inlineStr">
        <is>
          <t>aabd0a7ecf741520be60dc59fc6002ee</t>
        </is>
      </c>
      <c r="B4761" t="inlineStr">
        <is>
          <t>2018-08-06</t>
        </is>
      </c>
      <c r="C4761" t="inlineStr">
        <is>
          <t>2018-08</t>
        </is>
      </c>
      <c r="D4761" t="inlineStr">
        <is>
          <t>SP</t>
        </is>
      </c>
      <c r="E4761" t="inlineStr">
        <is>
          <t>auto</t>
        </is>
      </c>
      <c r="F4761" t="n">
        <v>1</v>
      </c>
      <c r="G4761" t="n">
        <v>46.99</v>
      </c>
      <c r="H4761" t="n">
        <v>9.08</v>
      </c>
      <c r="I4761" t="inlineStr">
        <is>
          <t>credit_card</t>
        </is>
      </c>
      <c r="J4761" t="n">
        <v>3</v>
      </c>
      <c r="K4761" t="inlineStr">
        <is>
          <t>Late</t>
        </is>
      </c>
      <c r="L4761" t="n">
        <v>5</v>
      </c>
      <c r="M4761">
        <f>VLOOKUP(D4761,State_Lookup!$A$2:$B$28,2,FALSE)</f>
        <v/>
      </c>
    </row>
    <row r="4762">
      <c r="A4762" t="inlineStr">
        <is>
          <t>494dfa139a38449b378d01cca4c0a6a0</t>
        </is>
      </c>
      <c r="B4762" t="inlineStr">
        <is>
          <t>2018-08-06</t>
        </is>
      </c>
      <c r="C4762" t="inlineStr">
        <is>
          <t>2018-08</t>
        </is>
      </c>
      <c r="D4762" t="inlineStr">
        <is>
          <t>RJ</t>
        </is>
      </c>
      <c r="E4762" t="inlineStr">
        <is>
          <t>construction_tools_construction</t>
        </is>
      </c>
      <c r="F4762" t="n">
        <v>1</v>
      </c>
      <c r="G4762" t="n">
        <v>91.59999999999999</v>
      </c>
      <c r="H4762" t="n">
        <v>59.87</v>
      </c>
      <c r="I4762" t="inlineStr">
        <is>
          <t>boleto</t>
        </is>
      </c>
      <c r="J4762" t="n">
        <v>7</v>
      </c>
      <c r="K4762" t="inlineStr">
        <is>
          <t>On Time</t>
        </is>
      </c>
      <c r="L4762" t="n">
        <v>5</v>
      </c>
      <c r="M4762">
        <f>VLOOKUP(D4762,State_Lookup!$A$2:$B$28,2,FALSE)</f>
        <v/>
      </c>
    </row>
    <row r="4763">
      <c r="A4763" t="inlineStr">
        <is>
          <t>f709f3fec102226ab1dce1018209b7ff</t>
        </is>
      </c>
      <c r="B4763" t="inlineStr">
        <is>
          <t>2018-08-06</t>
        </is>
      </c>
      <c r="C4763" t="inlineStr">
        <is>
          <t>2018-08</t>
        </is>
      </c>
      <c r="D4763" t="inlineStr">
        <is>
          <t>RJ</t>
        </is>
      </c>
      <c r="E4763" t="inlineStr">
        <is>
          <t>telephony</t>
        </is>
      </c>
      <c r="F4763" t="n">
        <v>1</v>
      </c>
      <c r="G4763" t="n">
        <v>170</v>
      </c>
      <c r="H4763" t="n">
        <v>21.46</v>
      </c>
      <c r="I4763" t="inlineStr">
        <is>
          <t>credit_card</t>
        </is>
      </c>
      <c r="J4763" t="n">
        <v>8</v>
      </c>
      <c r="K4763" t="inlineStr">
        <is>
          <t>On Time</t>
        </is>
      </c>
      <c r="L4763" t="n">
        <v>4</v>
      </c>
      <c r="M4763">
        <f>VLOOKUP(D4763,State_Lookup!$A$2:$B$28,2,FALSE)</f>
        <v/>
      </c>
    </row>
    <row r="4764">
      <c r="A4764" t="inlineStr">
        <is>
          <t>d2deb9270ebda7fd5dc5ff3b9a499a58</t>
        </is>
      </c>
      <c r="B4764" t="inlineStr">
        <is>
          <t>2018-08-07</t>
        </is>
      </c>
      <c r="C4764" t="inlineStr">
        <is>
          <t>2018-08</t>
        </is>
      </c>
      <c r="D4764" t="inlineStr">
        <is>
          <t>PR</t>
        </is>
      </c>
      <c r="E4764" t="inlineStr">
        <is>
          <t>musical_instruments</t>
        </is>
      </c>
      <c r="F4764" t="n">
        <v>1</v>
      </c>
      <c r="G4764" t="n">
        <v>169.9</v>
      </c>
      <c r="H4764" t="n">
        <v>19.29</v>
      </c>
      <c r="I4764" t="inlineStr">
        <is>
          <t>credit_card</t>
        </is>
      </c>
      <c r="J4764" t="n">
        <v>14</v>
      </c>
      <c r="K4764" t="inlineStr">
        <is>
          <t>On Time</t>
        </is>
      </c>
      <c r="L4764" t="n">
        <v>5</v>
      </c>
      <c r="M4764">
        <f>VLOOKUP(D4764,State_Lookup!$A$2:$B$28,2,FALSE)</f>
        <v/>
      </c>
    </row>
    <row r="4765">
      <c r="A4765" t="inlineStr">
        <is>
          <t>bfc9f97fc7ddacf8a3c33c4b2bd15a93</t>
        </is>
      </c>
      <c r="B4765" t="inlineStr">
        <is>
          <t>2018-08-07</t>
        </is>
      </c>
      <c r="C4765" t="inlineStr">
        <is>
          <t>2018-08</t>
        </is>
      </c>
      <c r="D4765" t="inlineStr">
        <is>
          <t>MG</t>
        </is>
      </c>
      <c r="E4765" t="inlineStr">
        <is>
          <t>bed_bath_table</t>
        </is>
      </c>
      <c r="F4765" t="n">
        <v>3</v>
      </c>
      <c r="G4765" t="n">
        <v>170.97</v>
      </c>
      <c r="H4765" t="n">
        <v>58.77</v>
      </c>
      <c r="I4765" t="inlineStr">
        <is>
          <t>credit_card</t>
        </is>
      </c>
      <c r="J4765" t="n">
        <v>6</v>
      </c>
      <c r="K4765" t="inlineStr">
        <is>
          <t>On Time</t>
        </is>
      </c>
      <c r="L4765" t="n">
        <v>1</v>
      </c>
      <c r="M4765">
        <f>VLOOKUP(D4765,State_Lookup!$A$2:$B$28,2,FALSE)</f>
        <v/>
      </c>
    </row>
    <row r="4766">
      <c r="A4766" t="inlineStr">
        <is>
          <t>8618c8cd264cece4218bfa403bdc4b14</t>
        </is>
      </c>
      <c r="B4766" t="inlineStr">
        <is>
          <t>2018-08-07</t>
        </is>
      </c>
      <c r="C4766" t="inlineStr">
        <is>
          <t>2018-08</t>
        </is>
      </c>
      <c r="D4766" t="inlineStr">
        <is>
          <t>PR</t>
        </is>
      </c>
      <c r="E4766" t="inlineStr">
        <is>
          <t>computers_accessories</t>
        </is>
      </c>
      <c r="F4766" t="n">
        <v>1</v>
      </c>
      <c r="G4766" t="n">
        <v>135</v>
      </c>
      <c r="H4766" t="n">
        <v>16.05</v>
      </c>
      <c r="I4766" t="inlineStr">
        <is>
          <t>boleto</t>
        </is>
      </c>
      <c r="J4766" t="n">
        <v>6</v>
      </c>
      <c r="K4766" t="inlineStr">
        <is>
          <t>On Time</t>
        </is>
      </c>
      <c r="L4766" t="n">
        <v>5</v>
      </c>
      <c r="M4766">
        <f>VLOOKUP(D4766,State_Lookup!$A$2:$B$28,2,FALSE)</f>
        <v/>
      </c>
    </row>
    <row r="4767">
      <c r="A4767" t="inlineStr">
        <is>
          <t>48f1b7e26f84f55846f1d003e3e6170c</t>
        </is>
      </c>
      <c r="B4767" t="inlineStr">
        <is>
          <t>2018-08-07</t>
        </is>
      </c>
      <c r="C4767" t="inlineStr">
        <is>
          <t>2018-08</t>
        </is>
      </c>
      <c r="D4767" t="inlineStr">
        <is>
          <t>SP</t>
        </is>
      </c>
      <c r="E4767" t="inlineStr">
        <is>
          <t>construction_tools_lights</t>
        </is>
      </c>
      <c r="F4767" t="n">
        <v>1</v>
      </c>
      <c r="G4767" t="n">
        <v>29.99</v>
      </c>
      <c r="H4767" t="n">
        <v>12.87</v>
      </c>
      <c r="I4767" t="inlineStr">
        <is>
          <t>boleto</t>
        </is>
      </c>
      <c r="J4767" t="n">
        <v>6</v>
      </c>
      <c r="K4767" t="inlineStr">
        <is>
          <t>On Time</t>
        </is>
      </c>
      <c r="L4767" t="n">
        <v>5</v>
      </c>
      <c r="M4767">
        <f>VLOOKUP(D4767,State_Lookup!$A$2:$B$28,2,FALSE)</f>
        <v/>
      </c>
    </row>
    <row r="4768">
      <c r="A4768" t="inlineStr">
        <is>
          <t>0dbd7242192102a62fc3677d4d42b5a1</t>
        </is>
      </c>
      <c r="B4768" t="inlineStr">
        <is>
          <t>2018-08-07</t>
        </is>
      </c>
      <c r="C4768" t="inlineStr">
        <is>
          <t>2018-08</t>
        </is>
      </c>
      <c r="D4768" t="inlineStr">
        <is>
          <t>PR</t>
        </is>
      </c>
      <c r="E4768" t="inlineStr">
        <is>
          <t>bed_bath_table</t>
        </is>
      </c>
      <c r="F4768" t="n">
        <v>1</v>
      </c>
      <c r="G4768" t="n">
        <v>59.9</v>
      </c>
      <c r="H4768" t="n">
        <v>11.91</v>
      </c>
      <c r="I4768" t="inlineStr">
        <is>
          <t>boleto</t>
        </is>
      </c>
      <c r="J4768" t="n">
        <v>2</v>
      </c>
      <c r="K4768" t="inlineStr">
        <is>
          <t>On Time</t>
        </is>
      </c>
      <c r="L4768" t="n">
        <v>5</v>
      </c>
      <c r="M4768">
        <f>VLOOKUP(D4768,State_Lookup!$A$2:$B$28,2,FALSE)</f>
        <v/>
      </c>
    </row>
    <row r="4769">
      <c r="A4769" t="inlineStr">
        <is>
          <t>63b560062bb9ccde4a2b9e9d26b39486</t>
        </is>
      </c>
      <c r="B4769" t="inlineStr">
        <is>
          <t>2018-08-07</t>
        </is>
      </c>
      <c r="C4769" t="inlineStr">
        <is>
          <t>2018-08</t>
        </is>
      </c>
      <c r="D4769" t="inlineStr">
        <is>
          <t>SP</t>
        </is>
      </c>
      <c r="E4769" t="inlineStr">
        <is>
          <t>watches_gifts</t>
        </is>
      </c>
      <c r="F4769" t="n">
        <v>1</v>
      </c>
      <c r="G4769" t="n">
        <v>189</v>
      </c>
      <c r="H4769" t="n">
        <v>8.58</v>
      </c>
      <c r="I4769" t="inlineStr">
        <is>
          <t>credit_card</t>
        </is>
      </c>
      <c r="J4769" t="n">
        <v>5</v>
      </c>
      <c r="K4769" t="inlineStr">
        <is>
          <t>Late</t>
        </is>
      </c>
      <c r="L4769" t="n">
        <v>4</v>
      </c>
      <c r="M4769">
        <f>VLOOKUP(D4769,State_Lookup!$A$2:$B$28,2,FALSE)</f>
        <v/>
      </c>
    </row>
    <row r="4770">
      <c r="A4770" t="inlineStr">
        <is>
          <t>63c3ce671d34493be2e342ac33a8249f</t>
        </is>
      </c>
      <c r="B4770" t="inlineStr">
        <is>
          <t>2018-08-07</t>
        </is>
      </c>
      <c r="C4770" t="inlineStr">
        <is>
          <t>2018-08</t>
        </is>
      </c>
      <c r="D4770" t="inlineStr">
        <is>
          <t>MG</t>
        </is>
      </c>
      <c r="E4770" t="inlineStr">
        <is>
          <t>auto</t>
        </is>
      </c>
      <c r="F4770" t="n">
        <v>1</v>
      </c>
      <c r="G4770" t="n">
        <v>98.7</v>
      </c>
      <c r="H4770" t="n">
        <v>18.79</v>
      </c>
      <c r="I4770" t="inlineStr">
        <is>
          <t>credit_card</t>
        </is>
      </c>
      <c r="J4770" t="n">
        <v>5</v>
      </c>
      <c r="K4770" t="inlineStr">
        <is>
          <t>On Time</t>
        </is>
      </c>
      <c r="L4770" t="n">
        <v>3</v>
      </c>
      <c r="M4770">
        <f>VLOOKUP(D4770,State_Lookup!$A$2:$B$28,2,FALSE)</f>
        <v/>
      </c>
    </row>
    <row r="4771">
      <c r="A4771" t="inlineStr">
        <is>
          <t>201164b89baf9300df72f328a6e5842e</t>
        </is>
      </c>
      <c r="B4771" t="inlineStr">
        <is>
          <t>2018-08-07</t>
        </is>
      </c>
      <c r="C4771" t="inlineStr">
        <is>
          <t>2018-08</t>
        </is>
      </c>
      <c r="D4771" t="inlineStr">
        <is>
          <t>RJ</t>
        </is>
      </c>
      <c r="E4771" t="inlineStr">
        <is>
          <t>bed_bath_table</t>
        </is>
      </c>
      <c r="F4771" t="n">
        <v>1</v>
      </c>
      <c r="G4771" t="n">
        <v>42.9</v>
      </c>
      <c r="H4771" t="n">
        <v>19.49</v>
      </c>
      <c r="I4771" t="inlineStr">
        <is>
          <t>voucher</t>
        </is>
      </c>
      <c r="J4771" t="n">
        <v>16</v>
      </c>
      <c r="K4771" t="inlineStr">
        <is>
          <t>Late</t>
        </is>
      </c>
      <c r="L4771" t="n">
        <v>1</v>
      </c>
      <c r="M4771">
        <f>VLOOKUP(D4771,State_Lookup!$A$2:$B$28,2,FALSE)</f>
        <v/>
      </c>
    </row>
    <row r="4772">
      <c r="A4772" t="inlineStr">
        <is>
          <t>64d23ea3d34bfe1b619e41c2ffef4803</t>
        </is>
      </c>
      <c r="B4772" t="inlineStr">
        <is>
          <t>2018-08-07</t>
        </is>
      </c>
      <c r="C4772" t="inlineStr">
        <is>
          <t>2018-08</t>
        </is>
      </c>
      <c r="D4772" t="inlineStr">
        <is>
          <t>MS</t>
        </is>
      </c>
      <c r="E4772" t="inlineStr">
        <is>
          <t>bed_bath_table</t>
        </is>
      </c>
      <c r="F4772" t="n">
        <v>1</v>
      </c>
      <c r="G4772" t="n">
        <v>19.9</v>
      </c>
      <c r="H4772" t="n">
        <v>18.24</v>
      </c>
      <c r="I4772" t="inlineStr">
        <is>
          <t>boleto</t>
        </is>
      </c>
      <c r="J4772" t="n">
        <v>21</v>
      </c>
      <c r="K4772" t="inlineStr">
        <is>
          <t>Late</t>
        </is>
      </c>
      <c r="L4772" t="n">
        <v>5</v>
      </c>
      <c r="M4772">
        <f>VLOOKUP(D4772,State_Lookup!$A$2:$B$28,2,FALSE)</f>
        <v/>
      </c>
    </row>
    <row r="4773">
      <c r="A4773" t="inlineStr">
        <is>
          <t>22e93d4515387496e3bd3cf6e8eca396</t>
        </is>
      </c>
      <c r="B4773" t="inlineStr">
        <is>
          <t>2018-08-07</t>
        </is>
      </c>
      <c r="C4773" t="inlineStr">
        <is>
          <t>2018-08</t>
        </is>
      </c>
      <c r="D4773" t="inlineStr">
        <is>
          <t>SP</t>
        </is>
      </c>
      <c r="E4773" t="inlineStr">
        <is>
          <t>food</t>
        </is>
      </c>
      <c r="F4773" t="n">
        <v>1</v>
      </c>
      <c r="G4773" t="n">
        <v>81.48999999999999</v>
      </c>
      <c r="H4773" t="n">
        <v>8.73</v>
      </c>
      <c r="I4773" t="inlineStr">
        <is>
          <t>credit_card</t>
        </is>
      </c>
      <c r="J4773" t="n">
        <v>7</v>
      </c>
      <c r="K4773" t="inlineStr">
        <is>
          <t>Late</t>
        </is>
      </c>
      <c r="L4773" t="n">
        <v>5</v>
      </c>
      <c r="M4773">
        <f>VLOOKUP(D4773,State_Lookup!$A$2:$B$28,2,FALSE)</f>
        <v/>
      </c>
    </row>
    <row r="4774">
      <c r="A4774" t="inlineStr">
        <is>
          <t>93ae3d70a721582a8c0a1d28d804f947</t>
        </is>
      </c>
      <c r="B4774" t="inlineStr">
        <is>
          <t>2018-08-07</t>
        </is>
      </c>
      <c r="C4774" t="inlineStr">
        <is>
          <t>2018-08</t>
        </is>
      </c>
      <c r="D4774" t="inlineStr">
        <is>
          <t>MG</t>
        </is>
      </c>
      <c r="E4774" t="inlineStr">
        <is>
          <t>luggage_accessories</t>
        </is>
      </c>
      <c r="F4774" t="n">
        <v>2</v>
      </c>
      <c r="G4774" t="n">
        <v>174.9</v>
      </c>
      <c r="H4774" t="n">
        <v>32.28</v>
      </c>
      <c r="I4774" t="inlineStr">
        <is>
          <t>credit_card</t>
        </is>
      </c>
      <c r="J4774" t="n">
        <v>2</v>
      </c>
      <c r="K4774" t="inlineStr">
        <is>
          <t>On Time</t>
        </is>
      </c>
      <c r="L4774" t="n">
        <v>2</v>
      </c>
      <c r="M4774">
        <f>VLOOKUP(D4774,State_Lookup!$A$2:$B$28,2,FALSE)</f>
        <v/>
      </c>
    </row>
    <row r="4775">
      <c r="A4775" t="inlineStr">
        <is>
          <t>5b4101f533b7c66611b649809ff634b1</t>
        </is>
      </c>
      <c r="B4775" t="inlineStr">
        <is>
          <t>2018-08-07</t>
        </is>
      </c>
      <c r="C4775" t="inlineStr">
        <is>
          <t>2018-08</t>
        </is>
      </c>
      <c r="D4775" t="inlineStr">
        <is>
          <t>RJ</t>
        </is>
      </c>
      <c r="E4775" t="inlineStr">
        <is>
          <t>bed_bath_table</t>
        </is>
      </c>
      <c r="F4775" t="n">
        <v>2</v>
      </c>
      <c r="G4775" t="n">
        <v>84</v>
      </c>
      <c r="H4775" t="n">
        <v>38.49</v>
      </c>
      <c r="I4775" t="inlineStr">
        <is>
          <t>credit_card</t>
        </is>
      </c>
      <c r="J4775" t="n">
        <v>6</v>
      </c>
      <c r="K4775" t="inlineStr">
        <is>
          <t>On Time</t>
        </is>
      </c>
      <c r="L4775" t="n">
        <v>1</v>
      </c>
      <c r="M4775">
        <f>VLOOKUP(D4775,State_Lookup!$A$2:$B$28,2,FALSE)</f>
        <v/>
      </c>
    </row>
    <row r="4776">
      <c r="A4776" t="inlineStr">
        <is>
          <t>6b9aa78b4ae64ba1d10964b1a15b5989</t>
        </is>
      </c>
      <c r="B4776" t="inlineStr">
        <is>
          <t>2018-08-07</t>
        </is>
      </c>
      <c r="C4776" t="inlineStr">
        <is>
          <t>2018-08</t>
        </is>
      </c>
      <c r="D4776" t="inlineStr">
        <is>
          <t>SP</t>
        </is>
      </c>
      <c r="E4776" t="inlineStr">
        <is>
          <t>fashion_bags_accessories</t>
        </is>
      </c>
      <c r="F4776" t="n">
        <v>1</v>
      </c>
      <c r="G4776" t="n">
        <v>96.8</v>
      </c>
      <c r="H4776" t="n">
        <v>14.98</v>
      </c>
      <c r="I4776" t="inlineStr">
        <is>
          <t>boleto</t>
        </is>
      </c>
      <c r="J4776" t="n">
        <v>8</v>
      </c>
      <c r="K4776" t="inlineStr">
        <is>
          <t>On Time</t>
        </is>
      </c>
      <c r="L4776" t="n">
        <v>5</v>
      </c>
      <c r="M4776">
        <f>VLOOKUP(D4776,State_Lookup!$A$2:$B$28,2,FALSE)</f>
        <v/>
      </c>
    </row>
    <row r="4777">
      <c r="A4777" t="inlineStr">
        <is>
          <t>ac046246a304e47bb50a9c923430aa55</t>
        </is>
      </c>
      <c r="B4777" t="inlineStr">
        <is>
          <t>2018-08-07</t>
        </is>
      </c>
      <c r="C4777" t="inlineStr">
        <is>
          <t>2018-08</t>
        </is>
      </c>
      <c r="D4777" t="inlineStr">
        <is>
          <t>RS</t>
        </is>
      </c>
      <c r="E4777" t="inlineStr">
        <is>
          <t>sports_leisure</t>
        </is>
      </c>
      <c r="F4777" t="n">
        <v>1</v>
      </c>
      <c r="G4777" t="n">
        <v>69.90000000000001</v>
      </c>
      <c r="H4777" t="n">
        <v>19.68</v>
      </c>
      <c r="I4777" t="inlineStr">
        <is>
          <t>credit_card</t>
        </is>
      </c>
      <c r="J4777" t="n">
        <v>8</v>
      </c>
      <c r="K4777" t="inlineStr">
        <is>
          <t>On Time</t>
        </is>
      </c>
      <c r="L4777" t="n">
        <v>5</v>
      </c>
      <c r="M4777">
        <f>VLOOKUP(D4777,State_Lookup!$A$2:$B$28,2,FALSE)</f>
        <v/>
      </c>
    </row>
    <row r="4778">
      <c r="A4778" t="inlineStr">
        <is>
          <t>a8aa1455a58ed250938c0f20158244a8</t>
        </is>
      </c>
      <c r="B4778" t="inlineStr">
        <is>
          <t>2018-08-07</t>
        </is>
      </c>
      <c r="C4778" t="inlineStr">
        <is>
          <t>2018-08</t>
        </is>
      </c>
      <c r="D4778" t="inlineStr">
        <is>
          <t>RS</t>
        </is>
      </c>
      <c r="E4778" t="inlineStr">
        <is>
          <t>office_furniture</t>
        </is>
      </c>
      <c r="F4778" t="n">
        <v>1</v>
      </c>
      <c r="G4778" t="n">
        <v>345.6</v>
      </c>
      <c r="H4778" t="n">
        <v>37.77</v>
      </c>
      <c r="I4778" t="inlineStr">
        <is>
          <t>boleto</t>
        </is>
      </c>
      <c r="J4778" t="n">
        <v>7</v>
      </c>
      <c r="K4778" t="inlineStr">
        <is>
          <t>On Time</t>
        </is>
      </c>
      <c r="L4778" t="n">
        <v>5</v>
      </c>
      <c r="M4778">
        <f>VLOOKUP(D4778,State_Lookup!$A$2:$B$28,2,FALSE)</f>
        <v/>
      </c>
    </row>
    <row r="4779">
      <c r="A4779" t="inlineStr">
        <is>
          <t>6a0725621168540d5200cba214d6ebe7</t>
        </is>
      </c>
      <c r="B4779" t="inlineStr">
        <is>
          <t>2018-08-07</t>
        </is>
      </c>
      <c r="C4779" t="inlineStr">
        <is>
          <t>2018-08</t>
        </is>
      </c>
      <c r="D4779" t="inlineStr">
        <is>
          <t>SP</t>
        </is>
      </c>
      <c r="E4779" t="inlineStr">
        <is>
          <t>stationery</t>
        </is>
      </c>
      <c r="F4779" t="n">
        <v>1</v>
      </c>
      <c r="G4779" t="n">
        <v>98.90000000000001</v>
      </c>
      <c r="H4779" t="n">
        <v>16.96</v>
      </c>
      <c r="I4779" t="inlineStr">
        <is>
          <t>boleto</t>
        </is>
      </c>
      <c r="J4779" t="n">
        <v>2</v>
      </c>
      <c r="K4779" t="inlineStr">
        <is>
          <t>On Time</t>
        </is>
      </c>
      <c r="L4779" t="n">
        <v>5</v>
      </c>
      <c r="M4779">
        <f>VLOOKUP(D4779,State_Lookup!$A$2:$B$28,2,FALSE)</f>
        <v/>
      </c>
    </row>
    <row r="4780">
      <c r="A4780" t="inlineStr">
        <is>
          <t>5ec17d5853c4bad3b18adb6778b3ac0d</t>
        </is>
      </c>
      <c r="B4780" t="inlineStr">
        <is>
          <t>2018-08-07</t>
        </is>
      </c>
      <c r="C4780" t="inlineStr">
        <is>
          <t>2018-08</t>
        </is>
      </c>
      <c r="D4780" t="inlineStr">
        <is>
          <t>SP</t>
        </is>
      </c>
      <c r="E4780" t="inlineStr">
        <is>
          <t>health_beauty</t>
        </is>
      </c>
      <c r="F4780" t="n">
        <v>2</v>
      </c>
      <c r="G4780" t="n">
        <v>220.64</v>
      </c>
      <c r="H4780" t="n">
        <v>16.06</v>
      </c>
      <c r="I4780" t="inlineStr">
        <is>
          <t>credit_card</t>
        </is>
      </c>
      <c r="J4780" t="n">
        <v>8</v>
      </c>
      <c r="K4780" t="inlineStr">
        <is>
          <t>Late</t>
        </is>
      </c>
      <c r="L4780" t="n">
        <v>5</v>
      </c>
      <c r="M4780">
        <f>VLOOKUP(D4780,State_Lookup!$A$2:$B$28,2,FALSE)</f>
        <v/>
      </c>
    </row>
    <row r="4781">
      <c r="A4781" t="inlineStr">
        <is>
          <t>e97c5fb2b1ca5b5fd19f2c910a274e33</t>
        </is>
      </c>
      <c r="B4781" t="inlineStr">
        <is>
          <t>2018-08-07</t>
        </is>
      </c>
      <c r="C4781" t="inlineStr">
        <is>
          <t>2018-08</t>
        </is>
      </c>
      <c r="D4781" t="inlineStr">
        <is>
          <t>SP</t>
        </is>
      </c>
      <c r="E4781" t="inlineStr">
        <is>
          <t>bed_bath_table</t>
        </is>
      </c>
      <c r="F4781" t="n">
        <v>1</v>
      </c>
      <c r="G4781" t="n">
        <v>68.90000000000001</v>
      </c>
      <c r="H4781" t="n">
        <v>14.06</v>
      </c>
      <c r="I4781" t="inlineStr">
        <is>
          <t>boleto</t>
        </is>
      </c>
      <c r="J4781" t="n">
        <v>6</v>
      </c>
      <c r="K4781" t="inlineStr">
        <is>
          <t>On Time</t>
        </is>
      </c>
      <c r="L4781" t="n">
        <v>5</v>
      </c>
      <c r="M4781">
        <f>VLOOKUP(D4781,State_Lookup!$A$2:$B$28,2,FALSE)</f>
        <v/>
      </c>
    </row>
    <row r="4782">
      <c r="A4782" t="inlineStr">
        <is>
          <t>0eb9e3204a220fb573180f4e6cd1c63a</t>
        </is>
      </c>
      <c r="B4782" t="inlineStr">
        <is>
          <t>2018-08-08</t>
        </is>
      </c>
      <c r="C4782" t="inlineStr">
        <is>
          <t>2018-08</t>
        </is>
      </c>
      <c r="D4782" t="inlineStr">
        <is>
          <t>DF</t>
        </is>
      </c>
      <c r="E4782" t="inlineStr">
        <is>
          <t>garden_tools</t>
        </is>
      </c>
      <c r="F4782" t="n">
        <v>1</v>
      </c>
      <c r="G4782" t="n">
        <v>13.99</v>
      </c>
      <c r="H4782" t="n">
        <v>18.23</v>
      </c>
      <c r="I4782" t="inlineStr">
        <is>
          <t>credit_card</t>
        </is>
      </c>
      <c r="J4782" t="n">
        <v>5</v>
      </c>
      <c r="K4782" t="inlineStr">
        <is>
          <t>On Time</t>
        </is>
      </c>
      <c r="L4782" t="n">
        <v>5</v>
      </c>
      <c r="M4782">
        <f>VLOOKUP(D4782,State_Lookup!$A$2:$B$28,2,FALSE)</f>
        <v/>
      </c>
    </row>
    <row r="4783">
      <c r="A4783" t="inlineStr">
        <is>
          <t>b55ed7407eb340d0db40dfb2759c756a</t>
        </is>
      </c>
      <c r="B4783" t="inlineStr">
        <is>
          <t>2018-08-08</t>
        </is>
      </c>
      <c r="C4783" t="inlineStr">
        <is>
          <t>2018-08</t>
        </is>
      </c>
      <c r="D4783" t="inlineStr">
        <is>
          <t>MG</t>
        </is>
      </c>
      <c r="E4783" t="inlineStr">
        <is>
          <t>home_construction</t>
        </is>
      </c>
      <c r="F4783" t="n">
        <v>1</v>
      </c>
      <c r="G4783" t="n">
        <v>21.7</v>
      </c>
      <c r="H4783" t="n">
        <v>19.34</v>
      </c>
      <c r="I4783" t="inlineStr">
        <is>
          <t>credit_card</t>
        </is>
      </c>
      <c r="J4783" t="n">
        <v>6</v>
      </c>
      <c r="K4783" t="inlineStr">
        <is>
          <t>On Time</t>
        </is>
      </c>
      <c r="L4783" t="n">
        <v>5</v>
      </c>
      <c r="M4783">
        <f>VLOOKUP(D4783,State_Lookup!$A$2:$B$28,2,FALSE)</f>
        <v/>
      </c>
    </row>
    <row r="4784">
      <c r="A4784" t="inlineStr">
        <is>
          <t>91681be83015c5760383644518e80ec6</t>
        </is>
      </c>
      <c r="B4784" t="inlineStr">
        <is>
          <t>2018-08-08</t>
        </is>
      </c>
      <c r="C4784" t="inlineStr">
        <is>
          <t>2018-08</t>
        </is>
      </c>
      <c r="D4784" t="inlineStr">
        <is>
          <t>PB</t>
        </is>
      </c>
      <c r="E4784" t="inlineStr">
        <is>
          <t>telephony</t>
        </is>
      </c>
      <c r="F4784" t="n">
        <v>1</v>
      </c>
      <c r="G4784" t="n">
        <v>219</v>
      </c>
      <c r="H4784" t="n">
        <v>18.46</v>
      </c>
      <c r="I4784" t="inlineStr">
        <is>
          <t>credit_card</t>
        </is>
      </c>
      <c r="J4784" t="n">
        <v>19</v>
      </c>
      <c r="K4784" t="inlineStr">
        <is>
          <t>On Time</t>
        </is>
      </c>
      <c r="L4784" t="n">
        <v>2</v>
      </c>
      <c r="M4784">
        <f>VLOOKUP(D4784,State_Lookup!$A$2:$B$28,2,FALSE)</f>
        <v/>
      </c>
    </row>
    <row r="4785">
      <c r="A4785" t="inlineStr">
        <is>
          <t>2f9615837f509124f0c936dbd93855ac</t>
        </is>
      </c>
      <c r="B4785" t="inlineStr">
        <is>
          <t>2018-08-08</t>
        </is>
      </c>
      <c r="C4785" t="inlineStr">
        <is>
          <t>2018-08</t>
        </is>
      </c>
      <c r="D4785" t="inlineStr">
        <is>
          <t>SP</t>
        </is>
      </c>
      <c r="E4785" t="inlineStr">
        <is>
          <t>bed_bath_table</t>
        </is>
      </c>
      <c r="F4785" t="n">
        <v>1</v>
      </c>
      <c r="G4785" t="n">
        <v>69</v>
      </c>
      <c r="H4785" t="n">
        <v>14.79</v>
      </c>
      <c r="I4785" t="inlineStr">
        <is>
          <t>credit_card</t>
        </is>
      </c>
      <c r="J4785" t="n">
        <v>5</v>
      </c>
      <c r="K4785" t="inlineStr">
        <is>
          <t>On Time</t>
        </is>
      </c>
      <c r="L4785" t="n">
        <v>5</v>
      </c>
      <c r="M4785">
        <f>VLOOKUP(D4785,State_Lookup!$A$2:$B$28,2,FALSE)</f>
        <v/>
      </c>
    </row>
    <row r="4786">
      <c r="A4786" t="inlineStr">
        <is>
          <t>63cb9481eda48b82bb600b4e38026b91</t>
        </is>
      </c>
      <c r="B4786" t="inlineStr">
        <is>
          <t>2018-08-08</t>
        </is>
      </c>
      <c r="C4786" t="inlineStr">
        <is>
          <t>2018-08</t>
        </is>
      </c>
      <c r="D4786" t="inlineStr">
        <is>
          <t>SP</t>
        </is>
      </c>
      <c r="E4786" t="inlineStr">
        <is>
          <t>construction_tools_lights</t>
        </is>
      </c>
      <c r="F4786" t="n">
        <v>1</v>
      </c>
      <c r="G4786" t="n">
        <v>119</v>
      </c>
      <c r="H4786" t="n">
        <v>15.14</v>
      </c>
      <c r="I4786" t="inlineStr">
        <is>
          <t>credit_card</t>
        </is>
      </c>
      <c r="J4786" t="n">
        <v>5</v>
      </c>
      <c r="K4786" t="inlineStr">
        <is>
          <t>On Time</t>
        </is>
      </c>
      <c r="L4786" t="n">
        <v>5</v>
      </c>
      <c r="M4786">
        <f>VLOOKUP(D4786,State_Lookup!$A$2:$B$28,2,FALSE)</f>
        <v/>
      </c>
    </row>
    <row r="4787">
      <c r="A4787" t="inlineStr">
        <is>
          <t>b4e819d2c22097406ce41f19df19d9a1</t>
        </is>
      </c>
      <c r="B4787" t="inlineStr">
        <is>
          <t>2018-08-08</t>
        </is>
      </c>
      <c r="C4787" t="inlineStr">
        <is>
          <t>2018-08</t>
        </is>
      </c>
      <c r="D4787" t="inlineStr">
        <is>
          <t>BA</t>
        </is>
      </c>
      <c r="E4787" t="inlineStr">
        <is>
          <t>housewares</t>
        </is>
      </c>
      <c r="F4787" t="n">
        <v>1</v>
      </c>
      <c r="G4787" t="n">
        <v>71.40000000000001</v>
      </c>
      <c r="H4787" t="n">
        <v>22.43</v>
      </c>
      <c r="I4787" t="inlineStr">
        <is>
          <t>debit_card</t>
        </is>
      </c>
      <c r="J4787" t="n">
        <v>8</v>
      </c>
      <c r="K4787" t="inlineStr">
        <is>
          <t>On Time</t>
        </is>
      </c>
      <c r="L4787" t="n">
        <v>4</v>
      </c>
      <c r="M4787">
        <f>VLOOKUP(D4787,State_Lookup!$A$2:$B$28,2,FALSE)</f>
        <v/>
      </c>
    </row>
    <row r="4788">
      <c r="A4788" t="inlineStr">
        <is>
          <t>0e1ab5408ec0c9ece6adcbb661b3a901</t>
        </is>
      </c>
      <c r="B4788" t="inlineStr">
        <is>
          <t>2018-08-08</t>
        </is>
      </c>
      <c r="C4788" t="inlineStr">
        <is>
          <t>2018-08</t>
        </is>
      </c>
      <c r="D4788" t="inlineStr">
        <is>
          <t>SP</t>
        </is>
      </c>
      <c r="E4788" t="inlineStr">
        <is>
          <t>furniture_decor</t>
        </is>
      </c>
      <c r="F4788" t="n">
        <v>1</v>
      </c>
      <c r="G4788" t="n">
        <v>189</v>
      </c>
      <c r="H4788" t="n">
        <v>53.67</v>
      </c>
      <c r="I4788" t="inlineStr">
        <is>
          <t>credit_card</t>
        </is>
      </c>
      <c r="J4788" t="n">
        <v>9</v>
      </c>
      <c r="K4788" t="inlineStr">
        <is>
          <t>On Time</t>
        </is>
      </c>
      <c r="L4788" t="n">
        <v>3</v>
      </c>
      <c r="M4788">
        <f>VLOOKUP(D4788,State_Lookup!$A$2:$B$28,2,FALSE)</f>
        <v/>
      </c>
    </row>
    <row r="4789">
      <c r="A4789" t="inlineStr">
        <is>
          <t>0616b1a248556f0f4c5aea97beb0729a</t>
        </is>
      </c>
      <c r="B4789" t="inlineStr">
        <is>
          <t>2018-08-08</t>
        </is>
      </c>
      <c r="C4789" t="inlineStr">
        <is>
          <t>2018-08</t>
        </is>
      </c>
      <c r="D4789" t="inlineStr">
        <is>
          <t>SP</t>
        </is>
      </c>
      <c r="E4789" t="inlineStr">
        <is>
          <t>health_beauty</t>
        </is>
      </c>
      <c r="F4789" t="n">
        <v>1</v>
      </c>
      <c r="G4789" t="n">
        <v>149.65</v>
      </c>
      <c r="H4789" t="n">
        <v>18.99</v>
      </c>
      <c r="I4789" t="inlineStr">
        <is>
          <t>credit_card</t>
        </is>
      </c>
      <c r="J4789" t="n">
        <v>11</v>
      </c>
      <c r="K4789" t="inlineStr">
        <is>
          <t>On Time</t>
        </is>
      </c>
      <c r="L4789" t="n">
        <v>5</v>
      </c>
      <c r="M4789">
        <f>VLOOKUP(D4789,State_Lookup!$A$2:$B$28,2,FALSE)</f>
        <v/>
      </c>
    </row>
    <row r="4790">
      <c r="A4790" t="inlineStr">
        <is>
          <t>c8519a6f2d214cfedb5803e64f8dab15</t>
        </is>
      </c>
      <c r="B4790" t="inlineStr">
        <is>
          <t>2018-08-08</t>
        </is>
      </c>
      <c r="C4790" t="inlineStr">
        <is>
          <t>2018-08</t>
        </is>
      </c>
      <c r="D4790" t="inlineStr">
        <is>
          <t>SP</t>
        </is>
      </c>
      <c r="E4790" t="inlineStr">
        <is>
          <t>housewares</t>
        </is>
      </c>
      <c r="F4790" t="n">
        <v>1</v>
      </c>
      <c r="G4790" t="n">
        <v>199</v>
      </c>
      <c r="H4790" t="n">
        <v>45.38</v>
      </c>
      <c r="I4790" t="inlineStr">
        <is>
          <t>boleto</t>
        </is>
      </c>
      <c r="J4790" t="n">
        <v>7</v>
      </c>
      <c r="K4790" t="inlineStr">
        <is>
          <t>On Time</t>
        </is>
      </c>
      <c r="L4790" t="n">
        <v>5</v>
      </c>
      <c r="M4790">
        <f>VLOOKUP(D4790,State_Lookup!$A$2:$B$28,2,FALSE)</f>
        <v/>
      </c>
    </row>
    <row r="4791">
      <c r="A4791" t="inlineStr">
        <is>
          <t>e23b204f4817055fedf12a5a5c27b360</t>
        </is>
      </c>
      <c r="B4791" t="inlineStr">
        <is>
          <t>2018-08-08</t>
        </is>
      </c>
      <c r="C4791" t="inlineStr">
        <is>
          <t>2018-08</t>
        </is>
      </c>
      <c r="D4791" t="inlineStr">
        <is>
          <t>SP</t>
        </is>
      </c>
      <c r="E4791" t="inlineStr">
        <is>
          <t>pet_shop</t>
        </is>
      </c>
      <c r="F4791" t="n">
        <v>1</v>
      </c>
      <c r="G4791" t="n">
        <v>42.99</v>
      </c>
      <c r="H4791" t="n">
        <v>13.88</v>
      </c>
      <c r="I4791" t="inlineStr">
        <is>
          <t>credit_card</t>
        </is>
      </c>
      <c r="J4791" t="n">
        <v>4</v>
      </c>
      <c r="K4791" t="inlineStr">
        <is>
          <t>On Time</t>
        </is>
      </c>
      <c r="L4791" t="n">
        <v>4</v>
      </c>
      <c r="M4791">
        <f>VLOOKUP(D4791,State_Lookup!$A$2:$B$28,2,FALSE)</f>
        <v/>
      </c>
    </row>
    <row r="4792">
      <c r="A4792" t="inlineStr">
        <is>
          <t>20fc41b5546587400e8ef6a97936ed06</t>
        </is>
      </c>
      <c r="B4792" t="inlineStr">
        <is>
          <t>2018-08-08</t>
        </is>
      </c>
      <c r="C4792" t="inlineStr">
        <is>
          <t>2018-08</t>
        </is>
      </c>
      <c r="D4792" t="inlineStr">
        <is>
          <t>SP</t>
        </is>
      </c>
      <c r="E4792" t="inlineStr">
        <is>
          <t>computers_accessories</t>
        </is>
      </c>
      <c r="F4792" t="n">
        <v>1</v>
      </c>
      <c r="G4792" t="n">
        <v>149.9</v>
      </c>
      <c r="H4792" t="n">
        <v>23.77</v>
      </c>
      <c r="I4792" t="inlineStr">
        <is>
          <t>boleto</t>
        </is>
      </c>
      <c r="J4792" t="n">
        <v>5</v>
      </c>
      <c r="K4792" t="inlineStr">
        <is>
          <t>On Time</t>
        </is>
      </c>
      <c r="L4792" t="n">
        <v>5</v>
      </c>
      <c r="M4792">
        <f>VLOOKUP(D4792,State_Lookup!$A$2:$B$28,2,FALSE)</f>
        <v/>
      </c>
    </row>
    <row r="4793">
      <c r="A4793" t="inlineStr">
        <is>
          <t>5c097b2906957e90e5958008194041ba</t>
        </is>
      </c>
      <c r="B4793" t="inlineStr">
        <is>
          <t>2018-08-08</t>
        </is>
      </c>
      <c r="C4793" t="inlineStr">
        <is>
          <t>2018-08</t>
        </is>
      </c>
      <c r="D4793" t="inlineStr">
        <is>
          <t>SP</t>
        </is>
      </c>
      <c r="E4793" t="inlineStr">
        <is>
          <t>bed_bath_table</t>
        </is>
      </c>
      <c r="F4793" t="n">
        <v>1</v>
      </c>
      <c r="G4793" t="n">
        <v>69.90000000000001</v>
      </c>
      <c r="H4793" t="n">
        <v>18.29</v>
      </c>
      <c r="I4793" t="inlineStr">
        <is>
          <t>boleto</t>
        </is>
      </c>
      <c r="J4793" t="n">
        <v>8</v>
      </c>
      <c r="K4793" t="inlineStr">
        <is>
          <t>On Time</t>
        </is>
      </c>
      <c r="L4793" t="n">
        <v>5</v>
      </c>
      <c r="M4793">
        <f>VLOOKUP(D4793,State_Lookup!$A$2:$B$28,2,FALSE)</f>
        <v/>
      </c>
    </row>
    <row r="4794">
      <c r="A4794" t="inlineStr">
        <is>
          <t>f060d1eeb07c0294f897df1ff19d4b99</t>
        </is>
      </c>
      <c r="B4794" t="inlineStr">
        <is>
          <t>2018-08-08</t>
        </is>
      </c>
      <c r="C4794" t="inlineStr">
        <is>
          <t>2018-08</t>
        </is>
      </c>
      <c r="D4794" t="inlineStr">
        <is>
          <t>BA</t>
        </is>
      </c>
      <c r="E4794" t="inlineStr">
        <is>
          <t>pet_shop</t>
        </is>
      </c>
      <c r="F4794" t="n">
        <v>1</v>
      </c>
      <c r="G4794" t="n">
        <v>94.90000000000001</v>
      </c>
      <c r="H4794" t="n">
        <v>23.81</v>
      </c>
      <c r="I4794" t="inlineStr">
        <is>
          <t>credit_card</t>
        </is>
      </c>
      <c r="J4794" t="n">
        <v>13</v>
      </c>
      <c r="K4794" t="inlineStr">
        <is>
          <t>On Time</t>
        </is>
      </c>
      <c r="L4794" t="n">
        <v>5</v>
      </c>
      <c r="M4794">
        <f>VLOOKUP(D4794,State_Lookup!$A$2:$B$28,2,FALSE)</f>
        <v/>
      </c>
    </row>
    <row r="4795">
      <c r="A4795" t="inlineStr">
        <is>
          <t>dcb97cff5ad47d9a584ac61d5b857f41</t>
        </is>
      </c>
      <c r="B4795" t="inlineStr">
        <is>
          <t>2018-08-08</t>
        </is>
      </c>
      <c r="C4795" t="inlineStr">
        <is>
          <t>2018-08</t>
        </is>
      </c>
      <c r="D4795" t="inlineStr">
        <is>
          <t>SP</t>
        </is>
      </c>
      <c r="E4795" t="inlineStr">
        <is>
          <t>bed_bath_table</t>
        </is>
      </c>
      <c r="F4795" t="n">
        <v>2</v>
      </c>
      <c r="G4795" t="n">
        <v>133.1</v>
      </c>
      <c r="H4795" t="n">
        <v>29.56</v>
      </c>
      <c r="I4795" t="inlineStr">
        <is>
          <t>credit_card</t>
        </is>
      </c>
      <c r="J4795" t="n">
        <v>12</v>
      </c>
      <c r="K4795" t="inlineStr">
        <is>
          <t>Late</t>
        </is>
      </c>
      <c r="L4795" t="n">
        <v>5</v>
      </c>
      <c r="M4795">
        <f>VLOOKUP(D4795,State_Lookup!$A$2:$B$28,2,FALSE)</f>
        <v/>
      </c>
    </row>
    <row r="4796">
      <c r="A4796" t="inlineStr">
        <is>
          <t>9146c78cd5cb5e53ee985a7feb72e76f</t>
        </is>
      </c>
      <c r="B4796" t="inlineStr">
        <is>
          <t>2018-08-08</t>
        </is>
      </c>
      <c r="C4796" t="inlineStr">
        <is>
          <t>2018-08</t>
        </is>
      </c>
      <c r="D4796" t="inlineStr">
        <is>
          <t>SP</t>
        </is>
      </c>
      <c r="E4796" t="inlineStr">
        <is>
          <t>bed_bath_table</t>
        </is>
      </c>
      <c r="F4796" t="n">
        <v>1</v>
      </c>
      <c r="G4796" t="n">
        <v>114.9</v>
      </c>
      <c r="H4796" t="n">
        <v>15.11</v>
      </c>
      <c r="I4796" t="inlineStr">
        <is>
          <t>credit_card</t>
        </is>
      </c>
      <c r="J4796" t="n">
        <v>6</v>
      </c>
      <c r="K4796" t="inlineStr">
        <is>
          <t>On Time</t>
        </is>
      </c>
      <c r="L4796" t="n">
        <v>5</v>
      </c>
      <c r="M4796">
        <f>VLOOKUP(D4796,State_Lookup!$A$2:$B$28,2,FALSE)</f>
        <v/>
      </c>
    </row>
    <row r="4797">
      <c r="A4797" t="inlineStr">
        <is>
          <t>659abef602b62c08e71dbc6892a5cffd</t>
        </is>
      </c>
      <c r="B4797" t="inlineStr">
        <is>
          <t>2018-08-08</t>
        </is>
      </c>
      <c r="C4797" t="inlineStr">
        <is>
          <t>2018-08</t>
        </is>
      </c>
      <c r="D4797" t="inlineStr">
        <is>
          <t>SP</t>
        </is>
      </c>
      <c r="E4797" t="inlineStr">
        <is>
          <t>consoles_games</t>
        </is>
      </c>
      <c r="F4797" t="n">
        <v>1</v>
      </c>
      <c r="G4797" t="n">
        <v>75</v>
      </c>
      <c r="H4797" t="n">
        <v>13.19</v>
      </c>
      <c r="I4797" t="inlineStr">
        <is>
          <t>boleto</t>
        </is>
      </c>
      <c r="J4797" t="n">
        <v>8</v>
      </c>
      <c r="K4797" t="inlineStr">
        <is>
          <t>On Time</t>
        </is>
      </c>
      <c r="L4797" t="n">
        <v>4</v>
      </c>
      <c r="M4797">
        <f>VLOOKUP(D4797,State_Lookup!$A$2:$B$28,2,FALSE)</f>
        <v/>
      </c>
    </row>
    <row r="4798">
      <c r="A4798" t="inlineStr">
        <is>
          <t>1124e4ebba42a10ac32ef40dd8dd6475</t>
        </is>
      </c>
      <c r="B4798" t="inlineStr">
        <is>
          <t>2018-08-08</t>
        </is>
      </c>
      <c r="C4798" t="inlineStr">
        <is>
          <t>2018-08</t>
        </is>
      </c>
      <c r="D4798" t="inlineStr">
        <is>
          <t>SP</t>
        </is>
      </c>
      <c r="E4798" t="inlineStr">
        <is>
          <t>bed_bath_table</t>
        </is>
      </c>
      <c r="F4798" t="n">
        <v>1</v>
      </c>
      <c r="G4798" t="n">
        <v>39</v>
      </c>
      <c r="H4798" t="n">
        <v>13.85</v>
      </c>
      <c r="I4798" t="inlineStr">
        <is>
          <t>credit_card</t>
        </is>
      </c>
      <c r="J4798" t="n">
        <v>6</v>
      </c>
      <c r="K4798" t="inlineStr">
        <is>
          <t>On Time</t>
        </is>
      </c>
      <c r="L4798" t="n">
        <v>5</v>
      </c>
      <c r="M4798">
        <f>VLOOKUP(D4798,State_Lookup!$A$2:$B$28,2,FALSE)</f>
        <v/>
      </c>
    </row>
    <row r="4799">
      <c r="A4799" t="inlineStr">
        <is>
          <t>ad1c343f53639ad550761c2653c191b0</t>
        </is>
      </c>
      <c r="B4799" t="inlineStr">
        <is>
          <t>2018-08-08</t>
        </is>
      </c>
      <c r="C4799" t="inlineStr">
        <is>
          <t>2018-08</t>
        </is>
      </c>
      <c r="D4799" t="inlineStr">
        <is>
          <t>MG</t>
        </is>
      </c>
      <c r="E4799" t="inlineStr">
        <is>
          <t>home_construction</t>
        </is>
      </c>
      <c r="F4799" t="n">
        <v>1</v>
      </c>
      <c r="G4799" t="n">
        <v>150</v>
      </c>
      <c r="H4799" t="n">
        <v>42.03</v>
      </c>
      <c r="I4799" t="inlineStr">
        <is>
          <t>credit_card</t>
        </is>
      </c>
      <c r="J4799" t="n">
        <v>14</v>
      </c>
      <c r="K4799" t="inlineStr">
        <is>
          <t>On Time</t>
        </is>
      </c>
      <c r="L4799" t="n">
        <v>5</v>
      </c>
      <c r="M4799">
        <f>VLOOKUP(D4799,State_Lookup!$A$2:$B$28,2,FALSE)</f>
        <v/>
      </c>
    </row>
    <row r="4800">
      <c r="A4800" t="inlineStr">
        <is>
          <t>c82a457d646f77c8f151e12a3e517ed2</t>
        </is>
      </c>
      <c r="B4800" t="inlineStr">
        <is>
          <t>2018-08-08</t>
        </is>
      </c>
      <c r="C4800" t="inlineStr">
        <is>
          <t>2018-08</t>
        </is>
      </c>
      <c r="D4800" t="inlineStr">
        <is>
          <t>SP</t>
        </is>
      </c>
      <c r="E4800" t="inlineStr">
        <is>
          <t>perfumery</t>
        </is>
      </c>
      <c r="F4800" t="n">
        <v>1</v>
      </c>
      <c r="G4800" t="n">
        <v>136.78</v>
      </c>
      <c r="H4800" t="n">
        <v>8.220000000000001</v>
      </c>
      <c r="I4800" t="inlineStr">
        <is>
          <t>credit_card</t>
        </is>
      </c>
      <c r="J4800" t="n">
        <v>6</v>
      </c>
      <c r="K4800" t="inlineStr">
        <is>
          <t>Late</t>
        </is>
      </c>
      <c r="L4800" t="n">
        <v>5</v>
      </c>
      <c r="M4800">
        <f>VLOOKUP(D4800,State_Lookup!$A$2:$B$28,2,FALSE)</f>
        <v/>
      </c>
    </row>
    <row r="4801">
      <c r="A4801" t="inlineStr">
        <is>
          <t>bd9437912c7f33aee54e576b86b3a276</t>
        </is>
      </c>
      <c r="B4801" t="inlineStr">
        <is>
          <t>2018-08-08</t>
        </is>
      </c>
      <c r="C4801" t="inlineStr">
        <is>
          <t>2018-08</t>
        </is>
      </c>
      <c r="D4801" t="inlineStr">
        <is>
          <t>SP</t>
        </is>
      </c>
      <c r="E4801" t="inlineStr">
        <is>
          <t>home_appliances_2</t>
        </is>
      </c>
      <c r="F4801" t="n">
        <v>1</v>
      </c>
      <c r="G4801" t="n">
        <v>795</v>
      </c>
      <c r="H4801" t="n">
        <v>63.65</v>
      </c>
      <c r="I4801" t="inlineStr">
        <is>
          <t>credit_card</t>
        </is>
      </c>
      <c r="J4801" t="n">
        <v>9</v>
      </c>
      <c r="K4801" t="inlineStr">
        <is>
          <t>On Time</t>
        </is>
      </c>
      <c r="L4801" t="n">
        <v>1</v>
      </c>
      <c r="M4801">
        <f>VLOOKUP(D4801,State_Lookup!$A$2:$B$28,2,FALSE)</f>
        <v/>
      </c>
    </row>
    <row r="4802">
      <c r="A4802" t="inlineStr">
        <is>
          <t>82ee69216f11b23e2d21d2796e079366</t>
        </is>
      </c>
      <c r="B4802" t="inlineStr">
        <is>
          <t>2018-08-08</t>
        </is>
      </c>
      <c r="C4802" t="inlineStr">
        <is>
          <t>2018-08</t>
        </is>
      </c>
      <c r="D4802" t="inlineStr">
        <is>
          <t>BA</t>
        </is>
      </c>
      <c r="E4802" t="inlineStr">
        <is>
          <t>computers</t>
        </is>
      </c>
      <c r="F4802" t="n">
        <v>1</v>
      </c>
      <c r="G4802" t="n">
        <v>650</v>
      </c>
      <c r="H4802" t="n">
        <v>42.94</v>
      </c>
      <c r="I4802" t="inlineStr">
        <is>
          <t>credit_card</t>
        </is>
      </c>
      <c r="J4802" t="n">
        <v>9</v>
      </c>
      <c r="K4802" t="inlineStr">
        <is>
          <t>On Time</t>
        </is>
      </c>
      <c r="L4802" t="n">
        <v>5</v>
      </c>
      <c r="M4802">
        <f>VLOOKUP(D4802,State_Lookup!$A$2:$B$28,2,FALSE)</f>
        <v/>
      </c>
    </row>
    <row r="4803">
      <c r="A4803" t="inlineStr">
        <is>
          <t>bd4408025e544757842c962993ff7104</t>
        </is>
      </c>
      <c r="B4803" t="inlineStr">
        <is>
          <t>2018-08-08</t>
        </is>
      </c>
      <c r="C4803" t="inlineStr">
        <is>
          <t>2018-08</t>
        </is>
      </c>
      <c r="D4803" t="inlineStr">
        <is>
          <t>ES</t>
        </is>
      </c>
      <c r="E4803" t="inlineStr">
        <is>
          <t>perfumery</t>
        </is>
      </c>
      <c r="F4803" t="n">
        <v>1</v>
      </c>
      <c r="G4803" t="n">
        <v>179.9</v>
      </c>
      <c r="H4803" t="n">
        <v>16.36</v>
      </c>
      <c r="I4803" t="inlineStr">
        <is>
          <t>credit_card</t>
        </is>
      </c>
      <c r="J4803" t="n">
        <v>7</v>
      </c>
      <c r="K4803" t="inlineStr">
        <is>
          <t>On Time</t>
        </is>
      </c>
      <c r="L4803" t="n">
        <v>5</v>
      </c>
      <c r="M4803">
        <f>VLOOKUP(D4803,State_Lookup!$A$2:$B$28,2,FALSE)</f>
        <v/>
      </c>
    </row>
    <row r="4804">
      <c r="A4804" t="inlineStr">
        <is>
          <t>428964e746cbd974ac94be994a5c17c6</t>
        </is>
      </c>
      <c r="B4804" t="inlineStr">
        <is>
          <t>2018-08-09</t>
        </is>
      </c>
      <c r="C4804" t="inlineStr">
        <is>
          <t>2018-08</t>
        </is>
      </c>
      <c r="D4804" t="inlineStr">
        <is>
          <t>DF</t>
        </is>
      </c>
      <c r="E4804" t="inlineStr">
        <is>
          <t>sports_leisure</t>
        </is>
      </c>
      <c r="F4804" t="n">
        <v>1</v>
      </c>
      <c r="G4804" t="n">
        <v>49.9</v>
      </c>
      <c r="H4804" t="n">
        <v>15.45</v>
      </c>
      <c r="I4804" t="inlineStr">
        <is>
          <t>credit_card</t>
        </is>
      </c>
      <c r="J4804" t="n">
        <v>11</v>
      </c>
      <c r="K4804" t="inlineStr">
        <is>
          <t>On Time</t>
        </is>
      </c>
      <c r="L4804" t="n">
        <v>5</v>
      </c>
      <c r="M4804">
        <f>VLOOKUP(D4804,State_Lookup!$A$2:$B$28,2,FALSE)</f>
        <v/>
      </c>
    </row>
    <row r="4805">
      <c r="A4805" t="inlineStr">
        <is>
          <t>8d6f70397db05604f0f4ccca7e376f12</t>
        </is>
      </c>
      <c r="B4805" t="inlineStr">
        <is>
          <t>2018-08-09</t>
        </is>
      </c>
      <c r="C4805" t="inlineStr">
        <is>
          <t>2018-08</t>
        </is>
      </c>
      <c r="D4805" t="inlineStr">
        <is>
          <t>SP</t>
        </is>
      </c>
      <c r="E4805" t="inlineStr">
        <is>
          <t>computers_accessories</t>
        </is>
      </c>
      <c r="F4805" t="n">
        <v>1</v>
      </c>
      <c r="G4805" t="n">
        <v>6.5</v>
      </c>
      <c r="H4805" t="n">
        <v>7.39</v>
      </c>
      <c r="I4805" t="inlineStr">
        <is>
          <t>credit_card</t>
        </is>
      </c>
      <c r="J4805" t="n">
        <v>4</v>
      </c>
      <c r="K4805" t="inlineStr">
        <is>
          <t>On Time</t>
        </is>
      </c>
      <c r="L4805" t="n">
        <v>1</v>
      </c>
      <c r="M4805">
        <f>VLOOKUP(D4805,State_Lookup!$A$2:$B$28,2,FALSE)</f>
        <v/>
      </c>
    </row>
    <row r="4806">
      <c r="A4806" t="inlineStr">
        <is>
          <t>830c7606efcb798e1bacdc56247dc134</t>
        </is>
      </c>
      <c r="B4806" t="inlineStr">
        <is>
          <t>2018-08-09</t>
        </is>
      </c>
      <c r="C4806" t="inlineStr">
        <is>
          <t>2018-08</t>
        </is>
      </c>
      <c r="D4806" t="inlineStr">
        <is>
          <t>SP</t>
        </is>
      </c>
      <c r="E4806" t="inlineStr">
        <is>
          <t>unknown</t>
        </is>
      </c>
      <c r="F4806" t="n">
        <v>2</v>
      </c>
      <c r="G4806" t="n">
        <v>84.89</v>
      </c>
      <c r="H4806" t="n">
        <v>32.9</v>
      </c>
      <c r="I4806" t="inlineStr">
        <is>
          <t>boleto</t>
        </is>
      </c>
      <c r="J4806" t="n">
        <v>4</v>
      </c>
      <c r="K4806" t="inlineStr">
        <is>
          <t>On Time</t>
        </is>
      </c>
      <c r="L4806" t="n">
        <v>5</v>
      </c>
      <c r="M4806">
        <f>VLOOKUP(D4806,State_Lookup!$A$2:$B$28,2,FALSE)</f>
        <v/>
      </c>
    </row>
    <row r="4807">
      <c r="A4807" t="inlineStr">
        <is>
          <t>079c9f53e6c3253320db701a645b0b9a</t>
        </is>
      </c>
      <c r="B4807" t="inlineStr">
        <is>
          <t>2018-08-09</t>
        </is>
      </c>
      <c r="C4807" t="inlineStr">
        <is>
          <t>2018-08</t>
        </is>
      </c>
      <c r="D4807" t="inlineStr">
        <is>
          <t>MG</t>
        </is>
      </c>
      <c r="E4807" t="inlineStr">
        <is>
          <t>health_beauty</t>
        </is>
      </c>
      <c r="F4807" t="n">
        <v>1</v>
      </c>
      <c r="G4807" t="n">
        <v>84.3</v>
      </c>
      <c r="H4807" t="n">
        <v>13.93</v>
      </c>
      <c r="I4807" t="inlineStr">
        <is>
          <t>credit_card</t>
        </is>
      </c>
      <c r="J4807" t="n">
        <v>6</v>
      </c>
      <c r="K4807" t="inlineStr">
        <is>
          <t>On Time</t>
        </is>
      </c>
      <c r="L4807" t="n">
        <v>5</v>
      </c>
      <c r="M4807">
        <f>VLOOKUP(D4807,State_Lookup!$A$2:$B$28,2,FALSE)</f>
        <v/>
      </c>
    </row>
    <row r="4808">
      <c r="A4808" t="inlineStr">
        <is>
          <t>226e0396e8ace4776eaf471b2d6abf89</t>
        </is>
      </c>
      <c r="B4808" t="inlineStr">
        <is>
          <t>2018-08-09</t>
        </is>
      </c>
      <c r="C4808" t="inlineStr">
        <is>
          <t>2018-08</t>
        </is>
      </c>
      <c r="D4808" t="inlineStr">
        <is>
          <t>RJ</t>
        </is>
      </c>
      <c r="E4808" t="inlineStr">
        <is>
          <t>drinks</t>
        </is>
      </c>
      <c r="F4808" t="n">
        <v>1</v>
      </c>
      <c r="G4808" t="n">
        <v>34</v>
      </c>
      <c r="H4808" t="n">
        <v>19.43</v>
      </c>
      <c r="I4808" t="inlineStr">
        <is>
          <t>credit_card</t>
        </is>
      </c>
      <c r="J4808" t="n">
        <v>7</v>
      </c>
      <c r="K4808" t="inlineStr">
        <is>
          <t>On Time</t>
        </is>
      </c>
      <c r="L4808" t="n">
        <v>4</v>
      </c>
      <c r="M4808">
        <f>VLOOKUP(D4808,State_Lookup!$A$2:$B$28,2,FALSE)</f>
        <v/>
      </c>
    </row>
    <row r="4809">
      <c r="A4809" t="inlineStr">
        <is>
          <t>2421e957dc390d2f987c986a1683a757</t>
        </is>
      </c>
      <c r="B4809" t="inlineStr">
        <is>
          <t>2018-08-09</t>
        </is>
      </c>
      <c r="C4809" t="inlineStr">
        <is>
          <t>2018-08</t>
        </is>
      </c>
      <c r="D4809" t="inlineStr">
        <is>
          <t>RJ</t>
        </is>
      </c>
      <c r="E4809" t="inlineStr">
        <is>
          <t>sports_leisure</t>
        </is>
      </c>
      <c r="F4809" t="n">
        <v>1</v>
      </c>
      <c r="G4809" t="n">
        <v>109</v>
      </c>
      <c r="H4809" t="n">
        <v>19.95</v>
      </c>
      <c r="I4809" t="inlineStr">
        <is>
          <t>debit_card</t>
        </is>
      </c>
      <c r="J4809" t="n">
        <v>8</v>
      </c>
      <c r="K4809" t="inlineStr">
        <is>
          <t>On Time</t>
        </is>
      </c>
      <c r="L4809" t="n">
        <v>5</v>
      </c>
      <c r="M4809">
        <f>VLOOKUP(D4809,State_Lookup!$A$2:$B$28,2,FALSE)</f>
        <v/>
      </c>
    </row>
    <row r="4810">
      <c r="A4810" t="inlineStr">
        <is>
          <t>90e3ed5bc7c3104c5d7012e809f4b399</t>
        </is>
      </c>
      <c r="B4810" t="inlineStr">
        <is>
          <t>2018-08-09</t>
        </is>
      </c>
      <c r="C4810" t="inlineStr">
        <is>
          <t>2018-08</t>
        </is>
      </c>
      <c r="D4810" t="inlineStr">
        <is>
          <t>RS</t>
        </is>
      </c>
      <c r="E4810" t="inlineStr">
        <is>
          <t>cool_stuff</t>
        </is>
      </c>
      <c r="F4810" t="n">
        <v>1</v>
      </c>
      <c r="G4810" t="n">
        <v>95.90000000000001</v>
      </c>
      <c r="H4810" t="n">
        <v>18.77</v>
      </c>
      <c r="I4810" t="inlineStr">
        <is>
          <t>credit_card</t>
        </is>
      </c>
      <c r="J4810" t="n">
        <v>20</v>
      </c>
      <c r="K4810" t="inlineStr">
        <is>
          <t>On Time</t>
        </is>
      </c>
      <c r="L4810" t="n">
        <v>5</v>
      </c>
      <c r="M4810">
        <f>VLOOKUP(D4810,State_Lookup!$A$2:$B$28,2,FALSE)</f>
        <v/>
      </c>
    </row>
    <row r="4811">
      <c r="A4811" t="inlineStr">
        <is>
          <t>c9b08bd33d449366d3b89454a3071b98</t>
        </is>
      </c>
      <c r="B4811" t="inlineStr">
        <is>
          <t>2018-08-09</t>
        </is>
      </c>
      <c r="C4811" t="inlineStr">
        <is>
          <t>2018-08</t>
        </is>
      </c>
      <c r="D4811" t="inlineStr">
        <is>
          <t>SC</t>
        </is>
      </c>
      <c r="E4811" t="inlineStr">
        <is>
          <t>home_construction</t>
        </is>
      </c>
      <c r="F4811" t="n">
        <v>1</v>
      </c>
      <c r="G4811" t="n">
        <v>150</v>
      </c>
      <c r="H4811" t="n">
        <v>42.03</v>
      </c>
      <c r="I4811" t="inlineStr">
        <is>
          <t>credit_card</t>
        </is>
      </c>
      <c r="J4811" t="n">
        <v>6</v>
      </c>
      <c r="K4811" t="inlineStr">
        <is>
          <t>On Time</t>
        </is>
      </c>
      <c r="L4811" t="n">
        <v>4</v>
      </c>
      <c r="M4811">
        <f>VLOOKUP(D4811,State_Lookup!$A$2:$B$28,2,FALSE)</f>
        <v/>
      </c>
    </row>
    <row r="4812">
      <c r="A4812" t="inlineStr">
        <is>
          <t>84e18dccfd5aad7f91ef778c2aa0b959</t>
        </is>
      </c>
      <c r="B4812" t="inlineStr">
        <is>
          <t>2018-08-09</t>
        </is>
      </c>
      <c r="C4812" t="inlineStr">
        <is>
          <t>2018-08</t>
        </is>
      </c>
      <c r="D4812" t="inlineStr">
        <is>
          <t>SP</t>
        </is>
      </c>
      <c r="E4812" t="inlineStr">
        <is>
          <t>sports_leisure</t>
        </is>
      </c>
      <c r="F4812" t="n">
        <v>1</v>
      </c>
      <c r="G4812" t="n">
        <v>28.9</v>
      </c>
      <c r="H4812" t="n">
        <v>12.86</v>
      </c>
      <c r="I4812" t="inlineStr">
        <is>
          <t>credit_card</t>
        </is>
      </c>
      <c r="J4812" t="n">
        <v>6</v>
      </c>
      <c r="K4812" t="inlineStr">
        <is>
          <t>On Time</t>
        </is>
      </c>
      <c r="L4812" t="n">
        <v>4</v>
      </c>
      <c r="M4812">
        <f>VLOOKUP(D4812,State_Lookup!$A$2:$B$28,2,FALSE)</f>
        <v/>
      </c>
    </row>
    <row r="4813">
      <c r="A4813" t="inlineStr">
        <is>
          <t>b198ccd6b70f2462922861e8c5a571cf</t>
        </is>
      </c>
      <c r="B4813" t="inlineStr">
        <is>
          <t>2018-08-10</t>
        </is>
      </c>
      <c r="C4813" t="inlineStr">
        <is>
          <t>2018-08</t>
        </is>
      </c>
      <c r="D4813" t="inlineStr">
        <is>
          <t>MG</t>
        </is>
      </c>
      <c r="E4813" t="inlineStr">
        <is>
          <t>bed_bath_table</t>
        </is>
      </c>
      <c r="F4813" t="n">
        <v>1</v>
      </c>
      <c r="G4813" t="n">
        <v>432.3</v>
      </c>
      <c r="H4813" t="n">
        <v>69.62</v>
      </c>
      <c r="I4813" t="inlineStr">
        <is>
          <t>credit_card</t>
        </is>
      </c>
      <c r="J4813" t="n">
        <v>7</v>
      </c>
      <c r="K4813" t="inlineStr">
        <is>
          <t>On Time</t>
        </is>
      </c>
      <c r="L4813" t="n">
        <v>5</v>
      </c>
      <c r="M4813">
        <f>VLOOKUP(D4813,State_Lookup!$A$2:$B$28,2,FALSE)</f>
        <v/>
      </c>
    </row>
    <row r="4814">
      <c r="A4814" t="inlineStr">
        <is>
          <t>bfdc35e6060f9b6cd2227b660dfc3b70</t>
        </is>
      </c>
      <c r="B4814" t="inlineStr">
        <is>
          <t>2018-08-10</t>
        </is>
      </c>
      <c r="C4814" t="inlineStr">
        <is>
          <t>2018-08</t>
        </is>
      </c>
      <c r="D4814" t="inlineStr">
        <is>
          <t>SP</t>
        </is>
      </c>
      <c r="E4814" t="inlineStr">
        <is>
          <t>cool_stuff</t>
        </is>
      </c>
      <c r="F4814" t="n">
        <v>1</v>
      </c>
      <c r="G4814" t="n">
        <v>190</v>
      </c>
      <c r="H4814" t="n">
        <v>13.99</v>
      </c>
      <c r="I4814" t="inlineStr">
        <is>
          <t>boleto</t>
        </is>
      </c>
      <c r="J4814" t="n">
        <v>5</v>
      </c>
      <c r="K4814" t="inlineStr">
        <is>
          <t>On Time</t>
        </is>
      </c>
      <c r="L4814" t="n">
        <v>5</v>
      </c>
      <c r="M4814">
        <f>VLOOKUP(D4814,State_Lookup!$A$2:$B$28,2,FALSE)</f>
        <v/>
      </c>
    </row>
    <row r="4815">
      <c r="A4815" t="inlineStr">
        <is>
          <t>6be749c0e984143242faa174d084889f</t>
        </is>
      </c>
      <c r="B4815" t="inlineStr">
        <is>
          <t>2018-08-10</t>
        </is>
      </c>
      <c r="C4815" t="inlineStr">
        <is>
          <t>2018-08</t>
        </is>
      </c>
      <c r="D4815" t="inlineStr">
        <is>
          <t>PE</t>
        </is>
      </c>
      <c r="E4815" t="inlineStr">
        <is>
          <t>telephony</t>
        </is>
      </c>
      <c r="F4815" t="n">
        <v>1</v>
      </c>
      <c r="G4815" t="n">
        <v>199</v>
      </c>
      <c r="H4815" t="n">
        <v>24.54</v>
      </c>
      <c r="I4815" t="inlineStr">
        <is>
          <t>credit_card</t>
        </is>
      </c>
      <c r="J4815" t="n">
        <v>10</v>
      </c>
      <c r="K4815" t="inlineStr">
        <is>
          <t>On Time</t>
        </is>
      </c>
      <c r="L4815" t="n">
        <v>5</v>
      </c>
      <c r="M4815">
        <f>VLOOKUP(D4815,State_Lookup!$A$2:$B$28,2,FALSE)</f>
        <v/>
      </c>
    </row>
    <row r="4816">
      <c r="A4816" t="inlineStr">
        <is>
          <t>4ed418ef4e45eb8f9b22aee4366e9541</t>
        </is>
      </c>
      <c r="B4816" t="inlineStr">
        <is>
          <t>2018-08-10</t>
        </is>
      </c>
      <c r="C4816" t="inlineStr">
        <is>
          <t>2018-08</t>
        </is>
      </c>
      <c r="D4816" t="inlineStr">
        <is>
          <t>DF</t>
        </is>
      </c>
      <c r="E4816" t="inlineStr">
        <is>
          <t>bed_bath_table</t>
        </is>
      </c>
      <c r="F4816" t="n">
        <v>1</v>
      </c>
      <c r="G4816" t="n">
        <v>48.9</v>
      </c>
      <c r="H4816" t="n">
        <v>16.53</v>
      </c>
      <c r="I4816" t="inlineStr">
        <is>
          <t>voucher</t>
        </is>
      </c>
      <c r="J4816" t="n">
        <v>10</v>
      </c>
      <c r="K4816" t="inlineStr">
        <is>
          <t>On Time</t>
        </is>
      </c>
      <c r="L4816" t="n">
        <v>1</v>
      </c>
      <c r="M4816">
        <f>VLOOKUP(D4816,State_Lookup!$A$2:$B$28,2,FALSE)</f>
        <v/>
      </c>
    </row>
    <row r="4817">
      <c r="A4817" t="inlineStr">
        <is>
          <t>27caeec16809f9eba603825998e884a0</t>
        </is>
      </c>
      <c r="B4817" t="inlineStr">
        <is>
          <t>2018-08-10</t>
        </is>
      </c>
      <c r="C4817" t="inlineStr">
        <is>
          <t>2018-08</t>
        </is>
      </c>
      <c r="D4817" t="inlineStr">
        <is>
          <t>SP</t>
        </is>
      </c>
      <c r="E4817" t="inlineStr">
        <is>
          <t>stationery</t>
        </is>
      </c>
      <c r="F4817" t="n">
        <v>1</v>
      </c>
      <c r="G4817" t="n">
        <v>119</v>
      </c>
      <c r="H4817" t="n">
        <v>22.65</v>
      </c>
      <c r="I4817" t="inlineStr">
        <is>
          <t>credit_card</t>
        </is>
      </c>
      <c r="J4817" t="n">
        <v>10</v>
      </c>
      <c r="K4817" t="inlineStr">
        <is>
          <t>On Time</t>
        </is>
      </c>
      <c r="L4817" t="n">
        <v>5</v>
      </c>
      <c r="M4817">
        <f>VLOOKUP(D4817,State_Lookup!$A$2:$B$28,2,FALSE)</f>
        <v/>
      </c>
    </row>
    <row r="4818">
      <c r="A4818" t="inlineStr">
        <is>
          <t>ffdd767d77c3322d78b286b6e8ecaf15</t>
        </is>
      </c>
      <c r="B4818" t="inlineStr">
        <is>
          <t>2018-08-10</t>
        </is>
      </c>
      <c r="C4818" t="inlineStr">
        <is>
          <t>2018-08</t>
        </is>
      </c>
      <c r="D4818" t="inlineStr">
        <is>
          <t>SP</t>
        </is>
      </c>
      <c r="E4818" t="inlineStr">
        <is>
          <t>sports_leisure</t>
        </is>
      </c>
      <c r="F4818" t="n">
        <v>1</v>
      </c>
      <c r="G4818" t="n">
        <v>49.9</v>
      </c>
      <c r="H4818" t="n">
        <v>13.01</v>
      </c>
      <c r="I4818" t="inlineStr">
        <is>
          <t>credit_card</t>
        </is>
      </c>
      <c r="J4818" t="n">
        <v>7</v>
      </c>
      <c r="K4818" t="inlineStr">
        <is>
          <t>On Time</t>
        </is>
      </c>
      <c r="L4818" t="n">
        <v>5</v>
      </c>
      <c r="M4818">
        <f>VLOOKUP(D4818,State_Lookup!$A$2:$B$28,2,FALSE)</f>
        <v/>
      </c>
    </row>
    <row r="4819">
      <c r="A4819" t="inlineStr">
        <is>
          <t>818fffaae89ab44e0f2254ab0a2b560d</t>
        </is>
      </c>
      <c r="B4819" t="inlineStr">
        <is>
          <t>2018-08-10</t>
        </is>
      </c>
      <c r="C4819" t="inlineStr">
        <is>
          <t>2018-08</t>
        </is>
      </c>
      <c r="D4819" t="inlineStr">
        <is>
          <t>MG</t>
        </is>
      </c>
      <c r="E4819" t="inlineStr">
        <is>
          <t>sports_leisure</t>
        </is>
      </c>
      <c r="F4819" t="n">
        <v>1</v>
      </c>
      <c r="G4819" t="n">
        <v>11.2</v>
      </c>
      <c r="H4819" t="n">
        <v>22.06</v>
      </c>
      <c r="I4819" t="inlineStr">
        <is>
          <t>credit_card</t>
        </is>
      </c>
      <c r="J4819" t="n">
        <v>10</v>
      </c>
      <c r="K4819" t="inlineStr">
        <is>
          <t>On Time</t>
        </is>
      </c>
      <c r="L4819" t="n">
        <v>3</v>
      </c>
      <c r="M4819">
        <f>VLOOKUP(D4819,State_Lookup!$A$2:$B$28,2,FALSE)</f>
        <v/>
      </c>
    </row>
    <row r="4820">
      <c r="A4820" t="inlineStr">
        <is>
          <t>7a485479dbdf94502e471dbd3329a4e4</t>
        </is>
      </c>
      <c r="B4820" t="inlineStr">
        <is>
          <t>2018-08-10</t>
        </is>
      </c>
      <c r="C4820" t="inlineStr">
        <is>
          <t>2018-08</t>
        </is>
      </c>
      <c r="D4820" t="inlineStr">
        <is>
          <t>MG</t>
        </is>
      </c>
      <c r="E4820" t="inlineStr">
        <is>
          <t>health_beauty</t>
        </is>
      </c>
      <c r="F4820" t="n">
        <v>2</v>
      </c>
      <c r="G4820" t="n">
        <v>278</v>
      </c>
      <c r="H4820" t="n">
        <v>38.14</v>
      </c>
      <c r="I4820" t="inlineStr">
        <is>
          <t>credit_card</t>
        </is>
      </c>
      <c r="J4820" t="n">
        <v>17</v>
      </c>
      <c r="K4820" t="inlineStr">
        <is>
          <t>On Time</t>
        </is>
      </c>
      <c r="L4820" t="n">
        <v>2</v>
      </c>
      <c r="M4820">
        <f>VLOOKUP(D4820,State_Lookup!$A$2:$B$28,2,FALSE)</f>
        <v/>
      </c>
    </row>
    <row r="4821">
      <c r="A4821" t="inlineStr">
        <is>
          <t>2b9f8967c6489ea04357a9fc58740ae5</t>
        </is>
      </c>
      <c r="B4821" t="inlineStr">
        <is>
          <t>2018-08-10</t>
        </is>
      </c>
      <c r="C4821" t="inlineStr">
        <is>
          <t>2018-08</t>
        </is>
      </c>
      <c r="D4821" t="inlineStr">
        <is>
          <t>RJ</t>
        </is>
      </c>
      <c r="E4821" t="inlineStr">
        <is>
          <t>computers_accessories</t>
        </is>
      </c>
      <c r="F4821" t="n">
        <v>1</v>
      </c>
      <c r="G4821" t="n">
        <v>196</v>
      </c>
      <c r="H4821" t="n">
        <v>16.47</v>
      </c>
      <c r="I4821" t="inlineStr">
        <is>
          <t>credit_card</t>
        </is>
      </c>
      <c r="J4821" t="n">
        <v>17</v>
      </c>
      <c r="K4821" t="inlineStr">
        <is>
          <t>On Time</t>
        </is>
      </c>
      <c r="L4821" t="n">
        <v>3</v>
      </c>
      <c r="M4821">
        <f>VLOOKUP(D4821,State_Lookup!$A$2:$B$28,2,FALSE)</f>
        <v/>
      </c>
    </row>
    <row r="4822">
      <c r="A4822" t="inlineStr">
        <is>
          <t>3c18b2ddaa9cdf16188ac0ca3ad8dee4</t>
        </is>
      </c>
      <c r="B4822" t="inlineStr">
        <is>
          <t>2018-08-10</t>
        </is>
      </c>
      <c r="C4822" t="inlineStr">
        <is>
          <t>2018-08</t>
        </is>
      </c>
      <c r="D4822" t="inlineStr">
        <is>
          <t>SP</t>
        </is>
      </c>
      <c r="E4822" t="inlineStr">
        <is>
          <t>pet_shop</t>
        </is>
      </c>
      <c r="F4822" t="n">
        <v>1</v>
      </c>
      <c r="G4822" t="n">
        <v>129.99</v>
      </c>
      <c r="H4822" t="n">
        <v>14.55</v>
      </c>
      <c r="I4822" t="inlineStr">
        <is>
          <t>boleto</t>
        </is>
      </c>
      <c r="J4822" t="n">
        <v>7</v>
      </c>
      <c r="K4822" t="inlineStr">
        <is>
          <t>On Time</t>
        </is>
      </c>
      <c r="L4822" t="n">
        <v>5</v>
      </c>
      <c r="M4822">
        <f>VLOOKUP(D4822,State_Lookup!$A$2:$B$28,2,FALSE)</f>
        <v/>
      </c>
    </row>
    <row r="4823">
      <c r="A4823" t="inlineStr">
        <is>
          <t>477749bcfe4bc5261ca38dd7fad8859b</t>
        </is>
      </c>
      <c r="B4823" t="inlineStr">
        <is>
          <t>2018-08-10</t>
        </is>
      </c>
      <c r="C4823" t="inlineStr">
        <is>
          <t>2018-08</t>
        </is>
      </c>
      <c r="D4823" t="inlineStr">
        <is>
          <t>RJ</t>
        </is>
      </c>
      <c r="E4823" t="inlineStr">
        <is>
          <t>bed_bath_table</t>
        </is>
      </c>
      <c r="F4823" t="n">
        <v>1</v>
      </c>
      <c r="G4823" t="n">
        <v>79</v>
      </c>
      <c r="H4823" t="n">
        <v>27.5</v>
      </c>
      <c r="I4823" t="inlineStr">
        <is>
          <t>boleto</t>
        </is>
      </c>
      <c r="J4823" t="n">
        <v>7</v>
      </c>
      <c r="K4823" t="inlineStr">
        <is>
          <t>On Time</t>
        </is>
      </c>
      <c r="L4823" t="n">
        <v>3</v>
      </c>
      <c r="M4823">
        <f>VLOOKUP(D4823,State_Lookup!$A$2:$B$28,2,FALSE)</f>
        <v/>
      </c>
    </row>
    <row r="4824">
      <c r="A4824" t="inlineStr">
        <is>
          <t>ae68c99e963e1694453bacc5db91513d</t>
        </is>
      </c>
      <c r="B4824" t="inlineStr">
        <is>
          <t>2018-08-10</t>
        </is>
      </c>
      <c r="C4824" t="inlineStr">
        <is>
          <t>2018-08</t>
        </is>
      </c>
      <c r="D4824" t="inlineStr">
        <is>
          <t>RS</t>
        </is>
      </c>
      <c r="E4824" t="inlineStr">
        <is>
          <t>furniture_decor</t>
        </is>
      </c>
      <c r="F4824" t="n">
        <v>1</v>
      </c>
      <c r="G4824" t="n">
        <v>49</v>
      </c>
      <c r="H4824" t="n">
        <v>15.44</v>
      </c>
      <c r="I4824" t="inlineStr">
        <is>
          <t>boleto</t>
        </is>
      </c>
      <c r="J4824" t="n">
        <v>10</v>
      </c>
      <c r="K4824" t="inlineStr">
        <is>
          <t>On Time</t>
        </is>
      </c>
      <c r="L4824" t="n">
        <v>5</v>
      </c>
      <c r="M4824">
        <f>VLOOKUP(D4824,State_Lookup!$A$2:$B$28,2,FALSE)</f>
        <v/>
      </c>
    </row>
    <row r="4825">
      <c r="A4825" t="inlineStr">
        <is>
          <t>a77696c7b42da1121205a92ddae7b5c7</t>
        </is>
      </c>
      <c r="B4825" t="inlineStr">
        <is>
          <t>2018-08-10</t>
        </is>
      </c>
      <c r="C4825" t="inlineStr">
        <is>
          <t>2018-08</t>
        </is>
      </c>
      <c r="D4825" t="inlineStr">
        <is>
          <t>SP</t>
        </is>
      </c>
      <c r="E4825" t="inlineStr">
        <is>
          <t>electronics</t>
        </is>
      </c>
      <c r="F4825" t="n">
        <v>1</v>
      </c>
      <c r="G4825" t="n">
        <v>32.9</v>
      </c>
      <c r="H4825" t="n">
        <v>7.45</v>
      </c>
      <c r="I4825" t="inlineStr">
        <is>
          <t>credit_card</t>
        </is>
      </c>
      <c r="J4825" t="n">
        <v>4</v>
      </c>
      <c r="K4825" t="inlineStr">
        <is>
          <t>On Time</t>
        </is>
      </c>
      <c r="L4825" t="n">
        <v>3</v>
      </c>
      <c r="M4825">
        <f>VLOOKUP(D4825,State_Lookup!$A$2:$B$28,2,FALSE)</f>
        <v/>
      </c>
    </row>
    <row r="4826">
      <c r="A4826" t="inlineStr">
        <is>
          <t>397cda88cf14fa47dd00f8ce20346f25</t>
        </is>
      </c>
      <c r="B4826" t="inlineStr">
        <is>
          <t>2018-08-10</t>
        </is>
      </c>
      <c r="C4826" t="inlineStr">
        <is>
          <t>2018-08</t>
        </is>
      </c>
      <c r="D4826" t="inlineStr">
        <is>
          <t>SP</t>
        </is>
      </c>
      <c r="E4826" t="inlineStr">
        <is>
          <t>computers</t>
        </is>
      </c>
      <c r="F4826" t="n">
        <v>1</v>
      </c>
      <c r="G4826" t="n">
        <v>899</v>
      </c>
      <c r="H4826" t="n">
        <v>33.54</v>
      </c>
      <c r="I4826" t="inlineStr">
        <is>
          <t>boleto</t>
        </is>
      </c>
      <c r="J4826" t="n">
        <v>6</v>
      </c>
      <c r="K4826" t="inlineStr">
        <is>
          <t>Late</t>
        </is>
      </c>
      <c r="L4826" t="n">
        <v>4</v>
      </c>
      <c r="M4826">
        <f>VLOOKUP(D4826,State_Lookup!$A$2:$B$28,2,FALSE)</f>
        <v/>
      </c>
    </row>
    <row r="4827">
      <c r="A4827" t="inlineStr">
        <is>
          <t>f4929b75acb29f2ae641fdf4848b8ec2</t>
        </is>
      </c>
      <c r="B4827" t="inlineStr">
        <is>
          <t>2018-08-10</t>
        </is>
      </c>
      <c r="C4827" t="inlineStr">
        <is>
          <t>2018-08</t>
        </is>
      </c>
      <c r="D4827" t="inlineStr">
        <is>
          <t>SP</t>
        </is>
      </c>
      <c r="E4827" t="inlineStr">
        <is>
          <t>housewares</t>
        </is>
      </c>
      <c r="F4827" t="n">
        <v>1</v>
      </c>
      <c r="G4827" t="n">
        <v>399.9</v>
      </c>
      <c r="H4827" t="n">
        <v>93.61</v>
      </c>
      <c r="I4827" t="inlineStr">
        <is>
          <t>credit_card</t>
        </is>
      </c>
      <c r="J4827" t="n">
        <v>4</v>
      </c>
      <c r="K4827" t="inlineStr">
        <is>
          <t>On Time</t>
        </is>
      </c>
      <c r="L4827" t="n">
        <v>1</v>
      </c>
      <c r="M4827">
        <f>VLOOKUP(D4827,State_Lookup!$A$2:$B$28,2,FALSE)</f>
        <v/>
      </c>
    </row>
    <row r="4828">
      <c r="A4828" t="inlineStr">
        <is>
          <t>ab34db6c283d8f91f11773a52711c317</t>
        </is>
      </c>
      <c r="B4828" t="inlineStr">
        <is>
          <t>2018-08-10</t>
        </is>
      </c>
      <c r="C4828" t="inlineStr">
        <is>
          <t>2018-08</t>
        </is>
      </c>
      <c r="D4828" t="inlineStr">
        <is>
          <t>RJ</t>
        </is>
      </c>
      <c r="E4828" t="inlineStr">
        <is>
          <t>pet_shop</t>
        </is>
      </c>
      <c r="F4828" t="n">
        <v>1</v>
      </c>
      <c r="G4828" t="n">
        <v>168.99</v>
      </c>
      <c r="H4828" t="n">
        <v>8.6</v>
      </c>
      <c r="I4828" t="inlineStr">
        <is>
          <t>credit_card</t>
        </is>
      </c>
      <c r="J4828" t="n">
        <v>6</v>
      </c>
      <c r="K4828" t="inlineStr">
        <is>
          <t>On Time</t>
        </is>
      </c>
      <c r="L4828" t="n">
        <v>5</v>
      </c>
      <c r="M4828">
        <f>VLOOKUP(D4828,State_Lookup!$A$2:$B$28,2,FALSE)</f>
        <v/>
      </c>
    </row>
    <row r="4829">
      <c r="A4829" t="inlineStr">
        <is>
          <t>41cb41ef29a6cd8f633cac105998332f</t>
        </is>
      </c>
      <c r="B4829" t="inlineStr">
        <is>
          <t>2018-08-10</t>
        </is>
      </c>
      <c r="C4829" t="inlineStr">
        <is>
          <t>2018-08</t>
        </is>
      </c>
      <c r="D4829" t="inlineStr">
        <is>
          <t>PE</t>
        </is>
      </c>
      <c r="E4829" t="inlineStr">
        <is>
          <t>auto</t>
        </is>
      </c>
      <c r="F4829" t="n">
        <v>1</v>
      </c>
      <c r="G4829" t="n">
        <v>159</v>
      </c>
      <c r="H4829" t="n">
        <v>27.77</v>
      </c>
      <c r="I4829" t="inlineStr">
        <is>
          <t>boleto</t>
        </is>
      </c>
      <c r="J4829" t="n">
        <v>13</v>
      </c>
      <c r="K4829" t="inlineStr">
        <is>
          <t>On Time</t>
        </is>
      </c>
      <c r="L4829" t="n">
        <v>4</v>
      </c>
      <c r="M4829">
        <f>VLOOKUP(D4829,State_Lookup!$A$2:$B$28,2,FALSE)</f>
        <v/>
      </c>
    </row>
    <row r="4830">
      <c r="A4830" t="inlineStr">
        <is>
          <t>35bc592a16d6706d14d29f07ed1d13c1</t>
        </is>
      </c>
      <c r="B4830" t="inlineStr">
        <is>
          <t>2018-08-11</t>
        </is>
      </c>
      <c r="C4830" t="inlineStr">
        <is>
          <t>2018-08</t>
        </is>
      </c>
      <c r="D4830" t="inlineStr">
        <is>
          <t>RJ</t>
        </is>
      </c>
      <c r="E4830" t="inlineStr">
        <is>
          <t>health_beauty</t>
        </is>
      </c>
      <c r="F4830" t="n">
        <v>1</v>
      </c>
      <c r="G4830" t="n">
        <v>639</v>
      </c>
      <c r="H4830" t="n">
        <v>21.4</v>
      </c>
      <c r="I4830" t="inlineStr">
        <is>
          <t>credit_card</t>
        </is>
      </c>
      <c r="J4830" t="n">
        <v>11</v>
      </c>
      <c r="K4830" t="inlineStr">
        <is>
          <t>On Time</t>
        </is>
      </c>
      <c r="L4830" t="n">
        <v>5</v>
      </c>
      <c r="M4830">
        <f>VLOOKUP(D4830,State_Lookup!$A$2:$B$28,2,FALSE)</f>
        <v/>
      </c>
    </row>
    <row r="4831">
      <c r="A4831" t="inlineStr">
        <is>
          <t>c88935c0144ef18368420018e18f177a</t>
        </is>
      </c>
      <c r="B4831" t="inlineStr">
        <is>
          <t>2018-08-11</t>
        </is>
      </c>
      <c r="C4831" t="inlineStr">
        <is>
          <t>2018-08</t>
        </is>
      </c>
      <c r="D4831" t="inlineStr">
        <is>
          <t>PE</t>
        </is>
      </c>
      <c r="E4831" t="inlineStr">
        <is>
          <t>watches_gifts</t>
        </is>
      </c>
      <c r="F4831" t="n">
        <v>1</v>
      </c>
      <c r="G4831" t="n">
        <v>29</v>
      </c>
      <c r="H4831" t="n">
        <v>19.11</v>
      </c>
      <c r="I4831" t="inlineStr">
        <is>
          <t>credit_card</t>
        </is>
      </c>
      <c r="J4831" t="n">
        <v>15</v>
      </c>
      <c r="K4831" t="inlineStr">
        <is>
          <t>On Time</t>
        </is>
      </c>
      <c r="L4831" t="n">
        <v>3</v>
      </c>
      <c r="M4831">
        <f>VLOOKUP(D4831,State_Lookup!$A$2:$B$28,2,FALSE)</f>
        <v/>
      </c>
    </row>
    <row r="4832">
      <c r="A4832" t="inlineStr">
        <is>
          <t>30bf87367ed2e63f68bfb5aacdae279b</t>
        </is>
      </c>
      <c r="B4832" t="inlineStr">
        <is>
          <t>2018-08-11</t>
        </is>
      </c>
      <c r="C4832" t="inlineStr">
        <is>
          <t>2018-08</t>
        </is>
      </c>
      <c r="D4832" t="inlineStr">
        <is>
          <t>SP</t>
        </is>
      </c>
      <c r="E4832" t="inlineStr">
        <is>
          <t>bed_bath_table</t>
        </is>
      </c>
      <c r="F4832" t="n">
        <v>1</v>
      </c>
      <c r="G4832" t="n">
        <v>47.9</v>
      </c>
      <c r="H4832" t="n">
        <v>9.09</v>
      </c>
      <c r="I4832" t="inlineStr">
        <is>
          <t>credit_card</t>
        </is>
      </c>
      <c r="J4832" t="n">
        <v>3</v>
      </c>
      <c r="K4832" t="inlineStr">
        <is>
          <t>On Time</t>
        </is>
      </c>
      <c r="L4832" t="n">
        <v>5</v>
      </c>
      <c r="M4832">
        <f>VLOOKUP(D4832,State_Lookup!$A$2:$B$28,2,FALSE)</f>
        <v/>
      </c>
    </row>
    <row r="4833">
      <c r="A4833" t="inlineStr">
        <is>
          <t>4568a2bce4050c7579e898eca38f8833</t>
        </is>
      </c>
      <c r="B4833" t="inlineStr">
        <is>
          <t>2018-08-11</t>
        </is>
      </c>
      <c r="C4833" t="inlineStr">
        <is>
          <t>2018-08</t>
        </is>
      </c>
      <c r="D4833" t="inlineStr">
        <is>
          <t>RS</t>
        </is>
      </c>
      <c r="E4833" t="inlineStr">
        <is>
          <t>stationery</t>
        </is>
      </c>
      <c r="F4833" t="n">
        <v>1</v>
      </c>
      <c r="G4833" t="n">
        <v>39.9</v>
      </c>
      <c r="H4833" t="n">
        <v>15.38</v>
      </c>
      <c r="I4833" t="inlineStr">
        <is>
          <t>credit_card</t>
        </is>
      </c>
      <c r="J4833" t="n">
        <v>17</v>
      </c>
      <c r="K4833" t="inlineStr">
        <is>
          <t>On Time</t>
        </is>
      </c>
      <c r="L4833" t="n">
        <v>5</v>
      </c>
      <c r="M4833">
        <f>VLOOKUP(D4833,State_Lookup!$A$2:$B$28,2,FALSE)</f>
        <v/>
      </c>
    </row>
    <row r="4834">
      <c r="A4834" t="inlineStr">
        <is>
          <t>5b944386c869819d045c1388bb686124</t>
        </is>
      </c>
      <c r="B4834" t="inlineStr">
        <is>
          <t>2018-08-11</t>
        </is>
      </c>
      <c r="C4834" t="inlineStr">
        <is>
          <t>2018-08</t>
        </is>
      </c>
      <c r="D4834" t="inlineStr">
        <is>
          <t>SP</t>
        </is>
      </c>
      <c r="E4834" t="inlineStr">
        <is>
          <t>telephony</t>
        </is>
      </c>
      <c r="F4834" t="n">
        <v>1</v>
      </c>
      <c r="G4834" t="n">
        <v>24.99</v>
      </c>
      <c r="H4834" t="n">
        <v>7.44</v>
      </c>
      <c r="I4834" t="inlineStr">
        <is>
          <t>credit_card</t>
        </is>
      </c>
      <c r="J4834" t="n">
        <v>3</v>
      </c>
      <c r="K4834" t="inlineStr">
        <is>
          <t>On Time</t>
        </is>
      </c>
      <c r="L4834" t="n">
        <v>4</v>
      </c>
      <c r="M4834">
        <f>VLOOKUP(D4834,State_Lookup!$A$2:$B$28,2,FALSE)</f>
        <v/>
      </c>
    </row>
    <row r="4835">
      <c r="A4835" t="inlineStr">
        <is>
          <t>da737ef3ec9b9835b98345f6c155cdef</t>
        </is>
      </c>
      <c r="B4835" t="inlineStr">
        <is>
          <t>2018-08-11</t>
        </is>
      </c>
      <c r="C4835" t="inlineStr">
        <is>
          <t>2018-08</t>
        </is>
      </c>
      <c r="D4835" t="inlineStr">
        <is>
          <t>SP</t>
        </is>
      </c>
      <c r="E4835" t="inlineStr">
        <is>
          <t>watches_gifts</t>
        </is>
      </c>
      <c r="F4835" t="n">
        <v>3</v>
      </c>
      <c r="G4835" t="n">
        <v>159</v>
      </c>
      <c r="H4835" t="n">
        <v>22.89</v>
      </c>
      <c r="I4835" t="inlineStr">
        <is>
          <t>credit_card</t>
        </is>
      </c>
      <c r="J4835" t="n">
        <v>2</v>
      </c>
      <c r="K4835" t="inlineStr">
        <is>
          <t>On Time</t>
        </is>
      </c>
      <c r="L4835" t="n">
        <v>3</v>
      </c>
      <c r="M4835">
        <f>VLOOKUP(D4835,State_Lookup!$A$2:$B$28,2,FALSE)</f>
        <v/>
      </c>
    </row>
    <row r="4836">
      <c r="A4836" t="inlineStr">
        <is>
          <t>9b961b894e797f63622137ff7eb1c1af</t>
        </is>
      </c>
      <c r="B4836" t="inlineStr">
        <is>
          <t>2018-08-11</t>
        </is>
      </c>
      <c r="C4836" t="inlineStr">
        <is>
          <t>2018-08</t>
        </is>
      </c>
      <c r="D4836" t="inlineStr">
        <is>
          <t>MG</t>
        </is>
      </c>
      <c r="E4836" t="inlineStr">
        <is>
          <t>pet_shop</t>
        </is>
      </c>
      <c r="F4836" t="n">
        <v>1</v>
      </c>
      <c r="G4836" t="n">
        <v>1107</v>
      </c>
      <c r="H4836" t="n">
        <v>148.71</v>
      </c>
      <c r="I4836" t="inlineStr">
        <is>
          <t>credit_card</t>
        </is>
      </c>
      <c r="J4836" t="n">
        <v>9</v>
      </c>
      <c r="K4836" t="inlineStr">
        <is>
          <t>On Time</t>
        </is>
      </c>
      <c r="L4836" t="n">
        <v>5</v>
      </c>
      <c r="M4836">
        <f>VLOOKUP(D4836,State_Lookup!$A$2:$B$28,2,FALSE)</f>
        <v/>
      </c>
    </row>
    <row r="4837">
      <c r="A4837" t="inlineStr">
        <is>
          <t>248c46bb0e95b62198fe84442400b7f4</t>
        </is>
      </c>
      <c r="B4837" t="inlineStr">
        <is>
          <t>2018-08-11</t>
        </is>
      </c>
      <c r="C4837" t="inlineStr">
        <is>
          <t>2018-08</t>
        </is>
      </c>
      <c r="D4837" t="inlineStr">
        <is>
          <t>RJ</t>
        </is>
      </c>
      <c r="E4837" t="inlineStr">
        <is>
          <t>health_beauty</t>
        </is>
      </c>
      <c r="F4837" t="n">
        <v>1</v>
      </c>
      <c r="G4837" t="n">
        <v>150</v>
      </c>
      <c r="H4837" t="n">
        <v>18.85</v>
      </c>
      <c r="I4837" t="inlineStr">
        <is>
          <t>credit_card</t>
        </is>
      </c>
      <c r="J4837" t="n">
        <v>5</v>
      </c>
      <c r="K4837" t="inlineStr">
        <is>
          <t>On Time</t>
        </is>
      </c>
      <c r="L4837" t="n">
        <v>4</v>
      </c>
      <c r="M4837">
        <f>VLOOKUP(D4837,State_Lookup!$A$2:$B$28,2,FALSE)</f>
        <v/>
      </c>
    </row>
    <row r="4838">
      <c r="A4838" t="inlineStr">
        <is>
          <t>b89638c45bf1b7dcf3e47420ac9c9066</t>
        </is>
      </c>
      <c r="B4838" t="inlineStr">
        <is>
          <t>2018-08-11</t>
        </is>
      </c>
      <c r="C4838" t="inlineStr">
        <is>
          <t>2018-08</t>
        </is>
      </c>
      <c r="D4838" t="inlineStr">
        <is>
          <t>TO</t>
        </is>
      </c>
      <c r="E4838" t="inlineStr">
        <is>
          <t>watches_gifts</t>
        </is>
      </c>
      <c r="F4838" t="n">
        <v>1</v>
      </c>
      <c r="G4838" t="n">
        <v>126.9</v>
      </c>
      <c r="H4838" t="n">
        <v>51.61</v>
      </c>
      <c r="I4838" t="inlineStr">
        <is>
          <t>credit_card</t>
        </is>
      </c>
      <c r="J4838" t="n">
        <v>8</v>
      </c>
      <c r="K4838" t="inlineStr">
        <is>
          <t>On Time</t>
        </is>
      </c>
      <c r="L4838" t="n">
        <v>3</v>
      </c>
      <c r="M4838">
        <f>VLOOKUP(D4838,State_Lookup!$A$2:$B$28,2,FALSE)</f>
        <v/>
      </c>
    </row>
    <row r="4839">
      <c r="A4839" t="inlineStr">
        <is>
          <t>db0bd04c3beff2d041d364ce8d96b2f0</t>
        </is>
      </c>
      <c r="B4839" t="inlineStr">
        <is>
          <t>2018-08-12</t>
        </is>
      </c>
      <c r="C4839" t="inlineStr">
        <is>
          <t>2018-08</t>
        </is>
      </c>
      <c r="D4839" t="inlineStr">
        <is>
          <t>MG</t>
        </is>
      </c>
      <c r="E4839" t="inlineStr">
        <is>
          <t>perfumery</t>
        </is>
      </c>
      <c r="F4839" t="n">
        <v>1</v>
      </c>
      <c r="G4839" t="n">
        <v>455.88</v>
      </c>
      <c r="H4839" t="n">
        <v>26.34</v>
      </c>
      <c r="I4839" t="inlineStr">
        <is>
          <t>credit_card</t>
        </is>
      </c>
      <c r="J4839" t="n">
        <v>11</v>
      </c>
      <c r="K4839" t="inlineStr">
        <is>
          <t>On Time</t>
        </is>
      </c>
      <c r="L4839" t="n">
        <v>5</v>
      </c>
      <c r="M4839">
        <f>VLOOKUP(D4839,State_Lookup!$A$2:$B$28,2,FALSE)</f>
        <v/>
      </c>
    </row>
    <row r="4840">
      <c r="A4840" t="inlineStr">
        <is>
          <t>a91e629d7c60ee83c467d41250528cc5</t>
        </is>
      </c>
      <c r="B4840" t="inlineStr">
        <is>
          <t>2018-08-12</t>
        </is>
      </c>
      <c r="C4840" t="inlineStr">
        <is>
          <t>2018-08</t>
        </is>
      </c>
      <c r="D4840" t="inlineStr">
        <is>
          <t>GO</t>
        </is>
      </c>
      <c r="E4840" t="inlineStr">
        <is>
          <t>watches_gifts</t>
        </is>
      </c>
      <c r="F4840" t="n">
        <v>1</v>
      </c>
      <c r="G4840" t="n">
        <v>1623.9</v>
      </c>
      <c r="H4840" t="n">
        <v>30.56</v>
      </c>
      <c r="I4840" t="inlineStr">
        <is>
          <t>credit_card</t>
        </is>
      </c>
      <c r="J4840" t="n">
        <v>10</v>
      </c>
      <c r="K4840" t="inlineStr">
        <is>
          <t>On Time</t>
        </is>
      </c>
      <c r="L4840" t="n">
        <v>2</v>
      </c>
      <c r="M4840">
        <f>VLOOKUP(D4840,State_Lookup!$A$2:$B$28,2,FALSE)</f>
        <v/>
      </c>
    </row>
    <row r="4841">
      <c r="A4841" t="inlineStr">
        <is>
          <t>f2d6c25c24dec1cb1f8eeba2203634b5</t>
        </is>
      </c>
      <c r="B4841" t="inlineStr">
        <is>
          <t>2018-08-12</t>
        </is>
      </c>
      <c r="C4841" t="inlineStr">
        <is>
          <t>2018-08</t>
        </is>
      </c>
      <c r="D4841" t="inlineStr">
        <is>
          <t>PB</t>
        </is>
      </c>
      <c r="E4841" t="inlineStr">
        <is>
          <t>auto</t>
        </is>
      </c>
      <c r="F4841" t="n">
        <v>1</v>
      </c>
      <c r="G4841" t="n">
        <v>495</v>
      </c>
      <c r="H4841" t="n">
        <v>101.56</v>
      </c>
      <c r="I4841" t="inlineStr">
        <is>
          <t>credit_card</t>
        </is>
      </c>
      <c r="J4841" t="n">
        <v>11</v>
      </c>
      <c r="K4841" t="inlineStr">
        <is>
          <t>On Time</t>
        </is>
      </c>
      <c r="L4841" t="n">
        <v>4</v>
      </c>
      <c r="M4841">
        <f>VLOOKUP(D4841,State_Lookup!$A$2:$B$28,2,FALSE)</f>
        <v/>
      </c>
    </row>
    <row r="4842">
      <c r="A4842" t="inlineStr">
        <is>
          <t>2c1ac2ae4cb9b2b35618143ca66d8f74</t>
        </is>
      </c>
      <c r="B4842" t="inlineStr">
        <is>
          <t>2018-08-12</t>
        </is>
      </c>
      <c r="C4842" t="inlineStr">
        <is>
          <t>2018-08</t>
        </is>
      </c>
      <c r="D4842" t="inlineStr">
        <is>
          <t>RJ</t>
        </is>
      </c>
      <c r="E4842" t="inlineStr">
        <is>
          <t>small_appliances</t>
        </is>
      </c>
      <c r="F4842" t="n">
        <v>1</v>
      </c>
      <c r="G4842" t="n">
        <v>34.9</v>
      </c>
      <c r="H4842" t="n">
        <v>19.43</v>
      </c>
      <c r="I4842" t="inlineStr">
        <is>
          <t>credit_card</t>
        </is>
      </c>
      <c r="J4842" t="n">
        <v>4</v>
      </c>
      <c r="K4842" t="inlineStr">
        <is>
          <t>On Time</t>
        </is>
      </c>
      <c r="L4842" t="n">
        <v>4</v>
      </c>
      <c r="M4842">
        <f>VLOOKUP(D4842,State_Lookup!$A$2:$B$28,2,FALSE)</f>
        <v/>
      </c>
    </row>
    <row r="4843">
      <c r="A4843" t="inlineStr">
        <is>
          <t>750fac445e827530d79e0a2050dbcd9c</t>
        </is>
      </c>
      <c r="B4843" t="inlineStr">
        <is>
          <t>2018-08-12</t>
        </is>
      </c>
      <c r="C4843" t="inlineStr">
        <is>
          <t>2018-08</t>
        </is>
      </c>
      <c r="D4843" t="inlineStr">
        <is>
          <t>SP</t>
        </is>
      </c>
      <c r="E4843" t="inlineStr">
        <is>
          <t>auto</t>
        </is>
      </c>
      <c r="F4843" t="n">
        <v>1</v>
      </c>
      <c r="G4843" t="n">
        <v>7.99</v>
      </c>
      <c r="H4843" t="n">
        <v>7.39</v>
      </c>
      <c r="I4843" t="inlineStr">
        <is>
          <t>boleto</t>
        </is>
      </c>
      <c r="J4843" t="inlineStr"/>
      <c r="K4843" t="inlineStr">
        <is>
          <t>Not Delivered</t>
        </is>
      </c>
      <c r="L4843" t="n">
        <v>1</v>
      </c>
      <c r="M4843">
        <f>VLOOKUP(D4843,State_Lookup!$A$2:$B$28,2,FALSE)</f>
        <v/>
      </c>
    </row>
    <row r="4844">
      <c r="A4844" t="inlineStr">
        <is>
          <t>4822b9a2b5589396deb0956b2b844afa</t>
        </is>
      </c>
      <c r="B4844" t="inlineStr">
        <is>
          <t>2018-08-12</t>
        </is>
      </c>
      <c r="C4844" t="inlineStr">
        <is>
          <t>2018-08</t>
        </is>
      </c>
      <c r="D4844" t="inlineStr">
        <is>
          <t>BA</t>
        </is>
      </c>
      <c r="E4844" t="inlineStr">
        <is>
          <t>health_beauty</t>
        </is>
      </c>
      <c r="F4844" t="n">
        <v>2</v>
      </c>
      <c r="G4844" t="n">
        <v>111.8</v>
      </c>
      <c r="H4844" t="n">
        <v>44.64</v>
      </c>
      <c r="I4844" t="inlineStr">
        <is>
          <t>credit_card</t>
        </is>
      </c>
      <c r="J4844" t="n">
        <v>12</v>
      </c>
      <c r="K4844" t="inlineStr">
        <is>
          <t>On Time</t>
        </is>
      </c>
      <c r="L4844" t="n">
        <v>4</v>
      </c>
      <c r="M4844">
        <f>VLOOKUP(D4844,State_Lookup!$A$2:$B$28,2,FALSE)</f>
        <v/>
      </c>
    </row>
    <row r="4845">
      <c r="A4845" t="inlineStr">
        <is>
          <t>a9d1327838b1c183fc288f0d2bf23d32</t>
        </is>
      </c>
      <c r="B4845" t="inlineStr">
        <is>
          <t>2018-08-12</t>
        </is>
      </c>
      <c r="C4845" t="inlineStr">
        <is>
          <t>2018-08</t>
        </is>
      </c>
      <c r="D4845" t="inlineStr">
        <is>
          <t>MG</t>
        </is>
      </c>
      <c r="E4845" t="inlineStr">
        <is>
          <t>luggage_accessories</t>
        </is>
      </c>
      <c r="F4845" t="n">
        <v>1</v>
      </c>
      <c r="G4845" t="n">
        <v>149</v>
      </c>
      <c r="H4845" t="n">
        <v>24.73</v>
      </c>
      <c r="I4845" t="inlineStr">
        <is>
          <t>credit_card</t>
        </is>
      </c>
      <c r="J4845" t="n">
        <v>2</v>
      </c>
      <c r="K4845" t="inlineStr">
        <is>
          <t>On Time</t>
        </is>
      </c>
      <c r="L4845" t="n">
        <v>4</v>
      </c>
      <c r="M4845">
        <f>VLOOKUP(D4845,State_Lookup!$A$2:$B$28,2,FALSE)</f>
        <v/>
      </c>
    </row>
    <row r="4846">
      <c r="A4846" t="inlineStr">
        <is>
          <t>53de6ea93af62b738a4db248255fd504</t>
        </is>
      </c>
      <c r="B4846" t="inlineStr">
        <is>
          <t>2018-08-12</t>
        </is>
      </c>
      <c r="C4846" t="inlineStr">
        <is>
          <t>2018-08</t>
        </is>
      </c>
      <c r="D4846" t="inlineStr">
        <is>
          <t>SP</t>
        </is>
      </c>
      <c r="E4846" t="inlineStr">
        <is>
          <t>housewares</t>
        </is>
      </c>
      <c r="F4846" t="n">
        <v>1</v>
      </c>
      <c r="G4846" t="n">
        <v>32</v>
      </c>
      <c r="H4846" t="n">
        <v>8.970000000000001</v>
      </c>
      <c r="I4846" t="inlineStr">
        <is>
          <t>credit_card</t>
        </is>
      </c>
      <c r="J4846" t="n">
        <v>1</v>
      </c>
      <c r="K4846" t="inlineStr">
        <is>
          <t>On Time</t>
        </is>
      </c>
      <c r="L4846" t="n">
        <v>5</v>
      </c>
      <c r="M4846">
        <f>VLOOKUP(D4846,State_Lookup!$A$2:$B$28,2,FALSE)</f>
        <v/>
      </c>
    </row>
    <row r="4847">
      <c r="A4847" t="inlineStr">
        <is>
          <t>71c22e96648b3b4f4c78e6e4de6bdc0a</t>
        </is>
      </c>
      <c r="B4847" t="inlineStr">
        <is>
          <t>2018-08-12</t>
        </is>
      </c>
      <c r="C4847" t="inlineStr">
        <is>
          <t>2018-08</t>
        </is>
      </c>
      <c r="D4847" t="inlineStr">
        <is>
          <t>GO</t>
        </is>
      </c>
      <c r="E4847" t="inlineStr">
        <is>
          <t>health_beauty</t>
        </is>
      </c>
      <c r="F4847" t="n">
        <v>1</v>
      </c>
      <c r="G4847" t="n">
        <v>145.49</v>
      </c>
      <c r="H4847" t="n">
        <v>18.82</v>
      </c>
      <c r="I4847" t="inlineStr">
        <is>
          <t>credit_card</t>
        </is>
      </c>
      <c r="J4847" t="n">
        <v>4</v>
      </c>
      <c r="K4847" t="inlineStr">
        <is>
          <t>On Time</t>
        </is>
      </c>
      <c r="L4847" t="n">
        <v>5</v>
      </c>
      <c r="M4847">
        <f>VLOOKUP(D4847,State_Lookup!$A$2:$B$28,2,FALSE)</f>
        <v/>
      </c>
    </row>
    <row r="4848">
      <c r="A4848" t="inlineStr">
        <is>
          <t>73ef343c9dbf2f6d45362c9bc150f4b7</t>
        </is>
      </c>
      <c r="B4848" t="inlineStr">
        <is>
          <t>2018-08-12</t>
        </is>
      </c>
      <c r="C4848" t="inlineStr">
        <is>
          <t>2018-08</t>
        </is>
      </c>
      <c r="D4848" t="inlineStr">
        <is>
          <t>SP</t>
        </is>
      </c>
      <c r="E4848" t="inlineStr">
        <is>
          <t>watches_gifts</t>
        </is>
      </c>
      <c r="F4848" t="n">
        <v>1</v>
      </c>
      <c r="G4848" t="n">
        <v>2150</v>
      </c>
      <c r="H4848" t="n">
        <v>33.15</v>
      </c>
      <c r="I4848" t="inlineStr">
        <is>
          <t>credit_card</t>
        </is>
      </c>
      <c r="J4848" t="inlineStr"/>
      <c r="K4848" t="inlineStr">
        <is>
          <t>Not Delivered</t>
        </is>
      </c>
      <c r="L4848" t="n">
        <v>4</v>
      </c>
      <c r="M4848">
        <f>VLOOKUP(D4848,State_Lookup!$A$2:$B$28,2,FALSE)</f>
        <v/>
      </c>
    </row>
    <row r="4849">
      <c r="A4849" t="inlineStr">
        <is>
          <t>bcaa7f7240deb32b0410ee6cc085d9b4</t>
        </is>
      </c>
      <c r="B4849" t="inlineStr">
        <is>
          <t>2018-08-12</t>
        </is>
      </c>
      <c r="C4849" t="inlineStr">
        <is>
          <t>2018-08</t>
        </is>
      </c>
      <c r="D4849" t="inlineStr">
        <is>
          <t>SP</t>
        </is>
      </c>
      <c r="E4849" t="inlineStr">
        <is>
          <t>pet_shop</t>
        </is>
      </c>
      <c r="F4849" t="n">
        <v>1</v>
      </c>
      <c r="G4849" t="n">
        <v>128</v>
      </c>
      <c r="H4849" t="n">
        <v>8.16</v>
      </c>
      <c r="I4849" t="inlineStr">
        <is>
          <t>credit_card</t>
        </is>
      </c>
      <c r="J4849" t="n">
        <v>2</v>
      </c>
      <c r="K4849" t="inlineStr">
        <is>
          <t>On Time</t>
        </is>
      </c>
      <c r="L4849" t="n">
        <v>4</v>
      </c>
      <c r="M4849">
        <f>VLOOKUP(D4849,State_Lookup!$A$2:$B$28,2,FALSE)</f>
        <v/>
      </c>
    </row>
    <row r="4850">
      <c r="A4850" t="inlineStr">
        <is>
          <t>d441cd7f8afccef29e5a0c8e3021d0de</t>
        </is>
      </c>
      <c r="B4850" t="inlineStr">
        <is>
          <t>2018-08-12</t>
        </is>
      </c>
      <c r="C4850" t="inlineStr">
        <is>
          <t>2018-08</t>
        </is>
      </c>
      <c r="D4850" t="inlineStr">
        <is>
          <t>SP</t>
        </is>
      </c>
      <c r="E4850" t="inlineStr">
        <is>
          <t>furniture_decor</t>
        </is>
      </c>
      <c r="F4850" t="n">
        <v>2</v>
      </c>
      <c r="G4850" t="n">
        <v>70</v>
      </c>
      <c r="H4850" t="n">
        <v>27.66</v>
      </c>
      <c r="I4850" t="inlineStr">
        <is>
          <t>credit_card</t>
        </is>
      </c>
      <c r="J4850" t="n">
        <v>4</v>
      </c>
      <c r="K4850" t="inlineStr">
        <is>
          <t>On Time</t>
        </is>
      </c>
      <c r="L4850" t="n">
        <v>5</v>
      </c>
      <c r="M4850">
        <f>VLOOKUP(D4850,State_Lookup!$A$2:$B$28,2,FALSE)</f>
        <v/>
      </c>
    </row>
    <row r="4851">
      <c r="A4851" t="inlineStr">
        <is>
          <t>55484b30fbc70a655031929c9a7acff9</t>
        </is>
      </c>
      <c r="B4851" t="inlineStr">
        <is>
          <t>2018-08-13</t>
        </is>
      </c>
      <c r="C4851" t="inlineStr">
        <is>
          <t>2018-08</t>
        </is>
      </c>
      <c r="D4851" t="inlineStr">
        <is>
          <t>SP</t>
        </is>
      </c>
      <c r="E4851" t="inlineStr">
        <is>
          <t>auto</t>
        </is>
      </c>
      <c r="F4851" t="n">
        <v>1</v>
      </c>
      <c r="G4851" t="n">
        <v>134</v>
      </c>
      <c r="H4851" t="n">
        <v>9.1</v>
      </c>
      <c r="I4851" t="inlineStr">
        <is>
          <t>credit_card</t>
        </is>
      </c>
      <c r="J4851" t="n">
        <v>1</v>
      </c>
      <c r="K4851" t="inlineStr">
        <is>
          <t>On Time</t>
        </is>
      </c>
      <c r="L4851" t="n">
        <v>5</v>
      </c>
      <c r="M4851">
        <f>VLOOKUP(D4851,State_Lookup!$A$2:$B$28,2,FALSE)</f>
        <v/>
      </c>
    </row>
    <row r="4852">
      <c r="A4852" t="inlineStr">
        <is>
          <t>5c38655d217f80fb8ad2c39a7c0a816b</t>
        </is>
      </c>
      <c r="B4852" t="inlineStr">
        <is>
          <t>2018-08-13</t>
        </is>
      </c>
      <c r="C4852" t="inlineStr">
        <is>
          <t>2018-08</t>
        </is>
      </c>
      <c r="D4852" t="inlineStr">
        <is>
          <t>MG</t>
        </is>
      </c>
      <c r="E4852" t="inlineStr">
        <is>
          <t>furniture_decor</t>
        </is>
      </c>
      <c r="F4852" t="n">
        <v>1</v>
      </c>
      <c r="G4852" t="n">
        <v>78.8</v>
      </c>
      <c r="H4852" t="n">
        <v>18.65</v>
      </c>
      <c r="I4852" t="inlineStr">
        <is>
          <t>credit_card</t>
        </is>
      </c>
      <c r="J4852" t="n">
        <v>4</v>
      </c>
      <c r="K4852" t="inlineStr">
        <is>
          <t>On Time</t>
        </is>
      </c>
      <c r="L4852" t="n">
        <v>4</v>
      </c>
      <c r="M4852">
        <f>VLOOKUP(D4852,State_Lookup!$A$2:$B$28,2,FALSE)</f>
        <v/>
      </c>
    </row>
    <row r="4853">
      <c r="A4853" t="inlineStr">
        <is>
          <t>e27b496ee62de9d46e3f1ed56c2c49c3</t>
        </is>
      </c>
      <c r="B4853" t="inlineStr">
        <is>
          <t>2018-08-13</t>
        </is>
      </c>
      <c r="C4853" t="inlineStr">
        <is>
          <t>2018-08</t>
        </is>
      </c>
      <c r="D4853" t="inlineStr">
        <is>
          <t>SC</t>
        </is>
      </c>
      <c r="E4853" t="inlineStr">
        <is>
          <t>cool_stuff</t>
        </is>
      </c>
      <c r="F4853" t="n">
        <v>1</v>
      </c>
      <c r="G4853" t="n">
        <v>85.98999999999999</v>
      </c>
      <c r="H4853" t="n">
        <v>23.4</v>
      </c>
      <c r="I4853" t="inlineStr">
        <is>
          <t>credit_card</t>
        </is>
      </c>
      <c r="J4853" t="n">
        <v>7</v>
      </c>
      <c r="K4853" t="inlineStr">
        <is>
          <t>On Time</t>
        </is>
      </c>
      <c r="L4853" t="n">
        <v>3</v>
      </c>
      <c r="M4853">
        <f>VLOOKUP(D4853,State_Lookup!$A$2:$B$28,2,FALSE)</f>
        <v/>
      </c>
    </row>
    <row r="4854">
      <c r="A4854" t="inlineStr">
        <is>
          <t>bb5247b3ad417db4b026c3d57e458a46</t>
        </is>
      </c>
      <c r="B4854" t="inlineStr">
        <is>
          <t>2018-08-13</t>
        </is>
      </c>
      <c r="C4854" t="inlineStr">
        <is>
          <t>2018-08</t>
        </is>
      </c>
      <c r="D4854" t="inlineStr">
        <is>
          <t>RN</t>
        </is>
      </c>
      <c r="E4854" t="inlineStr">
        <is>
          <t>health_beauty</t>
        </is>
      </c>
      <c r="F4854" t="n">
        <v>1</v>
      </c>
      <c r="G4854" t="n">
        <v>199.9</v>
      </c>
      <c r="H4854" t="n">
        <v>52.12</v>
      </c>
      <c r="I4854" t="inlineStr">
        <is>
          <t>credit_card</t>
        </is>
      </c>
      <c r="J4854" t="n">
        <v>9</v>
      </c>
      <c r="K4854" t="inlineStr">
        <is>
          <t>On Time</t>
        </is>
      </c>
      <c r="L4854" t="n">
        <v>4</v>
      </c>
      <c r="M4854">
        <f>VLOOKUP(D4854,State_Lookup!$A$2:$B$28,2,FALSE)</f>
        <v/>
      </c>
    </row>
    <row r="4855">
      <c r="A4855" t="inlineStr">
        <is>
          <t>125f493c9aa37e5e79a34e7b602da0a4</t>
        </is>
      </c>
      <c r="B4855" t="inlineStr">
        <is>
          <t>2018-08-13</t>
        </is>
      </c>
      <c r="C4855" t="inlineStr">
        <is>
          <t>2018-08</t>
        </is>
      </c>
      <c r="D4855" t="inlineStr">
        <is>
          <t>BA</t>
        </is>
      </c>
      <c r="E4855" t="inlineStr">
        <is>
          <t>computers_accessories</t>
        </is>
      </c>
      <c r="F4855" t="n">
        <v>1</v>
      </c>
      <c r="G4855" t="n">
        <v>179.9</v>
      </c>
      <c r="H4855" t="n">
        <v>38.17</v>
      </c>
      <c r="I4855" t="inlineStr">
        <is>
          <t>credit_card</t>
        </is>
      </c>
      <c r="J4855" t="n">
        <v>10</v>
      </c>
      <c r="K4855" t="inlineStr">
        <is>
          <t>On Time</t>
        </is>
      </c>
      <c r="L4855" t="n">
        <v>4</v>
      </c>
      <c r="M4855">
        <f>VLOOKUP(D4855,State_Lookup!$A$2:$B$28,2,FALSE)</f>
        <v/>
      </c>
    </row>
    <row r="4856">
      <c r="A4856" t="inlineStr">
        <is>
          <t>3410526e055530279c894ab7542c827f</t>
        </is>
      </c>
      <c r="B4856" t="inlineStr">
        <is>
          <t>2018-08-13</t>
        </is>
      </c>
      <c r="C4856" t="inlineStr">
        <is>
          <t>2018-08</t>
        </is>
      </c>
      <c r="D4856" t="inlineStr">
        <is>
          <t>MG</t>
        </is>
      </c>
      <c r="E4856" t="inlineStr">
        <is>
          <t>furniture_decor</t>
        </is>
      </c>
      <c r="F4856" t="n">
        <v>1</v>
      </c>
      <c r="G4856" t="n">
        <v>257</v>
      </c>
      <c r="H4856" t="n">
        <v>20.99</v>
      </c>
      <c r="I4856" t="inlineStr">
        <is>
          <t>credit_card</t>
        </is>
      </c>
      <c r="J4856" t="n">
        <v>9</v>
      </c>
      <c r="K4856" t="inlineStr">
        <is>
          <t>On Time</t>
        </is>
      </c>
      <c r="L4856" t="n">
        <v>5</v>
      </c>
      <c r="M4856">
        <f>VLOOKUP(D4856,State_Lookup!$A$2:$B$28,2,FALSE)</f>
        <v/>
      </c>
    </row>
    <row r="4857">
      <c r="A4857" t="inlineStr">
        <is>
          <t>4e6bffb5dac92c9750467794c5964bff</t>
        </is>
      </c>
      <c r="B4857" t="inlineStr">
        <is>
          <t>2018-08-13</t>
        </is>
      </c>
      <c r="C4857" t="inlineStr">
        <is>
          <t>2018-08</t>
        </is>
      </c>
      <c r="D4857" t="inlineStr">
        <is>
          <t>SP</t>
        </is>
      </c>
      <c r="E4857" t="inlineStr">
        <is>
          <t>housewares</t>
        </is>
      </c>
      <c r="F4857" t="n">
        <v>1</v>
      </c>
      <c r="G4857" t="n">
        <v>51.9</v>
      </c>
      <c r="H4857" t="n">
        <v>15.46</v>
      </c>
      <c r="I4857" t="inlineStr">
        <is>
          <t>credit_card</t>
        </is>
      </c>
      <c r="J4857" t="n">
        <v>4</v>
      </c>
      <c r="K4857" t="inlineStr">
        <is>
          <t>On Time</t>
        </is>
      </c>
      <c r="L4857" t="n">
        <v>5</v>
      </c>
      <c r="M4857">
        <f>VLOOKUP(D4857,State_Lookup!$A$2:$B$28,2,FALSE)</f>
        <v/>
      </c>
    </row>
    <row r="4858">
      <c r="A4858" t="inlineStr">
        <is>
          <t>aa9ad84c2fa033010c9cadc5ff22d939</t>
        </is>
      </c>
      <c r="B4858" t="inlineStr">
        <is>
          <t>2018-08-13</t>
        </is>
      </c>
      <c r="C4858" t="inlineStr">
        <is>
          <t>2018-08</t>
        </is>
      </c>
      <c r="D4858" t="inlineStr">
        <is>
          <t>SP</t>
        </is>
      </c>
      <c r="E4858" t="inlineStr">
        <is>
          <t>watches_gifts</t>
        </is>
      </c>
      <c r="F4858" t="n">
        <v>1</v>
      </c>
      <c r="G4858" t="n">
        <v>169</v>
      </c>
      <c r="H4858" t="n">
        <v>8.44</v>
      </c>
      <c r="I4858" t="inlineStr">
        <is>
          <t>credit_card</t>
        </is>
      </c>
      <c r="J4858" t="n">
        <v>1</v>
      </c>
      <c r="K4858" t="inlineStr">
        <is>
          <t>On Time</t>
        </is>
      </c>
      <c r="L4858" t="n">
        <v>3</v>
      </c>
      <c r="M4858">
        <f>VLOOKUP(D4858,State_Lookup!$A$2:$B$28,2,FALSE)</f>
        <v/>
      </c>
    </row>
    <row r="4859">
      <c r="A4859" t="inlineStr">
        <is>
          <t>62b66f90376b7b00fb2586ad81320f82</t>
        </is>
      </c>
      <c r="B4859" t="inlineStr">
        <is>
          <t>2018-08-13</t>
        </is>
      </c>
      <c r="C4859" t="inlineStr">
        <is>
          <t>2018-08</t>
        </is>
      </c>
      <c r="D4859" t="inlineStr">
        <is>
          <t>SP</t>
        </is>
      </c>
      <c r="E4859" t="inlineStr">
        <is>
          <t>bed_bath_table</t>
        </is>
      </c>
      <c r="F4859" t="n">
        <v>1</v>
      </c>
      <c r="G4859" t="n">
        <v>56.99</v>
      </c>
      <c r="H4859" t="n">
        <v>13.98</v>
      </c>
      <c r="I4859" t="inlineStr">
        <is>
          <t>boleto</t>
        </is>
      </c>
      <c r="J4859" t="n">
        <v>8</v>
      </c>
      <c r="K4859" t="inlineStr">
        <is>
          <t>On Time</t>
        </is>
      </c>
      <c r="L4859" t="n">
        <v>5</v>
      </c>
      <c r="M4859">
        <f>VLOOKUP(D4859,State_Lookup!$A$2:$B$28,2,FALSE)</f>
        <v/>
      </c>
    </row>
    <row r="4860">
      <c r="A4860" t="inlineStr">
        <is>
          <t>e06507fb1e1f48c1cc59d40e02b82f16</t>
        </is>
      </c>
      <c r="B4860" t="inlineStr">
        <is>
          <t>2018-08-13</t>
        </is>
      </c>
      <c r="C4860" t="inlineStr">
        <is>
          <t>2018-08</t>
        </is>
      </c>
      <c r="D4860" t="inlineStr">
        <is>
          <t>SP</t>
        </is>
      </c>
      <c r="E4860" t="inlineStr">
        <is>
          <t>baby</t>
        </is>
      </c>
      <c r="F4860" t="n">
        <v>1</v>
      </c>
      <c r="G4860" t="n">
        <v>169.9</v>
      </c>
      <c r="H4860" t="n">
        <v>53.54</v>
      </c>
      <c r="I4860" t="inlineStr">
        <is>
          <t>debit_card</t>
        </is>
      </c>
      <c r="J4860" t="n">
        <v>14</v>
      </c>
      <c r="K4860" t="inlineStr">
        <is>
          <t>On Time</t>
        </is>
      </c>
      <c r="L4860" t="n">
        <v>5</v>
      </c>
      <c r="M4860">
        <f>VLOOKUP(D4860,State_Lookup!$A$2:$B$28,2,FALSE)</f>
        <v/>
      </c>
    </row>
    <row r="4861">
      <c r="A4861" t="inlineStr">
        <is>
          <t>4034b68eda61d53e7c3b417c10e8b252</t>
        </is>
      </c>
      <c r="B4861" t="inlineStr">
        <is>
          <t>2018-08-13</t>
        </is>
      </c>
      <c r="C4861" t="inlineStr">
        <is>
          <t>2018-08</t>
        </is>
      </c>
      <c r="D4861" t="inlineStr">
        <is>
          <t>MG</t>
        </is>
      </c>
      <c r="E4861" t="inlineStr">
        <is>
          <t>construction_tools_safety</t>
        </is>
      </c>
      <c r="F4861" t="n">
        <v>1</v>
      </c>
      <c r="G4861" t="n">
        <v>155.9</v>
      </c>
      <c r="H4861" t="n">
        <v>19.19</v>
      </c>
      <c r="I4861" t="inlineStr">
        <is>
          <t>credit_card</t>
        </is>
      </c>
      <c r="J4861" t="n">
        <v>8</v>
      </c>
      <c r="K4861" t="inlineStr">
        <is>
          <t>On Time</t>
        </is>
      </c>
      <c r="L4861" t="n">
        <v>5</v>
      </c>
      <c r="M4861">
        <f>VLOOKUP(D4861,State_Lookup!$A$2:$B$28,2,FALSE)</f>
        <v/>
      </c>
    </row>
    <row r="4862">
      <c r="A4862" t="inlineStr">
        <is>
          <t>b04e44e92fbc14e258bb48695b8ee7ca</t>
        </is>
      </c>
      <c r="B4862" t="inlineStr">
        <is>
          <t>2018-08-13</t>
        </is>
      </c>
      <c r="C4862" t="inlineStr">
        <is>
          <t>2018-08</t>
        </is>
      </c>
      <c r="D4862" t="inlineStr">
        <is>
          <t>RJ</t>
        </is>
      </c>
      <c r="E4862" t="inlineStr">
        <is>
          <t>housewares</t>
        </is>
      </c>
      <c r="F4862" t="n">
        <v>2</v>
      </c>
      <c r="G4862" t="n">
        <v>39.8</v>
      </c>
      <c r="H4862" t="n">
        <v>15.12</v>
      </c>
      <c r="I4862" t="inlineStr">
        <is>
          <t>credit_card</t>
        </is>
      </c>
      <c r="J4862" t="n">
        <v>2</v>
      </c>
      <c r="K4862" t="inlineStr">
        <is>
          <t>On Time</t>
        </is>
      </c>
      <c r="L4862" t="n">
        <v>5</v>
      </c>
      <c r="M4862">
        <f>VLOOKUP(D4862,State_Lookup!$A$2:$B$28,2,FALSE)</f>
        <v/>
      </c>
    </row>
    <row r="4863">
      <c r="A4863" t="inlineStr">
        <is>
          <t>f6ad54b5be9c3a496973acd1b1c8b714</t>
        </is>
      </c>
      <c r="B4863" t="inlineStr">
        <is>
          <t>2018-08-13</t>
        </is>
      </c>
      <c r="C4863" t="inlineStr">
        <is>
          <t>2018-08</t>
        </is>
      </c>
      <c r="D4863" t="inlineStr">
        <is>
          <t>MG</t>
        </is>
      </c>
      <c r="E4863" t="inlineStr">
        <is>
          <t>auto</t>
        </is>
      </c>
      <c r="F4863" t="n">
        <v>1</v>
      </c>
      <c r="G4863" t="n">
        <v>139</v>
      </c>
      <c r="H4863" t="n">
        <v>31.91</v>
      </c>
      <c r="I4863" t="inlineStr">
        <is>
          <t>boleto</t>
        </is>
      </c>
      <c r="J4863" t="n">
        <v>8</v>
      </c>
      <c r="K4863" t="inlineStr">
        <is>
          <t>On Time</t>
        </is>
      </c>
      <c r="L4863" t="n">
        <v>5</v>
      </c>
      <c r="M4863">
        <f>VLOOKUP(D4863,State_Lookup!$A$2:$B$28,2,FALSE)</f>
        <v/>
      </c>
    </row>
    <row r="4864">
      <c r="A4864" t="inlineStr">
        <is>
          <t>e1042f4c3705d9c1f9ec8d96a1771a58</t>
        </is>
      </c>
      <c r="B4864" t="inlineStr">
        <is>
          <t>2018-08-13</t>
        </is>
      </c>
      <c r="C4864" t="inlineStr">
        <is>
          <t>2018-08</t>
        </is>
      </c>
      <c r="D4864" t="inlineStr">
        <is>
          <t>SP</t>
        </is>
      </c>
      <c r="E4864" t="inlineStr">
        <is>
          <t>baby</t>
        </is>
      </c>
      <c r="F4864" t="n">
        <v>1</v>
      </c>
      <c r="G4864" t="n">
        <v>29.99</v>
      </c>
      <c r="H4864" t="n">
        <v>14.51</v>
      </c>
      <c r="I4864" t="inlineStr">
        <is>
          <t>credit_card</t>
        </is>
      </c>
      <c r="J4864" t="n">
        <v>3</v>
      </c>
      <c r="K4864" t="inlineStr">
        <is>
          <t>On Time</t>
        </is>
      </c>
      <c r="L4864" t="n">
        <v>4</v>
      </c>
      <c r="M4864">
        <f>VLOOKUP(D4864,State_Lookup!$A$2:$B$28,2,FALSE)</f>
        <v/>
      </c>
    </row>
    <row r="4865">
      <c r="A4865" t="inlineStr">
        <is>
          <t>4efe746bf89c1976abde13a381aa452c</t>
        </is>
      </c>
      <c r="B4865" t="inlineStr">
        <is>
          <t>2018-08-13</t>
        </is>
      </c>
      <c r="C4865" t="inlineStr">
        <is>
          <t>2018-08</t>
        </is>
      </c>
      <c r="D4865" t="inlineStr">
        <is>
          <t>DF</t>
        </is>
      </c>
      <c r="E4865" t="inlineStr">
        <is>
          <t>health_beauty</t>
        </is>
      </c>
      <c r="F4865" t="n">
        <v>1</v>
      </c>
      <c r="G4865" t="n">
        <v>23.99</v>
      </c>
      <c r="H4865" t="n">
        <v>15.27</v>
      </c>
      <c r="I4865" t="inlineStr">
        <is>
          <t>credit_card</t>
        </is>
      </c>
      <c r="J4865" t="n">
        <v>3</v>
      </c>
      <c r="K4865" t="inlineStr">
        <is>
          <t>On Time</t>
        </is>
      </c>
      <c r="L4865" t="n">
        <v>5</v>
      </c>
      <c r="M4865">
        <f>VLOOKUP(D4865,State_Lookup!$A$2:$B$28,2,FALSE)</f>
        <v/>
      </c>
    </row>
    <row r="4866">
      <c r="A4866" t="inlineStr">
        <is>
          <t>e90d8a867960fe909ecb460cb3a9e4d1</t>
        </is>
      </c>
      <c r="B4866" t="inlineStr">
        <is>
          <t>2018-08-13</t>
        </is>
      </c>
      <c r="C4866" t="inlineStr">
        <is>
          <t>2018-08</t>
        </is>
      </c>
      <c r="D4866" t="inlineStr">
        <is>
          <t>SP</t>
        </is>
      </c>
      <c r="E4866" t="inlineStr">
        <is>
          <t>housewares</t>
        </is>
      </c>
      <c r="F4866" t="n">
        <v>1</v>
      </c>
      <c r="G4866" t="n">
        <v>64.90000000000001</v>
      </c>
      <c r="H4866" t="n">
        <v>23.25</v>
      </c>
      <c r="I4866" t="inlineStr">
        <is>
          <t>credit_card</t>
        </is>
      </c>
      <c r="J4866" t="n">
        <v>7</v>
      </c>
      <c r="K4866" t="inlineStr">
        <is>
          <t>On Time</t>
        </is>
      </c>
      <c r="L4866" t="n">
        <v>5</v>
      </c>
      <c r="M4866">
        <f>VLOOKUP(D4866,State_Lookup!$A$2:$B$28,2,FALSE)</f>
        <v/>
      </c>
    </row>
    <row r="4867">
      <c r="A4867" t="inlineStr">
        <is>
          <t>11531b318e176d53a632286789eae9c8</t>
        </is>
      </c>
      <c r="B4867" t="inlineStr">
        <is>
          <t>2018-08-14</t>
        </is>
      </c>
      <c r="C4867" t="inlineStr">
        <is>
          <t>2018-08</t>
        </is>
      </c>
      <c r="D4867" t="inlineStr">
        <is>
          <t>SP</t>
        </is>
      </c>
      <c r="E4867" t="inlineStr">
        <is>
          <t>electronics</t>
        </is>
      </c>
      <c r="F4867" t="n">
        <v>1</v>
      </c>
      <c r="G4867" t="n">
        <v>22.8</v>
      </c>
      <c r="H4867" t="n">
        <v>8.32</v>
      </c>
      <c r="I4867" t="inlineStr">
        <is>
          <t>credit_card</t>
        </is>
      </c>
      <c r="J4867" t="n">
        <v>3</v>
      </c>
      <c r="K4867" t="inlineStr">
        <is>
          <t>On Time</t>
        </is>
      </c>
      <c r="L4867" t="n">
        <v>5</v>
      </c>
      <c r="M4867">
        <f>VLOOKUP(D4867,State_Lookup!$A$2:$B$28,2,FALSE)</f>
        <v/>
      </c>
    </row>
    <row r="4868">
      <c r="A4868" t="inlineStr">
        <is>
          <t>a471834c9ff33eaa1ba3b5aa8d6d0180</t>
        </is>
      </c>
      <c r="B4868" t="inlineStr">
        <is>
          <t>2018-08-14</t>
        </is>
      </c>
      <c r="C4868" t="inlineStr">
        <is>
          <t>2018-08</t>
        </is>
      </c>
      <c r="D4868" t="inlineStr">
        <is>
          <t>SP</t>
        </is>
      </c>
      <c r="E4868" t="inlineStr">
        <is>
          <t>bed_bath_table</t>
        </is>
      </c>
      <c r="F4868" t="n">
        <v>1</v>
      </c>
      <c r="G4868" t="n">
        <v>55</v>
      </c>
      <c r="H4868" t="n">
        <v>14.7</v>
      </c>
      <c r="I4868" t="inlineStr">
        <is>
          <t>credit_card</t>
        </is>
      </c>
      <c r="J4868" t="n">
        <v>7</v>
      </c>
      <c r="K4868" t="inlineStr">
        <is>
          <t>On Time</t>
        </is>
      </c>
      <c r="L4868" t="n">
        <v>5</v>
      </c>
      <c r="M4868">
        <f>VLOOKUP(D4868,State_Lookup!$A$2:$B$28,2,FALSE)</f>
        <v/>
      </c>
    </row>
    <row r="4869">
      <c r="A4869" t="inlineStr">
        <is>
          <t>ec6904db8d96bfec75b3e99ffe8221a5</t>
        </is>
      </c>
      <c r="B4869" t="inlineStr">
        <is>
          <t>2018-08-14</t>
        </is>
      </c>
      <c r="C4869" t="inlineStr">
        <is>
          <t>2018-08</t>
        </is>
      </c>
      <c r="D4869" t="inlineStr">
        <is>
          <t>SP</t>
        </is>
      </c>
      <c r="E4869" t="inlineStr">
        <is>
          <t>health_beauty</t>
        </is>
      </c>
      <c r="F4869" t="n">
        <v>1</v>
      </c>
      <c r="G4869" t="n">
        <v>29.9</v>
      </c>
      <c r="H4869" t="n">
        <v>7.47</v>
      </c>
      <c r="I4869" t="inlineStr">
        <is>
          <t>credit_card</t>
        </is>
      </c>
      <c r="J4869" t="n">
        <v>2</v>
      </c>
      <c r="K4869" t="inlineStr">
        <is>
          <t>On Time</t>
        </is>
      </c>
      <c r="L4869" t="n">
        <v>4</v>
      </c>
      <c r="M4869">
        <f>VLOOKUP(D4869,State_Lookup!$A$2:$B$28,2,FALSE)</f>
        <v/>
      </c>
    </row>
    <row r="4870">
      <c r="A4870" t="inlineStr">
        <is>
          <t>35642e42741af129914f2cd0ab468289</t>
        </is>
      </c>
      <c r="B4870" t="inlineStr">
        <is>
          <t>2018-08-14</t>
        </is>
      </c>
      <c r="C4870" t="inlineStr">
        <is>
          <t>2018-08</t>
        </is>
      </c>
      <c r="D4870" t="inlineStr">
        <is>
          <t>SC</t>
        </is>
      </c>
      <c r="E4870" t="inlineStr">
        <is>
          <t>watches_gifts</t>
        </is>
      </c>
      <c r="F4870" t="n">
        <v>1</v>
      </c>
      <c r="G4870" t="n">
        <v>117</v>
      </c>
      <c r="H4870" t="n">
        <v>18.92</v>
      </c>
      <c r="I4870" t="inlineStr">
        <is>
          <t>boleto</t>
        </is>
      </c>
      <c r="J4870" t="n">
        <v>13</v>
      </c>
      <c r="K4870" t="inlineStr">
        <is>
          <t>On Time</t>
        </is>
      </c>
      <c r="L4870" t="n">
        <v>1</v>
      </c>
      <c r="M4870">
        <f>VLOOKUP(D4870,State_Lookup!$A$2:$B$28,2,FALSE)</f>
        <v/>
      </c>
    </row>
    <row r="4871">
      <c r="A4871" t="inlineStr">
        <is>
          <t>d2651bbfae1f2a0814488eea7ff6165d</t>
        </is>
      </c>
      <c r="B4871" t="inlineStr">
        <is>
          <t>2018-08-14</t>
        </is>
      </c>
      <c r="C4871" t="inlineStr">
        <is>
          <t>2018-08</t>
        </is>
      </c>
      <c r="D4871" t="inlineStr">
        <is>
          <t>RJ</t>
        </is>
      </c>
      <c r="E4871" t="inlineStr">
        <is>
          <t>auto</t>
        </is>
      </c>
      <c r="F4871" t="n">
        <v>1</v>
      </c>
      <c r="G4871" t="n">
        <v>166.9</v>
      </c>
      <c r="H4871" t="n">
        <v>27.47</v>
      </c>
      <c r="I4871" t="inlineStr">
        <is>
          <t>credit_card</t>
        </is>
      </c>
      <c r="J4871" t="n">
        <v>8</v>
      </c>
      <c r="K4871" t="inlineStr">
        <is>
          <t>On Time</t>
        </is>
      </c>
      <c r="L4871" t="n">
        <v>4</v>
      </c>
      <c r="M4871">
        <f>VLOOKUP(D4871,State_Lookup!$A$2:$B$28,2,FALSE)</f>
        <v/>
      </c>
    </row>
    <row r="4872">
      <c r="A4872" t="inlineStr">
        <is>
          <t>33b4b136d93aba3984987dc2c213713e</t>
        </is>
      </c>
      <c r="B4872" t="inlineStr">
        <is>
          <t>2018-08-14</t>
        </is>
      </c>
      <c r="C4872" t="inlineStr">
        <is>
          <t>2018-08</t>
        </is>
      </c>
      <c r="D4872" t="inlineStr">
        <is>
          <t>SP</t>
        </is>
      </c>
      <c r="E4872" t="inlineStr">
        <is>
          <t>auto</t>
        </is>
      </c>
      <c r="F4872" t="n">
        <v>1</v>
      </c>
      <c r="G4872" t="n">
        <v>250</v>
      </c>
      <c r="H4872" t="n">
        <v>9.01</v>
      </c>
      <c r="I4872" t="inlineStr">
        <is>
          <t>credit_card</t>
        </is>
      </c>
      <c r="J4872" t="n">
        <v>1</v>
      </c>
      <c r="K4872" t="inlineStr">
        <is>
          <t>On Time</t>
        </is>
      </c>
      <c r="L4872" t="n">
        <v>5</v>
      </c>
      <c r="M4872">
        <f>VLOOKUP(D4872,State_Lookup!$A$2:$B$28,2,FALSE)</f>
        <v/>
      </c>
    </row>
    <row r="4873">
      <c r="A4873" t="inlineStr">
        <is>
          <t>addd750cdd1e291d03ffa31e89eec86e</t>
        </is>
      </c>
      <c r="B4873" t="inlineStr">
        <is>
          <t>2018-08-14</t>
        </is>
      </c>
      <c r="C4873" t="inlineStr">
        <is>
          <t>2018-08</t>
        </is>
      </c>
      <c r="D4873" t="inlineStr">
        <is>
          <t>RJ</t>
        </is>
      </c>
      <c r="E4873" t="inlineStr">
        <is>
          <t>health_beauty</t>
        </is>
      </c>
      <c r="F4873" t="n">
        <v>1</v>
      </c>
      <c r="G4873" t="n">
        <v>119.99</v>
      </c>
      <c r="H4873" t="n">
        <v>63.09</v>
      </c>
      <c r="I4873" t="inlineStr">
        <is>
          <t>credit_card</t>
        </is>
      </c>
      <c r="J4873" t="n">
        <v>8</v>
      </c>
      <c r="K4873" t="inlineStr">
        <is>
          <t>On Time</t>
        </is>
      </c>
      <c r="L4873" t="n">
        <v>3</v>
      </c>
      <c r="M4873">
        <f>VLOOKUP(D4873,State_Lookup!$A$2:$B$28,2,FALSE)</f>
        <v/>
      </c>
    </row>
    <row r="4874">
      <c r="A4874" t="inlineStr">
        <is>
          <t>bf65b4dfd8ce84479e31f38c67b18312</t>
        </is>
      </c>
      <c r="B4874" t="inlineStr">
        <is>
          <t>2018-08-14</t>
        </is>
      </c>
      <c r="C4874" t="inlineStr">
        <is>
          <t>2018-08</t>
        </is>
      </c>
      <c r="D4874" t="inlineStr">
        <is>
          <t>PR</t>
        </is>
      </c>
      <c r="E4874" t="inlineStr">
        <is>
          <t>telephony</t>
        </is>
      </c>
      <c r="F4874" t="n">
        <v>1</v>
      </c>
      <c r="G4874" t="n">
        <v>14.9</v>
      </c>
      <c r="H4874" t="n">
        <v>15.23</v>
      </c>
      <c r="I4874" t="inlineStr">
        <is>
          <t>credit_card</t>
        </is>
      </c>
      <c r="J4874" t="n">
        <v>8</v>
      </c>
      <c r="K4874" t="inlineStr">
        <is>
          <t>On Time</t>
        </is>
      </c>
      <c r="L4874" t="n">
        <v>4</v>
      </c>
      <c r="M4874">
        <f>VLOOKUP(D4874,State_Lookup!$A$2:$B$28,2,FALSE)</f>
        <v/>
      </c>
    </row>
    <row r="4875">
      <c r="A4875" t="inlineStr">
        <is>
          <t>ae28255c7b837ba319c9cbf1dfeeea0d</t>
        </is>
      </c>
      <c r="B4875" t="inlineStr">
        <is>
          <t>2018-08-14</t>
        </is>
      </c>
      <c r="C4875" t="inlineStr">
        <is>
          <t>2018-08</t>
        </is>
      </c>
      <c r="D4875" t="inlineStr">
        <is>
          <t>SP</t>
        </is>
      </c>
      <c r="E4875" t="inlineStr">
        <is>
          <t>computers_accessories</t>
        </is>
      </c>
      <c r="F4875" t="n">
        <v>1</v>
      </c>
      <c r="G4875" t="n">
        <v>59.9</v>
      </c>
      <c r="H4875" t="n">
        <v>17.35</v>
      </c>
      <c r="I4875" t="inlineStr">
        <is>
          <t>credit_card</t>
        </is>
      </c>
      <c r="J4875" t="n">
        <v>5</v>
      </c>
      <c r="K4875" t="inlineStr">
        <is>
          <t>On Time</t>
        </is>
      </c>
      <c r="L4875" t="n">
        <v>4</v>
      </c>
      <c r="M4875">
        <f>VLOOKUP(D4875,State_Lookup!$A$2:$B$28,2,FALSE)</f>
        <v/>
      </c>
    </row>
    <row r="4876">
      <c r="A4876" t="inlineStr">
        <is>
          <t>7621ddb8114cb72e4ac4673daf869f93</t>
        </is>
      </c>
      <c r="B4876" t="inlineStr">
        <is>
          <t>2018-08-14</t>
        </is>
      </c>
      <c r="C4876" t="inlineStr">
        <is>
          <t>2018-08</t>
        </is>
      </c>
      <c r="D4876" t="inlineStr">
        <is>
          <t>SP</t>
        </is>
      </c>
      <c r="E4876" t="inlineStr">
        <is>
          <t>stationery</t>
        </is>
      </c>
      <c r="F4876" t="n">
        <v>1</v>
      </c>
      <c r="G4876" t="n">
        <v>135.9</v>
      </c>
      <c r="H4876" t="n">
        <v>16.05</v>
      </c>
      <c r="I4876" t="inlineStr">
        <is>
          <t>credit_card</t>
        </is>
      </c>
      <c r="J4876" t="n">
        <v>4</v>
      </c>
      <c r="K4876" t="inlineStr">
        <is>
          <t>On Time</t>
        </is>
      </c>
      <c r="L4876" t="n">
        <v>4</v>
      </c>
      <c r="M4876">
        <f>VLOOKUP(D4876,State_Lookup!$A$2:$B$28,2,FALSE)</f>
        <v/>
      </c>
    </row>
    <row r="4877">
      <c r="A4877" t="inlineStr">
        <is>
          <t>f7b736bf93ccc535ded543a109635e28</t>
        </is>
      </c>
      <c r="B4877" t="inlineStr">
        <is>
          <t>2018-08-14</t>
        </is>
      </c>
      <c r="C4877" t="inlineStr">
        <is>
          <t>2018-08</t>
        </is>
      </c>
      <c r="D4877" t="inlineStr">
        <is>
          <t>MG</t>
        </is>
      </c>
      <c r="E4877" t="inlineStr">
        <is>
          <t>garden_tools</t>
        </is>
      </c>
      <c r="F4877" t="n">
        <v>1</v>
      </c>
      <c r="G4877" t="n">
        <v>34.99</v>
      </c>
      <c r="H4877" t="n">
        <v>14.55</v>
      </c>
      <c r="I4877" t="inlineStr">
        <is>
          <t>credit_card</t>
        </is>
      </c>
      <c r="J4877" t="n">
        <v>2</v>
      </c>
      <c r="K4877" t="inlineStr">
        <is>
          <t>On Time</t>
        </is>
      </c>
      <c r="L4877" t="n">
        <v>5</v>
      </c>
      <c r="M4877">
        <f>VLOOKUP(D4877,State_Lookup!$A$2:$B$28,2,FALSE)</f>
        <v/>
      </c>
    </row>
    <row r="4878">
      <c r="A4878" t="inlineStr">
        <is>
          <t>e1da670d323874bc4ab65a65fd87eb05</t>
        </is>
      </c>
      <c r="B4878" t="inlineStr">
        <is>
          <t>2018-08-14</t>
        </is>
      </c>
      <c r="C4878" t="inlineStr">
        <is>
          <t>2018-08</t>
        </is>
      </c>
      <c r="D4878" t="inlineStr">
        <is>
          <t>SP</t>
        </is>
      </c>
      <c r="E4878" t="inlineStr">
        <is>
          <t>auto</t>
        </is>
      </c>
      <c r="F4878" t="n">
        <v>1</v>
      </c>
      <c r="G4878" t="n">
        <v>795.95</v>
      </c>
      <c r="H4878" t="n">
        <v>26.21</v>
      </c>
      <c r="I4878" t="inlineStr">
        <is>
          <t>debit_card</t>
        </is>
      </c>
      <c r="J4878" t="n">
        <v>9</v>
      </c>
      <c r="K4878" t="inlineStr">
        <is>
          <t>On Time</t>
        </is>
      </c>
      <c r="L4878" t="n">
        <v>5</v>
      </c>
      <c r="M4878">
        <f>VLOOKUP(D4878,State_Lookup!$A$2:$B$28,2,FALSE)</f>
        <v/>
      </c>
    </row>
    <row r="4879">
      <c r="A4879" t="inlineStr">
        <is>
          <t>69c6be5f48a1dd84aa79f4ed149dbb30</t>
        </is>
      </c>
      <c r="B4879" t="inlineStr">
        <is>
          <t>2018-08-14</t>
        </is>
      </c>
      <c r="C4879" t="inlineStr">
        <is>
          <t>2018-08</t>
        </is>
      </c>
      <c r="D4879" t="inlineStr">
        <is>
          <t>RJ</t>
        </is>
      </c>
      <c r="E4879" t="inlineStr">
        <is>
          <t>bed_bath_table</t>
        </is>
      </c>
      <c r="F4879" t="n">
        <v>1</v>
      </c>
      <c r="G4879" t="n">
        <v>76</v>
      </c>
      <c r="H4879" t="n">
        <v>23.33</v>
      </c>
      <c r="I4879" t="inlineStr">
        <is>
          <t>credit_card</t>
        </is>
      </c>
      <c r="J4879" t="n">
        <v>5</v>
      </c>
      <c r="K4879" t="inlineStr">
        <is>
          <t>On Time</t>
        </is>
      </c>
      <c r="L4879" t="n">
        <v>3</v>
      </c>
      <c r="M4879">
        <f>VLOOKUP(D4879,State_Lookup!$A$2:$B$28,2,FALSE)</f>
        <v/>
      </c>
    </row>
    <row r="4880">
      <c r="A4880" t="inlineStr">
        <is>
          <t>fdf8b612a318d48e808e069e22f8222d</t>
        </is>
      </c>
      <c r="B4880" t="inlineStr">
        <is>
          <t>2018-08-14</t>
        </is>
      </c>
      <c r="C4880" t="inlineStr">
        <is>
          <t>2018-08</t>
        </is>
      </c>
      <c r="D4880" t="inlineStr">
        <is>
          <t>SC</t>
        </is>
      </c>
      <c r="E4880" t="inlineStr">
        <is>
          <t>pet_shop</t>
        </is>
      </c>
      <c r="F4880" t="n">
        <v>1</v>
      </c>
      <c r="G4880" t="n">
        <v>105</v>
      </c>
      <c r="H4880" t="n">
        <v>27.69</v>
      </c>
      <c r="I4880" t="inlineStr">
        <is>
          <t>boleto</t>
        </is>
      </c>
      <c r="J4880" t="n">
        <v>13</v>
      </c>
      <c r="K4880" t="inlineStr">
        <is>
          <t>On Time</t>
        </is>
      </c>
      <c r="L4880" t="n">
        <v>4</v>
      </c>
      <c r="M4880">
        <f>VLOOKUP(D4880,State_Lookup!$A$2:$B$28,2,FALSE)</f>
        <v/>
      </c>
    </row>
    <row r="4881">
      <c r="A4881" t="inlineStr">
        <is>
          <t>08bd4784e35a8be0fa12c4f4f91799ac</t>
        </is>
      </c>
      <c r="B4881" t="inlineStr">
        <is>
          <t>2018-08-14</t>
        </is>
      </c>
      <c r="C4881" t="inlineStr">
        <is>
          <t>2018-08</t>
        </is>
      </c>
      <c r="D4881" t="inlineStr">
        <is>
          <t>DF</t>
        </is>
      </c>
      <c r="E4881" t="inlineStr">
        <is>
          <t>health_beauty</t>
        </is>
      </c>
      <c r="F4881" t="n">
        <v>1</v>
      </c>
      <c r="G4881" t="n">
        <v>66.98999999999999</v>
      </c>
      <c r="H4881" t="n">
        <v>23.19</v>
      </c>
      <c r="I4881" t="inlineStr">
        <is>
          <t>credit_card</t>
        </is>
      </c>
      <c r="J4881" t="n">
        <v>13</v>
      </c>
      <c r="K4881" t="inlineStr">
        <is>
          <t>On Time</t>
        </is>
      </c>
      <c r="L4881" t="n">
        <v>4</v>
      </c>
      <c r="M4881">
        <f>VLOOKUP(D4881,State_Lookup!$A$2:$B$28,2,FALSE)</f>
        <v/>
      </c>
    </row>
    <row r="4882">
      <c r="A4882" t="inlineStr">
        <is>
          <t>fe166f25e5b4e549094b37531b20cd19</t>
        </is>
      </c>
      <c r="B4882" t="inlineStr">
        <is>
          <t>2018-08-15</t>
        </is>
      </c>
      <c r="C4882" t="inlineStr">
        <is>
          <t>2018-08</t>
        </is>
      </c>
      <c r="D4882" t="inlineStr">
        <is>
          <t>SP</t>
        </is>
      </c>
      <c r="E4882" t="inlineStr">
        <is>
          <t>health_beauty</t>
        </is>
      </c>
      <c r="F4882" t="n">
        <v>1</v>
      </c>
      <c r="G4882" t="n">
        <v>118.99</v>
      </c>
      <c r="H4882" t="n">
        <v>8.09</v>
      </c>
      <c r="I4882" t="inlineStr">
        <is>
          <t>credit_card</t>
        </is>
      </c>
      <c r="J4882" t="n">
        <v>6</v>
      </c>
      <c r="K4882" t="inlineStr">
        <is>
          <t>On Time</t>
        </is>
      </c>
      <c r="L4882" t="n">
        <v>5</v>
      </c>
      <c r="M4882">
        <f>VLOOKUP(D4882,State_Lookup!$A$2:$B$28,2,FALSE)</f>
        <v/>
      </c>
    </row>
    <row r="4883">
      <c r="A4883" t="inlineStr">
        <is>
          <t>593608ed6695aef889973ce8a45506b4</t>
        </is>
      </c>
      <c r="B4883" t="inlineStr">
        <is>
          <t>2018-08-15</t>
        </is>
      </c>
      <c r="C4883" t="inlineStr">
        <is>
          <t>2018-08</t>
        </is>
      </c>
      <c r="D4883" t="inlineStr">
        <is>
          <t>MG</t>
        </is>
      </c>
      <c r="E4883" t="inlineStr">
        <is>
          <t>perfumery</t>
        </is>
      </c>
      <c r="F4883" t="n">
        <v>1</v>
      </c>
      <c r="G4883" t="n">
        <v>64</v>
      </c>
      <c r="H4883" t="n">
        <v>18.55</v>
      </c>
      <c r="I4883" t="inlineStr">
        <is>
          <t>credit_card</t>
        </is>
      </c>
      <c r="J4883" t="n">
        <v>5</v>
      </c>
      <c r="K4883" t="inlineStr">
        <is>
          <t>On Time</t>
        </is>
      </c>
      <c r="L4883" t="n">
        <v>5</v>
      </c>
      <c r="M4883">
        <f>VLOOKUP(D4883,State_Lookup!$A$2:$B$28,2,FALSE)</f>
        <v/>
      </c>
    </row>
    <row r="4884">
      <c r="A4884" t="inlineStr">
        <is>
          <t>243fd4d4dbddf371c229a0122ac3e661</t>
        </is>
      </c>
      <c r="B4884" t="inlineStr">
        <is>
          <t>2018-08-15</t>
        </is>
      </c>
      <c r="C4884" t="inlineStr">
        <is>
          <t>2018-08</t>
        </is>
      </c>
      <c r="D4884" t="inlineStr">
        <is>
          <t>RJ</t>
        </is>
      </c>
      <c r="E4884" t="inlineStr">
        <is>
          <t>bed_bath_table</t>
        </is>
      </c>
      <c r="F4884" t="n">
        <v>1</v>
      </c>
      <c r="G4884" t="n">
        <v>109.9</v>
      </c>
      <c r="H4884" t="n">
        <v>23.57</v>
      </c>
      <c r="I4884" t="inlineStr">
        <is>
          <t>boleto</t>
        </is>
      </c>
      <c r="J4884" t="n">
        <v>7</v>
      </c>
      <c r="K4884" t="inlineStr">
        <is>
          <t>On Time</t>
        </is>
      </c>
      <c r="L4884" t="n">
        <v>4</v>
      </c>
      <c r="M4884">
        <f>VLOOKUP(D4884,State_Lookup!$A$2:$B$28,2,FALSE)</f>
        <v/>
      </c>
    </row>
    <row r="4885">
      <c r="A4885" t="inlineStr">
        <is>
          <t>61920c076c4c9bd3f5e1cd9d42309139</t>
        </is>
      </c>
      <c r="B4885" t="inlineStr">
        <is>
          <t>2018-08-15</t>
        </is>
      </c>
      <c r="C4885" t="inlineStr">
        <is>
          <t>2018-08</t>
        </is>
      </c>
      <c r="D4885" t="inlineStr">
        <is>
          <t>PR</t>
        </is>
      </c>
      <c r="E4885" t="inlineStr">
        <is>
          <t>bed_bath_table</t>
        </is>
      </c>
      <c r="F4885" t="n">
        <v>1</v>
      </c>
      <c r="G4885" t="n">
        <v>69</v>
      </c>
      <c r="H4885" t="n">
        <v>23.28</v>
      </c>
      <c r="I4885" t="inlineStr">
        <is>
          <t>credit_card</t>
        </is>
      </c>
      <c r="J4885" t="n">
        <v>9</v>
      </c>
      <c r="K4885" t="inlineStr">
        <is>
          <t>On Time</t>
        </is>
      </c>
      <c r="L4885" t="inlineStr"/>
      <c r="M4885">
        <f>VLOOKUP(D4885,State_Lookup!$A$2:$B$28,2,FALSE)</f>
        <v/>
      </c>
    </row>
    <row r="4886">
      <c r="A4886" t="inlineStr">
        <is>
          <t>cf2a9fcfac08206bae42b3118368c9d1</t>
        </is>
      </c>
      <c r="B4886" t="inlineStr">
        <is>
          <t>2018-08-15</t>
        </is>
      </c>
      <c r="C4886" t="inlineStr">
        <is>
          <t>2018-08</t>
        </is>
      </c>
      <c r="D4886" t="inlineStr">
        <is>
          <t>MG</t>
        </is>
      </c>
      <c r="E4886" t="inlineStr">
        <is>
          <t>telephony</t>
        </is>
      </c>
      <c r="F4886" t="n">
        <v>1</v>
      </c>
      <c r="G4886" t="n">
        <v>39.9</v>
      </c>
      <c r="H4886" t="n">
        <v>15.38</v>
      </c>
      <c r="I4886" t="inlineStr">
        <is>
          <t>credit_card</t>
        </is>
      </c>
      <c r="J4886" t="n">
        <v>5</v>
      </c>
      <c r="K4886" t="inlineStr">
        <is>
          <t>On Time</t>
        </is>
      </c>
      <c r="L4886" t="inlineStr"/>
      <c r="M4886">
        <f>VLOOKUP(D4886,State_Lookup!$A$2:$B$28,2,FALSE)</f>
        <v/>
      </c>
    </row>
    <row r="4887">
      <c r="A4887" t="inlineStr">
        <is>
          <t>5750d60517669a97d14de871a5f11798</t>
        </is>
      </c>
      <c r="B4887" t="inlineStr">
        <is>
          <t>2018-08-15</t>
        </is>
      </c>
      <c r="C4887" t="inlineStr">
        <is>
          <t>2018-08</t>
        </is>
      </c>
      <c r="D4887" t="inlineStr">
        <is>
          <t>PR</t>
        </is>
      </c>
      <c r="E4887" t="inlineStr">
        <is>
          <t>health_beauty</t>
        </is>
      </c>
      <c r="F4887" t="n">
        <v>1</v>
      </c>
      <c r="G4887" t="n">
        <v>149.65</v>
      </c>
      <c r="H4887" t="n">
        <v>19.15</v>
      </c>
      <c r="I4887" t="inlineStr">
        <is>
          <t>boleto</t>
        </is>
      </c>
      <c r="J4887" t="n">
        <v>6</v>
      </c>
      <c r="K4887" t="inlineStr">
        <is>
          <t>On Time</t>
        </is>
      </c>
      <c r="L4887" t="n">
        <v>5</v>
      </c>
      <c r="M4887">
        <f>VLOOKUP(D4887,State_Lookup!$A$2:$B$28,2,FALSE)</f>
        <v/>
      </c>
    </row>
    <row r="4888">
      <c r="A4888" t="inlineStr">
        <is>
          <t>fab4815807a6e4f6e958e70eda5608bd</t>
        </is>
      </c>
      <c r="B4888" t="inlineStr">
        <is>
          <t>2018-08-15</t>
        </is>
      </c>
      <c r="C4888" t="inlineStr">
        <is>
          <t>2018-08</t>
        </is>
      </c>
      <c r="D4888" t="inlineStr">
        <is>
          <t>SP</t>
        </is>
      </c>
      <c r="E4888" t="inlineStr">
        <is>
          <t>sports_leisure</t>
        </is>
      </c>
      <c r="F4888" t="n">
        <v>1</v>
      </c>
      <c r="G4888" t="n">
        <v>43</v>
      </c>
      <c r="H4888" t="n">
        <v>8.039999999999999</v>
      </c>
      <c r="I4888" t="inlineStr">
        <is>
          <t>boleto</t>
        </is>
      </c>
      <c r="J4888" t="n">
        <v>5</v>
      </c>
      <c r="K4888" t="inlineStr">
        <is>
          <t>On Time</t>
        </is>
      </c>
      <c r="L4888" t="n">
        <v>5</v>
      </c>
      <c r="M4888">
        <f>VLOOKUP(D4888,State_Lookup!$A$2:$B$28,2,FALSE)</f>
        <v/>
      </c>
    </row>
    <row r="4889">
      <c r="A4889" t="inlineStr">
        <is>
          <t>80bef000a2d88b3b23fab45c546c67ff</t>
        </is>
      </c>
      <c r="B4889" t="inlineStr">
        <is>
          <t>2018-08-15</t>
        </is>
      </c>
      <c r="C4889" t="inlineStr">
        <is>
          <t>2018-08</t>
        </is>
      </c>
      <c r="D4889" t="inlineStr">
        <is>
          <t>SP</t>
        </is>
      </c>
      <c r="E4889" t="inlineStr">
        <is>
          <t>housewares</t>
        </is>
      </c>
      <c r="F4889" t="n">
        <v>1</v>
      </c>
      <c r="G4889" t="n">
        <v>89.90000000000001</v>
      </c>
      <c r="H4889" t="n">
        <v>17.76</v>
      </c>
      <c r="I4889" t="inlineStr">
        <is>
          <t>credit_card</t>
        </is>
      </c>
      <c r="J4889" t="n">
        <v>8</v>
      </c>
      <c r="K4889" t="inlineStr">
        <is>
          <t>On Time</t>
        </is>
      </c>
      <c r="L4889" t="n">
        <v>5</v>
      </c>
      <c r="M4889">
        <f>VLOOKUP(D4889,State_Lookup!$A$2:$B$28,2,FALSE)</f>
        <v/>
      </c>
    </row>
    <row r="4890">
      <c r="A4890" t="inlineStr">
        <is>
          <t>d34e950d8952f0edfb48e7be2634ff91</t>
        </is>
      </c>
      <c r="B4890" t="inlineStr">
        <is>
          <t>2018-08-15</t>
        </is>
      </c>
      <c r="C4890" t="inlineStr">
        <is>
          <t>2018-08</t>
        </is>
      </c>
      <c r="D4890" t="inlineStr">
        <is>
          <t>RS</t>
        </is>
      </c>
      <c r="E4890" t="inlineStr">
        <is>
          <t>furniture_decor</t>
        </is>
      </c>
      <c r="F4890" t="n">
        <v>1</v>
      </c>
      <c r="G4890" t="n">
        <v>55</v>
      </c>
      <c r="H4890" t="n">
        <v>19.58</v>
      </c>
      <c r="I4890" t="inlineStr">
        <is>
          <t>credit_card</t>
        </is>
      </c>
      <c r="J4890" t="n">
        <v>15</v>
      </c>
      <c r="K4890" t="inlineStr">
        <is>
          <t>On Time</t>
        </is>
      </c>
      <c r="L4890" t="n">
        <v>5</v>
      </c>
      <c r="M4890">
        <f>VLOOKUP(D4890,State_Lookup!$A$2:$B$28,2,FALSE)</f>
        <v/>
      </c>
    </row>
    <row r="4891">
      <c r="A4891" t="inlineStr">
        <is>
          <t>94fca82966c05ba707f4e7dc0c50aa3c</t>
        </is>
      </c>
      <c r="B4891" t="inlineStr">
        <is>
          <t>2018-08-15</t>
        </is>
      </c>
      <c r="C4891" t="inlineStr">
        <is>
          <t>2018-08</t>
        </is>
      </c>
      <c r="D4891" t="inlineStr">
        <is>
          <t>MG</t>
        </is>
      </c>
      <c r="E4891" t="inlineStr">
        <is>
          <t>sports_leisure</t>
        </is>
      </c>
      <c r="F4891" t="n">
        <v>1</v>
      </c>
      <c r="G4891" t="n">
        <v>3099</v>
      </c>
      <c r="H4891" t="n">
        <v>252.35</v>
      </c>
      <c r="I4891" t="inlineStr">
        <is>
          <t>credit_card</t>
        </is>
      </c>
      <c r="J4891" t="n">
        <v>5</v>
      </c>
      <c r="K4891" t="inlineStr">
        <is>
          <t>On Time</t>
        </is>
      </c>
      <c r="L4891" t="n">
        <v>4</v>
      </c>
      <c r="M4891">
        <f>VLOOKUP(D4891,State_Lookup!$A$2:$B$28,2,FALSE)</f>
        <v/>
      </c>
    </row>
    <row r="4892">
      <c r="A4892" t="inlineStr">
        <is>
          <t>076291ccc60bbd19ff77babbb78324d5</t>
        </is>
      </c>
      <c r="B4892" t="inlineStr">
        <is>
          <t>2018-08-15</t>
        </is>
      </c>
      <c r="C4892" t="inlineStr">
        <is>
          <t>2018-08</t>
        </is>
      </c>
      <c r="D4892" t="inlineStr">
        <is>
          <t>SP</t>
        </is>
      </c>
      <c r="E4892" t="inlineStr">
        <is>
          <t>baby</t>
        </is>
      </c>
      <c r="F4892" t="n">
        <v>1</v>
      </c>
      <c r="G4892" t="n">
        <v>232.9</v>
      </c>
      <c r="H4892" t="n">
        <v>37.71</v>
      </c>
      <c r="I4892" t="inlineStr">
        <is>
          <t>credit_card</t>
        </is>
      </c>
      <c r="J4892" t="n">
        <v>7</v>
      </c>
      <c r="K4892" t="inlineStr">
        <is>
          <t>On Time</t>
        </is>
      </c>
      <c r="L4892" t="n">
        <v>4</v>
      </c>
      <c r="M4892">
        <f>VLOOKUP(D4892,State_Lookup!$A$2:$B$28,2,FALSE)</f>
        <v/>
      </c>
    </row>
    <row r="4893">
      <c r="A4893" t="inlineStr">
        <is>
          <t>5c4b6f896e003ca0b2a00ac3d1124822</t>
        </is>
      </c>
      <c r="B4893" t="inlineStr">
        <is>
          <t>2018-08-15</t>
        </is>
      </c>
      <c r="C4893" t="inlineStr">
        <is>
          <t>2018-08</t>
        </is>
      </c>
      <c r="D4893" t="inlineStr">
        <is>
          <t>SP</t>
        </is>
      </c>
      <c r="E4893" t="inlineStr">
        <is>
          <t>luggage_accessories</t>
        </is>
      </c>
      <c r="F4893" t="n">
        <v>1</v>
      </c>
      <c r="G4893" t="n">
        <v>60</v>
      </c>
      <c r="H4893" t="n">
        <v>9.17</v>
      </c>
      <c r="I4893" t="inlineStr">
        <is>
          <t>credit_card</t>
        </is>
      </c>
      <c r="J4893" t="n">
        <v>5</v>
      </c>
      <c r="K4893" t="inlineStr">
        <is>
          <t>Late</t>
        </is>
      </c>
      <c r="L4893" t="n">
        <v>4</v>
      </c>
      <c r="M4893">
        <f>VLOOKUP(D4893,State_Lookup!$A$2:$B$28,2,FALSE)</f>
        <v/>
      </c>
    </row>
    <row r="4894">
      <c r="A4894" t="inlineStr">
        <is>
          <t>a5543e119a631f1be4191fbc2c5e1e07</t>
        </is>
      </c>
      <c r="B4894" t="inlineStr">
        <is>
          <t>2018-08-15</t>
        </is>
      </c>
      <c r="C4894" t="inlineStr">
        <is>
          <t>2018-08</t>
        </is>
      </c>
      <c r="D4894" t="inlineStr">
        <is>
          <t>PE</t>
        </is>
      </c>
      <c r="E4894" t="inlineStr">
        <is>
          <t>watches_gifts</t>
        </is>
      </c>
      <c r="F4894" t="n">
        <v>1</v>
      </c>
      <c r="G4894" t="n">
        <v>49</v>
      </c>
      <c r="H4894" t="n">
        <v>19.25</v>
      </c>
      <c r="I4894" t="inlineStr">
        <is>
          <t>boleto</t>
        </is>
      </c>
      <c r="J4894" t="n">
        <v>7</v>
      </c>
      <c r="K4894" t="inlineStr">
        <is>
          <t>On Time</t>
        </is>
      </c>
      <c r="L4894" t="n">
        <v>5</v>
      </c>
      <c r="M4894">
        <f>VLOOKUP(D4894,State_Lookup!$A$2:$B$28,2,FALSE)</f>
        <v/>
      </c>
    </row>
    <row r="4895">
      <c r="A4895" t="inlineStr">
        <is>
          <t>0f090dd2d83a9d755108584313c8208d</t>
        </is>
      </c>
      <c r="B4895" t="inlineStr">
        <is>
          <t>2018-08-15</t>
        </is>
      </c>
      <c r="C4895" t="inlineStr">
        <is>
          <t>2018-08</t>
        </is>
      </c>
      <c r="D4895" t="inlineStr">
        <is>
          <t>SP</t>
        </is>
      </c>
      <c r="E4895" t="inlineStr">
        <is>
          <t>housewares</t>
        </is>
      </c>
      <c r="F4895" t="n">
        <v>2</v>
      </c>
      <c r="G4895" t="n">
        <v>11.7</v>
      </c>
      <c r="H4895" t="n">
        <v>36.46</v>
      </c>
      <c r="I4895" t="inlineStr">
        <is>
          <t>credit_card</t>
        </is>
      </c>
      <c r="J4895" t="n">
        <v>5</v>
      </c>
      <c r="K4895" t="inlineStr">
        <is>
          <t>On Time</t>
        </is>
      </c>
      <c r="L4895" t="n">
        <v>3</v>
      </c>
      <c r="M4895">
        <f>VLOOKUP(D4895,State_Lookup!$A$2:$B$28,2,FALSE)</f>
        <v/>
      </c>
    </row>
    <row r="4896">
      <c r="A4896" t="inlineStr">
        <is>
          <t>3f50f62b343cd447c0fd8af4196bdc33</t>
        </is>
      </c>
      <c r="B4896" t="inlineStr">
        <is>
          <t>2018-08-15</t>
        </is>
      </c>
      <c r="C4896" t="inlineStr">
        <is>
          <t>2018-08</t>
        </is>
      </c>
      <c r="D4896" t="inlineStr">
        <is>
          <t>SP</t>
        </is>
      </c>
      <c r="E4896" t="inlineStr">
        <is>
          <t>health_beauty</t>
        </is>
      </c>
      <c r="F4896" t="n">
        <v>1</v>
      </c>
      <c r="G4896" t="n">
        <v>55</v>
      </c>
      <c r="H4896" t="n">
        <v>8.550000000000001</v>
      </c>
      <c r="I4896" t="inlineStr">
        <is>
          <t>credit_card</t>
        </is>
      </c>
      <c r="J4896" t="n">
        <v>2</v>
      </c>
      <c r="K4896" t="inlineStr">
        <is>
          <t>On Time</t>
        </is>
      </c>
      <c r="L4896" t="n">
        <v>5</v>
      </c>
      <c r="M4896">
        <f>VLOOKUP(D4896,State_Lookup!$A$2:$B$28,2,FALSE)</f>
        <v/>
      </c>
    </row>
    <row r="4897">
      <c r="A4897" t="inlineStr">
        <is>
          <t>c7c1820a74542b67b30b740697e55d01</t>
        </is>
      </c>
      <c r="B4897" t="inlineStr">
        <is>
          <t>2018-08-15</t>
        </is>
      </c>
      <c r="C4897" t="inlineStr">
        <is>
          <t>2018-08</t>
        </is>
      </c>
      <c r="D4897" t="inlineStr">
        <is>
          <t>SP</t>
        </is>
      </c>
      <c r="E4897" t="inlineStr">
        <is>
          <t>watches_gifts</t>
        </is>
      </c>
      <c r="F4897" t="n">
        <v>1</v>
      </c>
      <c r="G4897" t="n">
        <v>44</v>
      </c>
      <c r="H4897" t="n">
        <v>12.97</v>
      </c>
      <c r="I4897" t="inlineStr">
        <is>
          <t>boleto</t>
        </is>
      </c>
      <c r="J4897" t="n">
        <v>8</v>
      </c>
      <c r="K4897" t="inlineStr">
        <is>
          <t>On Time</t>
        </is>
      </c>
      <c r="L4897" t="n">
        <v>5</v>
      </c>
      <c r="M4897">
        <f>VLOOKUP(D4897,State_Lookup!$A$2:$B$28,2,FALSE)</f>
        <v/>
      </c>
    </row>
    <row r="4898">
      <c r="A4898" t="inlineStr">
        <is>
          <t>970a49012cfe41d81bfd4593b83ce4a5</t>
        </is>
      </c>
      <c r="B4898" t="inlineStr">
        <is>
          <t>2018-08-15</t>
        </is>
      </c>
      <c r="C4898" t="inlineStr">
        <is>
          <t>2018-08</t>
        </is>
      </c>
      <c r="D4898" t="inlineStr">
        <is>
          <t>SC</t>
        </is>
      </c>
      <c r="E4898" t="inlineStr">
        <is>
          <t>stationery</t>
        </is>
      </c>
      <c r="F4898" t="n">
        <v>1</v>
      </c>
      <c r="G4898" t="n">
        <v>24.9</v>
      </c>
      <c r="H4898" t="n">
        <v>18.32</v>
      </c>
      <c r="I4898" t="inlineStr">
        <is>
          <t>boleto</t>
        </is>
      </c>
      <c r="J4898" t="n">
        <v>13</v>
      </c>
      <c r="K4898" t="inlineStr">
        <is>
          <t>On Time</t>
        </is>
      </c>
      <c r="L4898" t="n">
        <v>5</v>
      </c>
      <c r="M4898">
        <f>VLOOKUP(D4898,State_Lookup!$A$2:$B$28,2,FALSE)</f>
        <v/>
      </c>
    </row>
    <row r="4899">
      <c r="A4899" t="inlineStr">
        <is>
          <t>dc9f4cd231c11babfef316d35486eff4</t>
        </is>
      </c>
      <c r="B4899" t="inlineStr">
        <is>
          <t>2018-08-15</t>
        </is>
      </c>
      <c r="C4899" t="inlineStr">
        <is>
          <t>2018-08</t>
        </is>
      </c>
      <c r="D4899" t="inlineStr">
        <is>
          <t>PE</t>
        </is>
      </c>
      <c r="E4899" t="inlineStr">
        <is>
          <t>construction_tools_safety</t>
        </is>
      </c>
      <c r="F4899" t="n">
        <v>1</v>
      </c>
      <c r="G4899" t="n">
        <v>396.18</v>
      </c>
      <c r="H4899" t="n">
        <v>84.15000000000001</v>
      </c>
      <c r="I4899" t="inlineStr">
        <is>
          <t>boleto</t>
        </is>
      </c>
      <c r="J4899" t="n">
        <v>12</v>
      </c>
      <c r="K4899" t="inlineStr">
        <is>
          <t>On Time</t>
        </is>
      </c>
      <c r="L4899" t="n">
        <v>3</v>
      </c>
      <c r="M4899">
        <f>VLOOKUP(D4899,State_Lookup!$A$2:$B$28,2,FALSE)</f>
        <v/>
      </c>
    </row>
    <row r="4900">
      <c r="A4900" t="inlineStr">
        <is>
          <t>59566b390f9e3f2182830b3a0b1022d0</t>
        </is>
      </c>
      <c r="B4900" t="inlineStr">
        <is>
          <t>2018-08-15</t>
        </is>
      </c>
      <c r="C4900" t="inlineStr">
        <is>
          <t>2018-08</t>
        </is>
      </c>
      <c r="D4900" t="inlineStr">
        <is>
          <t>ES</t>
        </is>
      </c>
      <c r="E4900" t="inlineStr">
        <is>
          <t>telephony</t>
        </is>
      </c>
      <c r="F4900" t="n">
        <v>1</v>
      </c>
      <c r="G4900" t="n">
        <v>94.98999999999999</v>
      </c>
      <c r="H4900" t="n">
        <v>15.77</v>
      </c>
      <c r="I4900" t="inlineStr">
        <is>
          <t>credit_card</t>
        </is>
      </c>
      <c r="J4900" t="n">
        <v>8</v>
      </c>
      <c r="K4900" t="inlineStr">
        <is>
          <t>On Time</t>
        </is>
      </c>
      <c r="L4900" t="n">
        <v>5</v>
      </c>
      <c r="M4900">
        <f>VLOOKUP(D4900,State_Lookup!$A$2:$B$28,2,FALSE)</f>
        <v/>
      </c>
    </row>
    <row r="4901">
      <c r="A4901" t="inlineStr">
        <is>
          <t>f92e273af7fd8aa4c0b40388cf80be75</t>
        </is>
      </c>
      <c r="B4901" t="inlineStr">
        <is>
          <t>2018-08-15</t>
        </is>
      </c>
      <c r="C4901" t="inlineStr">
        <is>
          <t>2018-08</t>
        </is>
      </c>
      <c r="D4901" t="inlineStr">
        <is>
          <t>ES</t>
        </is>
      </c>
      <c r="E4901" t="inlineStr">
        <is>
          <t>garden_tools</t>
        </is>
      </c>
      <c r="F4901" t="n">
        <v>1</v>
      </c>
      <c r="G4901" t="n">
        <v>85</v>
      </c>
      <c r="H4901" t="n">
        <v>38.87</v>
      </c>
      <c r="I4901" t="inlineStr">
        <is>
          <t>credit_card</t>
        </is>
      </c>
      <c r="J4901" t="n">
        <v>12</v>
      </c>
      <c r="K4901" t="inlineStr">
        <is>
          <t>On Time</t>
        </is>
      </c>
      <c r="L4901" t="n">
        <v>5</v>
      </c>
      <c r="M4901">
        <f>VLOOKUP(D4901,State_Lookup!$A$2:$B$28,2,FALSE)</f>
        <v/>
      </c>
    </row>
    <row r="4902">
      <c r="A4902" t="inlineStr">
        <is>
          <t>6bd0fc624485f2d1ad4aad6df1569d1a</t>
        </is>
      </c>
      <c r="B4902" t="inlineStr">
        <is>
          <t>2018-08-15</t>
        </is>
      </c>
      <c r="C4902" t="inlineStr">
        <is>
          <t>2018-08</t>
        </is>
      </c>
      <c r="D4902" t="inlineStr">
        <is>
          <t>PR</t>
        </is>
      </c>
      <c r="E4902" t="inlineStr">
        <is>
          <t>electronics</t>
        </is>
      </c>
      <c r="F4902" t="n">
        <v>1</v>
      </c>
      <c r="G4902" t="n">
        <v>399</v>
      </c>
      <c r="H4902" t="n">
        <v>29.74</v>
      </c>
      <c r="I4902" t="inlineStr">
        <is>
          <t>boleto</t>
        </is>
      </c>
      <c r="J4902" t="n">
        <v>8</v>
      </c>
      <c r="K4902" t="inlineStr">
        <is>
          <t>On Time</t>
        </is>
      </c>
      <c r="L4902" t="n">
        <v>4</v>
      </c>
      <c r="M4902">
        <f>VLOOKUP(D4902,State_Lookup!$A$2:$B$28,2,FALSE)</f>
        <v/>
      </c>
    </row>
    <row r="4903">
      <c r="A4903" t="inlineStr">
        <is>
          <t>631bf0797fc3480d6eae9757b0c816b4</t>
        </is>
      </c>
      <c r="B4903" t="inlineStr">
        <is>
          <t>2018-08-16</t>
        </is>
      </c>
      <c r="C4903" t="inlineStr">
        <is>
          <t>2018-08</t>
        </is>
      </c>
      <c r="D4903" t="inlineStr">
        <is>
          <t>MG</t>
        </is>
      </c>
      <c r="E4903" t="inlineStr">
        <is>
          <t>auto</t>
        </is>
      </c>
      <c r="F4903" t="n">
        <v>1</v>
      </c>
      <c r="G4903" t="n">
        <v>498.9</v>
      </c>
      <c r="H4903" t="n">
        <v>29.79</v>
      </c>
      <c r="I4903" t="inlineStr">
        <is>
          <t>credit_card</t>
        </is>
      </c>
      <c r="J4903" t="n">
        <v>10</v>
      </c>
      <c r="K4903" t="inlineStr">
        <is>
          <t>On Time</t>
        </is>
      </c>
      <c r="L4903" t="n">
        <v>4</v>
      </c>
      <c r="M4903">
        <f>VLOOKUP(D4903,State_Lookup!$A$2:$B$28,2,FALSE)</f>
        <v/>
      </c>
    </row>
    <row r="4904">
      <c r="A4904" t="inlineStr">
        <is>
          <t>bc68edad1573b158a94188df0cd960c0</t>
        </is>
      </c>
      <c r="B4904" t="inlineStr">
        <is>
          <t>2018-08-16</t>
        </is>
      </c>
      <c r="C4904" t="inlineStr">
        <is>
          <t>2018-08</t>
        </is>
      </c>
      <c r="D4904" t="inlineStr">
        <is>
          <t>SP</t>
        </is>
      </c>
      <c r="E4904" t="inlineStr">
        <is>
          <t>auto</t>
        </is>
      </c>
      <c r="F4904" t="n">
        <v>1</v>
      </c>
      <c r="G4904" t="n">
        <v>32.99</v>
      </c>
      <c r="H4904" t="n">
        <v>7.49</v>
      </c>
      <c r="I4904" t="inlineStr">
        <is>
          <t>credit_card</t>
        </is>
      </c>
      <c r="J4904" t="n">
        <v>1</v>
      </c>
      <c r="K4904" t="inlineStr">
        <is>
          <t>On Time</t>
        </is>
      </c>
      <c r="L4904" t="n">
        <v>5</v>
      </c>
      <c r="M4904">
        <f>VLOOKUP(D4904,State_Lookup!$A$2:$B$28,2,FALSE)</f>
        <v/>
      </c>
    </row>
    <row r="4905">
      <c r="A4905" t="inlineStr">
        <is>
          <t>87a19a09b512b6691a4a97ea5748c501</t>
        </is>
      </c>
      <c r="B4905" t="inlineStr">
        <is>
          <t>2018-08-16</t>
        </is>
      </c>
      <c r="C4905" t="inlineStr">
        <is>
          <t>2018-08</t>
        </is>
      </c>
      <c r="D4905" t="inlineStr">
        <is>
          <t>BA</t>
        </is>
      </c>
      <c r="E4905" t="inlineStr">
        <is>
          <t>computers_accessories</t>
        </is>
      </c>
      <c r="F4905" t="n">
        <v>1</v>
      </c>
      <c r="G4905" t="n">
        <v>120</v>
      </c>
      <c r="H4905" t="n">
        <v>37.75</v>
      </c>
      <c r="I4905" t="inlineStr">
        <is>
          <t>credit_card</t>
        </is>
      </c>
      <c r="J4905" t="n">
        <v>9</v>
      </c>
      <c r="K4905" t="inlineStr">
        <is>
          <t>On Time</t>
        </is>
      </c>
      <c r="L4905" t="n">
        <v>4</v>
      </c>
      <c r="M4905">
        <f>VLOOKUP(D4905,State_Lookup!$A$2:$B$28,2,FALSE)</f>
        <v/>
      </c>
    </row>
    <row r="4906">
      <c r="A4906" t="inlineStr">
        <is>
          <t>c40611b989a9c073bcf8cee7d16e2473</t>
        </is>
      </c>
      <c r="B4906" t="inlineStr">
        <is>
          <t>2018-08-16</t>
        </is>
      </c>
      <c r="C4906" t="inlineStr">
        <is>
          <t>2018-08</t>
        </is>
      </c>
      <c r="D4906" t="inlineStr">
        <is>
          <t>MG</t>
        </is>
      </c>
      <c r="E4906" t="inlineStr">
        <is>
          <t>electronics</t>
        </is>
      </c>
      <c r="F4906" t="n">
        <v>1</v>
      </c>
      <c r="G4906" t="n">
        <v>15</v>
      </c>
      <c r="H4906" t="n">
        <v>16.32</v>
      </c>
      <c r="I4906" t="inlineStr">
        <is>
          <t>boleto</t>
        </is>
      </c>
      <c r="J4906" t="n">
        <v>6</v>
      </c>
      <c r="K4906" t="inlineStr">
        <is>
          <t>On Time</t>
        </is>
      </c>
      <c r="L4906" t="n">
        <v>5</v>
      </c>
      <c r="M4906">
        <f>VLOOKUP(D4906,State_Lookup!$A$2:$B$28,2,FALSE)</f>
        <v/>
      </c>
    </row>
    <row r="4907">
      <c r="A4907" t="inlineStr">
        <is>
          <t>8431f97a257ec43f34fd13b183d362b9</t>
        </is>
      </c>
      <c r="B4907" t="inlineStr">
        <is>
          <t>2018-08-16</t>
        </is>
      </c>
      <c r="C4907" t="inlineStr">
        <is>
          <t>2018-08</t>
        </is>
      </c>
      <c r="D4907" t="inlineStr">
        <is>
          <t>RN</t>
        </is>
      </c>
      <c r="E4907" t="inlineStr">
        <is>
          <t>furniture_decor</t>
        </is>
      </c>
      <c r="F4907" t="n">
        <v>1</v>
      </c>
      <c r="G4907" t="n">
        <v>44.99</v>
      </c>
      <c r="H4907" t="n">
        <v>51.04</v>
      </c>
      <c r="I4907" t="inlineStr">
        <is>
          <t>boleto</t>
        </is>
      </c>
      <c r="J4907" t="n">
        <v>8</v>
      </c>
      <c r="K4907" t="inlineStr">
        <is>
          <t>On Time</t>
        </is>
      </c>
      <c r="L4907" t="n">
        <v>5</v>
      </c>
      <c r="M4907">
        <f>VLOOKUP(D4907,State_Lookup!$A$2:$B$28,2,FALSE)</f>
        <v/>
      </c>
    </row>
    <row r="4908">
      <c r="A4908" t="inlineStr">
        <is>
          <t>109dfb5756c526e783783356f4384b4e</t>
        </is>
      </c>
      <c r="B4908" t="inlineStr">
        <is>
          <t>2018-08-16</t>
        </is>
      </c>
      <c r="C4908" t="inlineStr">
        <is>
          <t>2018-08</t>
        </is>
      </c>
      <c r="D4908" t="inlineStr">
        <is>
          <t>SP</t>
        </is>
      </c>
      <c r="E4908" t="inlineStr">
        <is>
          <t>costruction_tools_garden</t>
        </is>
      </c>
      <c r="F4908" t="n">
        <v>1</v>
      </c>
      <c r="G4908" t="n">
        <v>128</v>
      </c>
      <c r="H4908" t="n">
        <v>19.07</v>
      </c>
      <c r="I4908" t="inlineStr">
        <is>
          <t>credit_card</t>
        </is>
      </c>
      <c r="J4908" t="n">
        <v>5</v>
      </c>
      <c r="K4908" t="inlineStr">
        <is>
          <t>Late</t>
        </is>
      </c>
      <c r="L4908" t="n">
        <v>5</v>
      </c>
      <c r="M4908">
        <f>VLOOKUP(D4908,State_Lookup!$A$2:$B$28,2,FALSE)</f>
        <v/>
      </c>
    </row>
    <row r="4909">
      <c r="A4909" t="inlineStr">
        <is>
          <t>afc091f97bfa9985b6ab413ad1a9891b</t>
        </is>
      </c>
      <c r="B4909" t="inlineStr">
        <is>
          <t>2018-08-16</t>
        </is>
      </c>
      <c r="C4909" t="inlineStr">
        <is>
          <t>2018-08</t>
        </is>
      </c>
      <c r="D4909" t="inlineStr">
        <is>
          <t>SP</t>
        </is>
      </c>
      <c r="E4909" t="inlineStr">
        <is>
          <t>furniture_decor</t>
        </is>
      </c>
      <c r="F4909" t="n">
        <v>3</v>
      </c>
      <c r="G4909" t="n">
        <v>179.7</v>
      </c>
      <c r="H4909" t="n">
        <v>27.51</v>
      </c>
      <c r="I4909" t="inlineStr">
        <is>
          <t>voucher</t>
        </is>
      </c>
      <c r="J4909" t="n">
        <v>7</v>
      </c>
      <c r="K4909" t="inlineStr">
        <is>
          <t>On Time</t>
        </is>
      </c>
      <c r="L4909" t="n">
        <v>5</v>
      </c>
      <c r="M4909">
        <f>VLOOKUP(D4909,State_Lookup!$A$2:$B$28,2,FALSE)</f>
        <v/>
      </c>
    </row>
    <row r="4910">
      <c r="A4910" t="inlineStr">
        <is>
          <t>0ec20feeac30045e916578f17c2085e2</t>
        </is>
      </c>
      <c r="B4910" t="inlineStr">
        <is>
          <t>2018-08-16</t>
        </is>
      </c>
      <c r="C4910" t="inlineStr">
        <is>
          <t>2018-08</t>
        </is>
      </c>
      <c r="D4910" t="inlineStr">
        <is>
          <t>SP</t>
        </is>
      </c>
      <c r="E4910" t="inlineStr">
        <is>
          <t>bed_bath_table</t>
        </is>
      </c>
      <c r="F4910" t="n">
        <v>6</v>
      </c>
      <c r="G4910" t="n">
        <v>411</v>
      </c>
      <c r="H4910" t="n">
        <v>39</v>
      </c>
      <c r="I4910" t="inlineStr">
        <is>
          <t>credit_card</t>
        </is>
      </c>
      <c r="J4910" t="n">
        <v>7</v>
      </c>
      <c r="K4910" t="inlineStr">
        <is>
          <t>On Time</t>
        </is>
      </c>
      <c r="L4910" t="n">
        <v>1</v>
      </c>
      <c r="M4910">
        <f>VLOOKUP(D4910,State_Lookup!$A$2:$B$28,2,FALSE)</f>
        <v/>
      </c>
    </row>
    <row r="4911">
      <c r="A4911" t="inlineStr">
        <is>
          <t>d831255ebb12ef3a8d6dddb6fb54b5c8</t>
        </is>
      </c>
      <c r="B4911" t="inlineStr">
        <is>
          <t>2018-08-16</t>
        </is>
      </c>
      <c r="C4911" t="inlineStr">
        <is>
          <t>2018-08</t>
        </is>
      </c>
      <c r="D4911" t="inlineStr">
        <is>
          <t>RO</t>
        </is>
      </c>
      <c r="E4911" t="inlineStr">
        <is>
          <t>home_confort</t>
        </is>
      </c>
      <c r="F4911" t="n">
        <v>1</v>
      </c>
      <c r="G4911" t="n">
        <v>229</v>
      </c>
      <c r="H4911" t="n">
        <v>28.37</v>
      </c>
      <c r="I4911" t="inlineStr">
        <is>
          <t>boleto</t>
        </is>
      </c>
      <c r="J4911" t="n">
        <v>11</v>
      </c>
      <c r="K4911" t="inlineStr">
        <is>
          <t>On Time</t>
        </is>
      </c>
      <c r="L4911" t="n">
        <v>5</v>
      </c>
      <c r="M4911">
        <f>VLOOKUP(D4911,State_Lookup!$A$2:$B$28,2,FALSE)</f>
        <v/>
      </c>
    </row>
    <row r="4912">
      <c r="A4912" t="inlineStr">
        <is>
          <t>c27bfc90d25a350821474bf11c8a00b6</t>
        </is>
      </c>
      <c r="B4912" t="inlineStr">
        <is>
          <t>2018-08-17</t>
        </is>
      </c>
      <c r="C4912" t="inlineStr">
        <is>
          <t>2018-08</t>
        </is>
      </c>
      <c r="D4912" t="inlineStr">
        <is>
          <t>PB</t>
        </is>
      </c>
      <c r="E4912" t="inlineStr">
        <is>
          <t>watches_gifts</t>
        </is>
      </c>
      <c r="F4912" t="n">
        <v>1</v>
      </c>
      <c r="G4912" t="n">
        <v>49</v>
      </c>
      <c r="H4912" t="n">
        <v>51.06</v>
      </c>
      <c r="I4912" t="inlineStr">
        <is>
          <t>credit_card</t>
        </is>
      </c>
      <c r="J4912" t="n">
        <v>12</v>
      </c>
      <c r="K4912" t="inlineStr">
        <is>
          <t>On Time</t>
        </is>
      </c>
      <c r="L4912" t="n">
        <v>5</v>
      </c>
      <c r="M4912">
        <f>VLOOKUP(D4912,State_Lookup!$A$2:$B$28,2,FALSE)</f>
        <v/>
      </c>
    </row>
    <row r="4913">
      <c r="A4913" t="inlineStr">
        <is>
          <t>7feef5128350d0b84c9b26309b475e8c</t>
        </is>
      </c>
      <c r="B4913" t="inlineStr">
        <is>
          <t>2018-08-17</t>
        </is>
      </c>
      <c r="C4913" t="inlineStr">
        <is>
          <t>2018-08</t>
        </is>
      </c>
      <c r="D4913" t="inlineStr">
        <is>
          <t>SP</t>
        </is>
      </c>
      <c r="E4913" t="inlineStr">
        <is>
          <t>bed_bath_table</t>
        </is>
      </c>
      <c r="F4913" t="n">
        <v>1</v>
      </c>
      <c r="G4913" t="n">
        <v>129.9</v>
      </c>
      <c r="H4913" t="n">
        <v>15.22</v>
      </c>
      <c r="I4913" t="inlineStr">
        <is>
          <t>debit_card</t>
        </is>
      </c>
      <c r="J4913" t="n">
        <v>7</v>
      </c>
      <c r="K4913" t="inlineStr">
        <is>
          <t>On Time</t>
        </is>
      </c>
      <c r="L4913" t="n">
        <v>4</v>
      </c>
      <c r="M4913">
        <f>VLOOKUP(D4913,State_Lookup!$A$2:$B$28,2,FALSE)</f>
        <v/>
      </c>
    </row>
    <row r="4914">
      <c r="A4914" t="inlineStr">
        <is>
          <t>cf0fcb02e2f9b6dcfd6aac8d664b663a</t>
        </is>
      </c>
      <c r="B4914" t="inlineStr">
        <is>
          <t>2018-08-17</t>
        </is>
      </c>
      <c r="C4914" t="inlineStr">
        <is>
          <t>2018-08</t>
        </is>
      </c>
      <c r="D4914" t="inlineStr">
        <is>
          <t>SP</t>
        </is>
      </c>
      <c r="E4914" t="inlineStr">
        <is>
          <t>fashion_bags_accessories</t>
        </is>
      </c>
      <c r="F4914" t="n">
        <v>1</v>
      </c>
      <c r="G4914" t="n">
        <v>11.9</v>
      </c>
      <c r="H4914" t="n">
        <v>7.39</v>
      </c>
      <c r="I4914" t="inlineStr">
        <is>
          <t>voucher</t>
        </is>
      </c>
      <c r="J4914" t="n">
        <v>7</v>
      </c>
      <c r="K4914" t="inlineStr">
        <is>
          <t>On Time</t>
        </is>
      </c>
      <c r="L4914" t="n">
        <v>5</v>
      </c>
      <c r="M4914">
        <f>VLOOKUP(D4914,State_Lookup!$A$2:$B$28,2,FALSE)</f>
        <v/>
      </c>
    </row>
    <row r="4915">
      <c r="A4915" t="inlineStr">
        <is>
          <t>5bebe0296b65287e94b489cd279782cc</t>
        </is>
      </c>
      <c r="B4915" t="inlineStr">
        <is>
          <t>2018-08-17</t>
        </is>
      </c>
      <c r="C4915" t="inlineStr">
        <is>
          <t>2018-08</t>
        </is>
      </c>
      <c r="D4915" t="inlineStr">
        <is>
          <t>SP</t>
        </is>
      </c>
      <c r="E4915" t="inlineStr">
        <is>
          <t>perfumery</t>
        </is>
      </c>
      <c r="F4915" t="n">
        <v>1</v>
      </c>
      <c r="G4915" t="n">
        <v>682.98</v>
      </c>
      <c r="H4915" t="n">
        <v>20.08</v>
      </c>
      <c r="I4915" t="inlineStr">
        <is>
          <t>credit_card</t>
        </is>
      </c>
      <c r="J4915" t="n">
        <v>5</v>
      </c>
      <c r="K4915" t="inlineStr">
        <is>
          <t>On Time</t>
        </is>
      </c>
      <c r="L4915" t="n">
        <v>5</v>
      </c>
      <c r="M4915">
        <f>VLOOKUP(D4915,State_Lookup!$A$2:$B$28,2,FALSE)</f>
        <v/>
      </c>
    </row>
    <row r="4916">
      <c r="A4916" t="inlineStr">
        <is>
          <t>1ce796ffd3b96e287899e429b44c0e3a</t>
        </is>
      </c>
      <c r="B4916" t="inlineStr">
        <is>
          <t>2018-08-17</t>
        </is>
      </c>
      <c r="C4916" t="inlineStr">
        <is>
          <t>2018-08</t>
        </is>
      </c>
      <c r="D4916" t="inlineStr">
        <is>
          <t>RJ</t>
        </is>
      </c>
      <c r="E4916" t="inlineStr">
        <is>
          <t>food_drink</t>
        </is>
      </c>
      <c r="F4916" t="n">
        <v>1</v>
      </c>
      <c r="G4916" t="n">
        <v>44.06</v>
      </c>
      <c r="H4916" t="n">
        <v>18.11</v>
      </c>
      <c r="I4916" t="inlineStr">
        <is>
          <t>credit_card</t>
        </is>
      </c>
      <c r="J4916" t="n">
        <v>7</v>
      </c>
      <c r="K4916" t="inlineStr">
        <is>
          <t>On Time</t>
        </is>
      </c>
      <c r="L4916" t="n">
        <v>4</v>
      </c>
      <c r="M4916">
        <f>VLOOKUP(D4916,State_Lookup!$A$2:$B$28,2,FALSE)</f>
        <v/>
      </c>
    </row>
    <row r="4917">
      <c r="A4917" t="inlineStr">
        <is>
          <t>50782cd44ddec8134f7d93043ebfd333</t>
        </is>
      </c>
      <c r="B4917" t="inlineStr">
        <is>
          <t>2018-08-17</t>
        </is>
      </c>
      <c r="C4917" t="inlineStr">
        <is>
          <t>2018-08</t>
        </is>
      </c>
      <c r="D4917" t="inlineStr">
        <is>
          <t>SP</t>
        </is>
      </c>
      <c r="E4917" t="inlineStr">
        <is>
          <t>perfumery</t>
        </is>
      </c>
      <c r="F4917" t="n">
        <v>1</v>
      </c>
      <c r="G4917" t="n">
        <v>39</v>
      </c>
      <c r="H4917" t="n">
        <v>12.93</v>
      </c>
      <c r="I4917" t="inlineStr">
        <is>
          <t>credit_card</t>
        </is>
      </c>
      <c r="J4917" t="n">
        <v>5</v>
      </c>
      <c r="K4917" t="inlineStr">
        <is>
          <t>On Time</t>
        </is>
      </c>
      <c r="L4917" t="n">
        <v>5</v>
      </c>
      <c r="M4917">
        <f>VLOOKUP(D4917,State_Lookup!$A$2:$B$28,2,FALSE)</f>
        <v/>
      </c>
    </row>
    <row r="4918">
      <c r="A4918" t="inlineStr">
        <is>
          <t>720232d7a3eab2caa5238117e5ab2ee1</t>
        </is>
      </c>
      <c r="B4918" t="inlineStr">
        <is>
          <t>2018-08-17</t>
        </is>
      </c>
      <c r="C4918" t="inlineStr">
        <is>
          <t>2018-08</t>
        </is>
      </c>
      <c r="D4918" t="inlineStr">
        <is>
          <t>PR</t>
        </is>
      </c>
      <c r="E4918" t="inlineStr">
        <is>
          <t>pet_shop</t>
        </is>
      </c>
      <c r="F4918" t="n">
        <v>1</v>
      </c>
      <c r="G4918" t="n">
        <v>15</v>
      </c>
      <c r="H4918" t="n">
        <v>15.23</v>
      </c>
      <c r="I4918" t="inlineStr">
        <is>
          <t>credit_card</t>
        </is>
      </c>
      <c r="J4918" t="n">
        <v>5</v>
      </c>
      <c r="K4918" t="inlineStr">
        <is>
          <t>On Time</t>
        </is>
      </c>
      <c r="L4918" t="n">
        <v>4</v>
      </c>
      <c r="M4918">
        <f>VLOOKUP(D4918,State_Lookup!$A$2:$B$28,2,FALSE)</f>
        <v/>
      </c>
    </row>
    <row r="4919">
      <c r="A4919" t="inlineStr">
        <is>
          <t>8e1b263d5e8ddea4e42b96cc5fb0edc2</t>
        </is>
      </c>
      <c r="B4919" t="inlineStr">
        <is>
          <t>2018-08-17</t>
        </is>
      </c>
      <c r="C4919" t="inlineStr">
        <is>
          <t>2018-08</t>
        </is>
      </c>
      <c r="D4919" t="inlineStr">
        <is>
          <t>RJ</t>
        </is>
      </c>
      <c r="E4919" t="inlineStr">
        <is>
          <t>health_beauty</t>
        </is>
      </c>
      <c r="F4919" t="n">
        <v>2</v>
      </c>
      <c r="G4919" t="n">
        <v>144</v>
      </c>
      <c r="H4919" t="n">
        <v>20</v>
      </c>
      <c r="I4919" t="inlineStr">
        <is>
          <t>credit_card</t>
        </is>
      </c>
      <c r="J4919" t="n">
        <v>11</v>
      </c>
      <c r="K4919" t="inlineStr">
        <is>
          <t>On Time</t>
        </is>
      </c>
      <c r="L4919" t="n">
        <v>5</v>
      </c>
      <c r="M4919">
        <f>VLOOKUP(D4919,State_Lookup!$A$2:$B$28,2,FALSE)</f>
        <v/>
      </c>
    </row>
    <row r="4920">
      <c r="A4920" t="inlineStr">
        <is>
          <t>993da8482e658ec7f1d0c6d955604936</t>
        </is>
      </c>
      <c r="B4920" t="inlineStr">
        <is>
          <t>2018-08-17</t>
        </is>
      </c>
      <c r="C4920" t="inlineStr">
        <is>
          <t>2018-08</t>
        </is>
      </c>
      <c r="D4920" t="inlineStr">
        <is>
          <t>SP</t>
        </is>
      </c>
      <c r="E4920" t="inlineStr">
        <is>
          <t>small_appliances</t>
        </is>
      </c>
      <c r="F4920" t="n">
        <v>1</v>
      </c>
      <c r="G4920" t="n">
        <v>220</v>
      </c>
      <c r="H4920" t="n">
        <v>38.67</v>
      </c>
      <c r="I4920" t="inlineStr">
        <is>
          <t>debit_card</t>
        </is>
      </c>
      <c r="J4920" t="n">
        <v>6</v>
      </c>
      <c r="K4920" t="inlineStr">
        <is>
          <t>On Time</t>
        </is>
      </c>
      <c r="L4920" t="n">
        <v>1</v>
      </c>
      <c r="M4920">
        <f>VLOOKUP(D4920,State_Lookup!$A$2:$B$28,2,FALSE)</f>
        <v/>
      </c>
    </row>
    <row r="4921">
      <c r="A4921" t="inlineStr">
        <is>
          <t>bf59031b111d726792fe47666cc55ed6</t>
        </is>
      </c>
      <c r="B4921" t="inlineStr">
        <is>
          <t>2018-08-17</t>
        </is>
      </c>
      <c r="C4921" t="inlineStr">
        <is>
          <t>2018-08</t>
        </is>
      </c>
      <c r="D4921" t="inlineStr">
        <is>
          <t>PR</t>
        </is>
      </c>
      <c r="E4921" t="inlineStr">
        <is>
          <t>auto</t>
        </is>
      </c>
      <c r="F4921" t="n">
        <v>1</v>
      </c>
      <c r="G4921" t="n">
        <v>29.99</v>
      </c>
      <c r="H4921" t="n">
        <v>18.31</v>
      </c>
      <c r="I4921" t="inlineStr">
        <is>
          <t>credit_card</t>
        </is>
      </c>
      <c r="J4921" t="n">
        <v>10</v>
      </c>
      <c r="K4921" t="inlineStr">
        <is>
          <t>On Time</t>
        </is>
      </c>
      <c r="L4921" t="n">
        <v>5</v>
      </c>
      <c r="M4921">
        <f>VLOOKUP(D4921,State_Lookup!$A$2:$B$28,2,FALSE)</f>
        <v/>
      </c>
    </row>
    <row r="4922">
      <c r="A4922" t="inlineStr">
        <is>
          <t>90b1834032530ed03e7bbb0f6f2d7125</t>
        </is>
      </c>
      <c r="B4922" t="inlineStr">
        <is>
          <t>2018-08-17</t>
        </is>
      </c>
      <c r="C4922" t="inlineStr">
        <is>
          <t>2018-08</t>
        </is>
      </c>
      <c r="D4922" t="inlineStr">
        <is>
          <t>SP</t>
        </is>
      </c>
      <c r="E4922" t="inlineStr">
        <is>
          <t>baby</t>
        </is>
      </c>
      <c r="F4922" t="n">
        <v>1</v>
      </c>
      <c r="G4922" t="n">
        <v>127.9</v>
      </c>
      <c r="H4922" t="n">
        <v>18.03</v>
      </c>
      <c r="I4922" t="inlineStr">
        <is>
          <t>voucher</t>
        </is>
      </c>
      <c r="J4922" t="n">
        <v>9</v>
      </c>
      <c r="K4922" t="inlineStr">
        <is>
          <t>On Time</t>
        </is>
      </c>
      <c r="L4922" t="n">
        <v>3</v>
      </c>
      <c r="M4922">
        <f>VLOOKUP(D4922,State_Lookup!$A$2:$B$28,2,FALSE)</f>
        <v/>
      </c>
    </row>
    <row r="4923">
      <c r="A4923" t="inlineStr">
        <is>
          <t>bba30fab08220779d809343f597e9a46</t>
        </is>
      </c>
      <c r="B4923" t="inlineStr">
        <is>
          <t>2018-08-17</t>
        </is>
      </c>
      <c r="C4923" t="inlineStr">
        <is>
          <t>2018-08</t>
        </is>
      </c>
      <c r="D4923" t="inlineStr">
        <is>
          <t>SP</t>
        </is>
      </c>
      <c r="E4923" t="inlineStr">
        <is>
          <t>auto</t>
        </is>
      </c>
      <c r="F4923" t="n">
        <v>1</v>
      </c>
      <c r="G4923" t="n">
        <v>39.9</v>
      </c>
      <c r="H4923" t="n">
        <v>7.54</v>
      </c>
      <c r="I4923" t="inlineStr">
        <is>
          <t>boleto</t>
        </is>
      </c>
      <c r="J4923" t="n">
        <v>5</v>
      </c>
      <c r="K4923" t="inlineStr">
        <is>
          <t>On Time</t>
        </is>
      </c>
      <c r="L4923" t="n">
        <v>5</v>
      </c>
      <c r="M4923">
        <f>VLOOKUP(D4923,State_Lookup!$A$2:$B$28,2,FALSE)</f>
        <v/>
      </c>
    </row>
    <row r="4924">
      <c r="A4924" t="inlineStr">
        <is>
          <t>62eb11cfc9c20c567f4581e0e66725c1</t>
        </is>
      </c>
      <c r="B4924" t="inlineStr">
        <is>
          <t>2018-08-17</t>
        </is>
      </c>
      <c r="C4924" t="inlineStr">
        <is>
          <t>2018-08</t>
        </is>
      </c>
      <c r="D4924" t="inlineStr">
        <is>
          <t>RN</t>
        </is>
      </c>
      <c r="E4924" t="inlineStr">
        <is>
          <t>bed_bath_table</t>
        </is>
      </c>
      <c r="F4924" t="n">
        <v>1</v>
      </c>
      <c r="G4924" t="n">
        <v>29.9</v>
      </c>
      <c r="H4924" t="n">
        <v>27.49</v>
      </c>
      <c r="I4924" t="inlineStr">
        <is>
          <t>boleto</t>
        </is>
      </c>
      <c r="J4924" t="n">
        <v>12</v>
      </c>
      <c r="K4924" t="inlineStr">
        <is>
          <t>On Time</t>
        </is>
      </c>
      <c r="L4924" t="n">
        <v>3</v>
      </c>
      <c r="M4924">
        <f>VLOOKUP(D4924,State_Lookup!$A$2:$B$28,2,FALSE)</f>
        <v/>
      </c>
    </row>
    <row r="4925">
      <c r="A4925" t="inlineStr">
        <is>
          <t>a46e7e8e02915adecb392ad065121a51</t>
        </is>
      </c>
      <c r="B4925" t="inlineStr">
        <is>
          <t>2018-08-17</t>
        </is>
      </c>
      <c r="C4925" t="inlineStr">
        <is>
          <t>2018-08</t>
        </is>
      </c>
      <c r="D4925" t="inlineStr">
        <is>
          <t>SC</t>
        </is>
      </c>
      <c r="E4925" t="inlineStr">
        <is>
          <t>auto</t>
        </is>
      </c>
      <c r="F4925" t="n">
        <v>1</v>
      </c>
      <c r="G4925" t="n">
        <v>1788</v>
      </c>
      <c r="H4925" t="n">
        <v>110.61</v>
      </c>
      <c r="I4925" t="inlineStr">
        <is>
          <t>credit_card</t>
        </is>
      </c>
      <c r="J4925" t="n">
        <v>12</v>
      </c>
      <c r="K4925" t="inlineStr">
        <is>
          <t>On Time</t>
        </is>
      </c>
      <c r="L4925" t="inlineStr"/>
      <c r="M4925">
        <f>VLOOKUP(D4925,State_Lookup!$A$2:$B$28,2,FALSE)</f>
        <v/>
      </c>
    </row>
    <row r="4926">
      <c r="A4926" t="inlineStr">
        <is>
          <t>c1cf3cb3cf9e48ca06d7eb08d8b9dc0a</t>
        </is>
      </c>
      <c r="B4926" t="inlineStr">
        <is>
          <t>2018-08-17</t>
        </is>
      </c>
      <c r="C4926" t="inlineStr">
        <is>
          <t>2018-08</t>
        </is>
      </c>
      <c r="D4926" t="inlineStr">
        <is>
          <t>SC</t>
        </is>
      </c>
      <c r="E4926" t="inlineStr">
        <is>
          <t>health_beauty</t>
        </is>
      </c>
      <c r="F4926" t="n">
        <v>1</v>
      </c>
      <c r="G4926" t="n">
        <v>66.98999999999999</v>
      </c>
      <c r="H4926" t="n">
        <v>27.75</v>
      </c>
      <c r="I4926" t="inlineStr">
        <is>
          <t>credit_card</t>
        </is>
      </c>
      <c r="J4926" t="n">
        <v>6</v>
      </c>
      <c r="K4926" t="inlineStr">
        <is>
          <t>On Time</t>
        </is>
      </c>
      <c r="L4926" t="n">
        <v>1</v>
      </c>
      <c r="M4926">
        <f>VLOOKUP(D4926,State_Lookup!$A$2:$B$28,2,FALSE)</f>
        <v/>
      </c>
    </row>
    <row r="4927">
      <c r="A4927" t="inlineStr">
        <is>
          <t>6b52fde341db3472b2e4c787887abc7e</t>
        </is>
      </c>
      <c r="B4927" t="inlineStr">
        <is>
          <t>2018-08-17</t>
        </is>
      </c>
      <c r="C4927" t="inlineStr">
        <is>
          <t>2018-08</t>
        </is>
      </c>
      <c r="D4927" t="inlineStr">
        <is>
          <t>PR</t>
        </is>
      </c>
      <c r="E4927" t="inlineStr">
        <is>
          <t>home_appliances</t>
        </is>
      </c>
      <c r="F4927" t="n">
        <v>1</v>
      </c>
      <c r="G4927" t="n">
        <v>32</v>
      </c>
      <c r="H4927" t="n">
        <v>19.41</v>
      </c>
      <c r="I4927" t="inlineStr">
        <is>
          <t>credit_card</t>
        </is>
      </c>
      <c r="J4927" t="n">
        <v>10</v>
      </c>
      <c r="K4927" t="inlineStr">
        <is>
          <t>On Time</t>
        </is>
      </c>
      <c r="L4927" t="n">
        <v>5</v>
      </c>
      <c r="M4927">
        <f>VLOOKUP(D4927,State_Lookup!$A$2:$B$28,2,FALSE)</f>
        <v/>
      </c>
    </row>
    <row r="4928">
      <c r="A4928" t="inlineStr">
        <is>
          <t>d6f49f5dff3052a0ecf30c9493a975f3</t>
        </is>
      </c>
      <c r="B4928" t="inlineStr">
        <is>
          <t>2018-08-17</t>
        </is>
      </c>
      <c r="C4928" t="inlineStr">
        <is>
          <t>2018-08</t>
        </is>
      </c>
      <c r="D4928" t="inlineStr">
        <is>
          <t>SC</t>
        </is>
      </c>
      <c r="E4928" t="inlineStr">
        <is>
          <t>bed_bath_table</t>
        </is>
      </c>
      <c r="F4928" t="n">
        <v>1</v>
      </c>
      <c r="G4928" t="n">
        <v>57.99</v>
      </c>
      <c r="H4928" t="n">
        <v>9.720000000000001</v>
      </c>
      <c r="I4928" t="inlineStr">
        <is>
          <t>credit_card</t>
        </is>
      </c>
      <c r="J4928" t="n">
        <v>5</v>
      </c>
      <c r="K4928" t="inlineStr">
        <is>
          <t>Late</t>
        </is>
      </c>
      <c r="L4928" t="n">
        <v>5</v>
      </c>
      <c r="M4928">
        <f>VLOOKUP(D4928,State_Lookup!$A$2:$B$28,2,FALSE)</f>
        <v/>
      </c>
    </row>
    <row r="4929">
      <c r="A4929" t="inlineStr">
        <is>
          <t>c4ec84506bc793d3c774db9b0736d2c7</t>
        </is>
      </c>
      <c r="B4929" t="inlineStr">
        <is>
          <t>2018-08-18</t>
        </is>
      </c>
      <c r="C4929" t="inlineStr">
        <is>
          <t>2018-08</t>
        </is>
      </c>
      <c r="D4929" t="inlineStr">
        <is>
          <t>RS</t>
        </is>
      </c>
      <c r="E4929" t="inlineStr">
        <is>
          <t>auto</t>
        </is>
      </c>
      <c r="F4929" t="n">
        <v>1</v>
      </c>
      <c r="G4929" t="n">
        <v>108.9</v>
      </c>
      <c r="H4929" t="n">
        <v>23.56</v>
      </c>
      <c r="I4929" t="inlineStr">
        <is>
          <t>boleto</t>
        </is>
      </c>
      <c r="J4929" t="n">
        <v>10</v>
      </c>
      <c r="K4929" t="inlineStr">
        <is>
          <t>On Time</t>
        </is>
      </c>
      <c r="L4929" t="n">
        <v>5</v>
      </c>
      <c r="M4929">
        <f>VLOOKUP(D4929,State_Lookup!$A$2:$B$28,2,FALSE)</f>
        <v/>
      </c>
    </row>
    <row r="4930">
      <c r="A4930" t="inlineStr">
        <is>
          <t>fe9a0726757d598dc0a613f04d33cf03</t>
        </is>
      </c>
      <c r="B4930" t="inlineStr">
        <is>
          <t>2018-08-18</t>
        </is>
      </c>
      <c r="C4930" t="inlineStr">
        <is>
          <t>2018-08</t>
        </is>
      </c>
      <c r="D4930" t="inlineStr">
        <is>
          <t>PR</t>
        </is>
      </c>
      <c r="E4930" t="inlineStr">
        <is>
          <t>toys</t>
        </is>
      </c>
      <c r="F4930" t="n">
        <v>1</v>
      </c>
      <c r="G4930" t="n">
        <v>79.90000000000001</v>
      </c>
      <c r="H4930" t="n">
        <v>15.66</v>
      </c>
      <c r="I4930" t="inlineStr">
        <is>
          <t>credit_card</t>
        </is>
      </c>
      <c r="J4930" t="n">
        <v>4</v>
      </c>
      <c r="K4930" t="inlineStr">
        <is>
          <t>On Time</t>
        </is>
      </c>
      <c r="L4930" t="n">
        <v>5</v>
      </c>
      <c r="M4930">
        <f>VLOOKUP(D4930,State_Lookup!$A$2:$B$28,2,FALSE)</f>
        <v/>
      </c>
    </row>
    <row r="4931">
      <c r="A4931" t="inlineStr">
        <is>
          <t>69f8ac735b4a0bbbcdbe4a87e9041a21</t>
        </is>
      </c>
      <c r="B4931" t="inlineStr">
        <is>
          <t>2018-08-18</t>
        </is>
      </c>
      <c r="C4931" t="inlineStr">
        <is>
          <t>2018-08</t>
        </is>
      </c>
      <c r="D4931" t="inlineStr">
        <is>
          <t>SP</t>
        </is>
      </c>
      <c r="E4931" t="inlineStr">
        <is>
          <t>housewares</t>
        </is>
      </c>
      <c r="F4931" t="n">
        <v>1</v>
      </c>
      <c r="G4931" t="n">
        <v>49.9</v>
      </c>
      <c r="H4931" t="n">
        <v>13.01</v>
      </c>
      <c r="I4931" t="inlineStr">
        <is>
          <t>credit_card</t>
        </is>
      </c>
      <c r="J4931" t="n">
        <v>4</v>
      </c>
      <c r="K4931" t="inlineStr">
        <is>
          <t>On Time</t>
        </is>
      </c>
      <c r="L4931" t="n">
        <v>5</v>
      </c>
      <c r="M4931">
        <f>VLOOKUP(D4931,State_Lookup!$A$2:$B$28,2,FALSE)</f>
        <v/>
      </c>
    </row>
    <row r="4932">
      <c r="A4932" t="inlineStr">
        <is>
          <t>b489f7ae130ba3fd26b0a20f8cc81c61</t>
        </is>
      </c>
      <c r="B4932" t="inlineStr">
        <is>
          <t>2018-08-18</t>
        </is>
      </c>
      <c r="C4932" t="inlineStr">
        <is>
          <t>2018-08</t>
        </is>
      </c>
      <c r="D4932" t="inlineStr">
        <is>
          <t>RS</t>
        </is>
      </c>
      <c r="E4932" t="inlineStr">
        <is>
          <t>bed_bath_table</t>
        </is>
      </c>
      <c r="F4932" t="n">
        <v>1</v>
      </c>
      <c r="G4932" t="n">
        <v>129.9</v>
      </c>
      <c r="H4932" t="n">
        <v>23.71</v>
      </c>
      <c r="I4932" t="inlineStr">
        <is>
          <t>credit_card</t>
        </is>
      </c>
      <c r="J4932" t="n">
        <v>8</v>
      </c>
      <c r="K4932" t="inlineStr">
        <is>
          <t>On Time</t>
        </is>
      </c>
      <c r="L4932" t="n">
        <v>5</v>
      </c>
      <c r="M4932">
        <f>VLOOKUP(D4932,State_Lookup!$A$2:$B$28,2,FALSE)</f>
        <v/>
      </c>
    </row>
    <row r="4933">
      <c r="A4933" t="inlineStr">
        <is>
          <t>b644b094c23f3320d4d8386f40e092b2</t>
        </is>
      </c>
      <c r="B4933" t="inlineStr">
        <is>
          <t>2018-08-18</t>
        </is>
      </c>
      <c r="C4933" t="inlineStr">
        <is>
          <t>2018-08</t>
        </is>
      </c>
      <c r="D4933" t="inlineStr">
        <is>
          <t>PR</t>
        </is>
      </c>
      <c r="E4933" t="inlineStr">
        <is>
          <t>housewares</t>
        </is>
      </c>
      <c r="F4933" t="n">
        <v>1</v>
      </c>
      <c r="G4933" t="n">
        <v>27.8</v>
      </c>
      <c r="H4933" t="n">
        <v>15.3</v>
      </c>
      <c r="I4933" t="inlineStr">
        <is>
          <t>credit_card</t>
        </is>
      </c>
      <c r="J4933" t="n">
        <v>5</v>
      </c>
      <c r="K4933" t="inlineStr">
        <is>
          <t>On Time</t>
        </is>
      </c>
      <c r="L4933" t="n">
        <v>5</v>
      </c>
      <c r="M4933">
        <f>VLOOKUP(D4933,State_Lookup!$A$2:$B$28,2,FALSE)</f>
        <v/>
      </c>
    </row>
    <row r="4934">
      <c r="A4934" t="inlineStr">
        <is>
          <t>299e8d399d78b7abc915b3d059a6c712</t>
        </is>
      </c>
      <c r="B4934" t="inlineStr">
        <is>
          <t>2018-08-18</t>
        </is>
      </c>
      <c r="C4934" t="inlineStr">
        <is>
          <t>2018-08</t>
        </is>
      </c>
      <c r="D4934" t="inlineStr">
        <is>
          <t>SC</t>
        </is>
      </c>
      <c r="E4934" t="inlineStr">
        <is>
          <t>bed_bath_table</t>
        </is>
      </c>
      <c r="F4934" t="n">
        <v>2</v>
      </c>
      <c r="G4934" t="n">
        <v>133.8</v>
      </c>
      <c r="H4934" t="n">
        <v>46.54</v>
      </c>
      <c r="I4934" t="inlineStr">
        <is>
          <t>credit_card</t>
        </is>
      </c>
      <c r="J4934" t="n">
        <v>8</v>
      </c>
      <c r="K4934" t="inlineStr">
        <is>
          <t>On Time</t>
        </is>
      </c>
      <c r="L4934" t="n">
        <v>3</v>
      </c>
      <c r="M4934">
        <f>VLOOKUP(D4934,State_Lookup!$A$2:$B$28,2,FALSE)</f>
        <v/>
      </c>
    </row>
    <row r="4935">
      <c r="A4935" t="inlineStr">
        <is>
          <t>62d4c5d34949afc8d73f2be9043e5ad4</t>
        </is>
      </c>
      <c r="B4935" t="inlineStr">
        <is>
          <t>2018-08-18</t>
        </is>
      </c>
      <c r="C4935" t="inlineStr">
        <is>
          <t>2018-08</t>
        </is>
      </c>
      <c r="D4935" t="inlineStr">
        <is>
          <t>SP</t>
        </is>
      </c>
      <c r="E4935" t="inlineStr">
        <is>
          <t>electronics</t>
        </is>
      </c>
      <c r="F4935" t="n">
        <v>1</v>
      </c>
      <c r="G4935" t="n">
        <v>64.98999999999999</v>
      </c>
      <c r="H4935" t="n">
        <v>18.56</v>
      </c>
      <c r="I4935" t="inlineStr">
        <is>
          <t>credit_card</t>
        </is>
      </c>
      <c r="J4935" t="n">
        <v>5</v>
      </c>
      <c r="K4935" t="inlineStr">
        <is>
          <t>On Time</t>
        </is>
      </c>
      <c r="L4935" t="n">
        <v>5</v>
      </c>
      <c r="M4935">
        <f>VLOOKUP(D4935,State_Lookup!$A$2:$B$28,2,FALSE)</f>
        <v/>
      </c>
    </row>
    <row r="4936">
      <c r="A4936" t="inlineStr">
        <is>
          <t>dc2152f56d388bfc5f358fd79d3e6bdc</t>
        </is>
      </c>
      <c r="B4936" t="inlineStr">
        <is>
          <t>2018-08-19</t>
        </is>
      </c>
      <c r="C4936" t="inlineStr">
        <is>
          <t>2018-08</t>
        </is>
      </c>
      <c r="D4936" t="inlineStr">
        <is>
          <t>MS</t>
        </is>
      </c>
      <c r="E4936" t="inlineStr">
        <is>
          <t>baby</t>
        </is>
      </c>
      <c r="F4936" t="n">
        <v>2</v>
      </c>
      <c r="G4936" t="n">
        <v>146.89</v>
      </c>
      <c r="H4936" t="n">
        <v>23.98</v>
      </c>
      <c r="I4936" t="inlineStr">
        <is>
          <t>credit_card</t>
        </is>
      </c>
      <c r="J4936" t="n">
        <v>10</v>
      </c>
      <c r="K4936" t="inlineStr">
        <is>
          <t>On Time</t>
        </is>
      </c>
      <c r="L4936" t="n">
        <v>5</v>
      </c>
      <c r="M4936">
        <f>VLOOKUP(D4936,State_Lookup!$A$2:$B$28,2,FALSE)</f>
        <v/>
      </c>
    </row>
    <row r="4937">
      <c r="A4937" t="inlineStr">
        <is>
          <t>ca207209c40b29d76714f77acf8189e5</t>
        </is>
      </c>
      <c r="B4937" t="inlineStr">
        <is>
          <t>2018-08-19</t>
        </is>
      </c>
      <c r="C4937" t="inlineStr">
        <is>
          <t>2018-08</t>
        </is>
      </c>
      <c r="D4937" t="inlineStr">
        <is>
          <t>SP</t>
        </is>
      </c>
      <c r="E4937" t="inlineStr">
        <is>
          <t>bed_bath_table</t>
        </is>
      </c>
      <c r="F4937" t="n">
        <v>1</v>
      </c>
      <c r="G4937" t="n">
        <v>32.99</v>
      </c>
      <c r="H4937" t="n">
        <v>12.89</v>
      </c>
      <c r="I4937" t="inlineStr">
        <is>
          <t>credit_card</t>
        </is>
      </c>
      <c r="J4937" t="n">
        <v>8</v>
      </c>
      <c r="K4937" t="inlineStr">
        <is>
          <t>On Time</t>
        </is>
      </c>
      <c r="L4937" t="n">
        <v>5</v>
      </c>
      <c r="M4937">
        <f>VLOOKUP(D4937,State_Lookup!$A$2:$B$28,2,FALSE)</f>
        <v/>
      </c>
    </row>
    <row r="4938">
      <c r="A4938" t="inlineStr">
        <is>
          <t>a0ecc11c21cacf6dc957678e792102c1</t>
        </is>
      </c>
      <c r="B4938" t="inlineStr">
        <is>
          <t>2018-08-19</t>
        </is>
      </c>
      <c r="C4938" t="inlineStr">
        <is>
          <t>2018-08</t>
        </is>
      </c>
      <c r="D4938" t="inlineStr">
        <is>
          <t>ES</t>
        </is>
      </c>
      <c r="E4938" t="inlineStr">
        <is>
          <t>bed_bath_table</t>
        </is>
      </c>
      <c r="F4938" t="n">
        <v>1</v>
      </c>
      <c r="G4938" t="n">
        <v>119.9</v>
      </c>
      <c r="H4938" t="n">
        <v>60.07</v>
      </c>
      <c r="I4938" t="inlineStr">
        <is>
          <t>credit_card</t>
        </is>
      </c>
      <c r="J4938" t="n">
        <v>9</v>
      </c>
      <c r="K4938" t="inlineStr">
        <is>
          <t>On Time</t>
        </is>
      </c>
      <c r="L4938" t="n">
        <v>5</v>
      </c>
      <c r="M4938">
        <f>VLOOKUP(D4938,State_Lookup!$A$2:$B$28,2,FALSE)</f>
        <v/>
      </c>
    </row>
    <row r="4939">
      <c r="A4939" t="inlineStr">
        <is>
          <t>30f6b446907427d28df6c87fe5ef5947</t>
        </is>
      </c>
      <c r="B4939" t="inlineStr">
        <is>
          <t>2018-08-19</t>
        </is>
      </c>
      <c r="C4939" t="inlineStr">
        <is>
          <t>2018-08</t>
        </is>
      </c>
      <c r="D4939" t="inlineStr">
        <is>
          <t>BA</t>
        </is>
      </c>
      <c r="E4939" t="inlineStr">
        <is>
          <t>bed_bath_table</t>
        </is>
      </c>
      <c r="F4939" t="n">
        <v>1</v>
      </c>
      <c r="G4939" t="n">
        <v>69</v>
      </c>
      <c r="H4939" t="n">
        <v>27.43</v>
      </c>
      <c r="I4939" t="inlineStr">
        <is>
          <t>credit_card</t>
        </is>
      </c>
      <c r="J4939" t="n">
        <v>9</v>
      </c>
      <c r="K4939" t="inlineStr">
        <is>
          <t>On Time</t>
        </is>
      </c>
      <c r="L4939" t="n">
        <v>4</v>
      </c>
      <c r="M4939">
        <f>VLOOKUP(D4939,State_Lookup!$A$2:$B$28,2,FALSE)</f>
        <v/>
      </c>
    </row>
    <row r="4940">
      <c r="A4940" t="inlineStr">
        <is>
          <t>9f4dd20e89f7d039db0a8eb572042c1c</t>
        </is>
      </c>
      <c r="B4940" t="inlineStr">
        <is>
          <t>2018-08-19</t>
        </is>
      </c>
      <c r="C4940" t="inlineStr">
        <is>
          <t>2018-08</t>
        </is>
      </c>
      <c r="D4940" t="inlineStr">
        <is>
          <t>SP</t>
        </is>
      </c>
      <c r="E4940" t="inlineStr">
        <is>
          <t>fashion_bags_accessories</t>
        </is>
      </c>
      <c r="F4940" t="n">
        <v>1</v>
      </c>
      <c r="G4940" t="n">
        <v>24.99</v>
      </c>
      <c r="H4940" t="n">
        <v>12.84</v>
      </c>
      <c r="I4940" t="inlineStr">
        <is>
          <t>credit_card</t>
        </is>
      </c>
      <c r="J4940" t="n">
        <v>8</v>
      </c>
      <c r="K4940" t="inlineStr">
        <is>
          <t>On Time</t>
        </is>
      </c>
      <c r="L4940" t="n">
        <v>5</v>
      </c>
      <c r="M4940">
        <f>VLOOKUP(D4940,State_Lookup!$A$2:$B$28,2,FALSE)</f>
        <v/>
      </c>
    </row>
    <row r="4941">
      <c r="A4941" t="inlineStr">
        <is>
          <t>edf5259d2b67344bab205bdd705eb9f8</t>
        </is>
      </c>
      <c r="B4941" t="inlineStr">
        <is>
          <t>2018-08-19</t>
        </is>
      </c>
      <c r="C4941" t="inlineStr">
        <is>
          <t>2018-08</t>
        </is>
      </c>
      <c r="D4941" t="inlineStr">
        <is>
          <t>DF</t>
        </is>
      </c>
      <c r="E4941" t="inlineStr">
        <is>
          <t>housewares</t>
        </is>
      </c>
      <c r="F4941" t="n">
        <v>1</v>
      </c>
      <c r="G4941" t="n">
        <v>68.88</v>
      </c>
      <c r="H4941" t="n">
        <v>44.28</v>
      </c>
      <c r="I4941" t="inlineStr">
        <is>
          <t>credit_card</t>
        </is>
      </c>
      <c r="J4941" t="n">
        <v>7</v>
      </c>
      <c r="K4941" t="inlineStr">
        <is>
          <t>On Time</t>
        </is>
      </c>
      <c r="L4941" t="n">
        <v>5</v>
      </c>
      <c r="M4941">
        <f>VLOOKUP(D4941,State_Lookup!$A$2:$B$28,2,FALSE)</f>
        <v/>
      </c>
    </row>
    <row r="4942">
      <c r="A4942" t="inlineStr">
        <is>
          <t>370098d35ccd8a2af86b57c81ac7d24f</t>
        </is>
      </c>
      <c r="B4942" t="inlineStr">
        <is>
          <t>2018-08-19</t>
        </is>
      </c>
      <c r="C4942" t="inlineStr">
        <is>
          <t>2018-08</t>
        </is>
      </c>
      <c r="D4942" t="inlineStr">
        <is>
          <t>SP</t>
        </is>
      </c>
      <c r="E4942" t="inlineStr">
        <is>
          <t>sports_leisure</t>
        </is>
      </c>
      <c r="F4942" t="n">
        <v>2</v>
      </c>
      <c r="G4942" t="n">
        <v>209.9</v>
      </c>
      <c r="H4942" t="n">
        <v>31.67</v>
      </c>
      <c r="I4942" t="inlineStr">
        <is>
          <t>credit_card</t>
        </is>
      </c>
      <c r="J4942" t="n">
        <v>3</v>
      </c>
      <c r="K4942" t="inlineStr">
        <is>
          <t>On Time</t>
        </is>
      </c>
      <c r="L4942" t="n">
        <v>5</v>
      </c>
      <c r="M4942">
        <f>VLOOKUP(D4942,State_Lookup!$A$2:$B$28,2,FALSE)</f>
        <v/>
      </c>
    </row>
    <row r="4943">
      <c r="A4943" t="inlineStr">
        <is>
          <t>1f88908218a0ba8238b5260fe399ea69</t>
        </is>
      </c>
      <c r="B4943" t="inlineStr">
        <is>
          <t>2018-08-19</t>
        </is>
      </c>
      <c r="C4943" t="inlineStr">
        <is>
          <t>2018-08</t>
        </is>
      </c>
      <c r="D4943" t="inlineStr">
        <is>
          <t>SP</t>
        </is>
      </c>
      <c r="E4943" t="inlineStr">
        <is>
          <t>bed_bath_table</t>
        </is>
      </c>
      <c r="F4943" t="n">
        <v>1</v>
      </c>
      <c r="G4943" t="n">
        <v>55.99</v>
      </c>
      <c r="H4943" t="n">
        <v>14.7</v>
      </c>
      <c r="I4943" t="inlineStr">
        <is>
          <t>credit_card</t>
        </is>
      </c>
      <c r="J4943" t="n">
        <v>8</v>
      </c>
      <c r="K4943" t="inlineStr">
        <is>
          <t>On Time</t>
        </is>
      </c>
      <c r="L4943" t="n">
        <v>3</v>
      </c>
      <c r="M4943">
        <f>VLOOKUP(D4943,State_Lookup!$A$2:$B$28,2,FALSE)</f>
        <v/>
      </c>
    </row>
    <row r="4944">
      <c r="A4944" t="inlineStr">
        <is>
          <t>eb4a0e0fa996c4a0815f6ac1347235d0</t>
        </is>
      </c>
      <c r="B4944" t="inlineStr">
        <is>
          <t>2018-08-19</t>
        </is>
      </c>
      <c r="C4944" t="inlineStr">
        <is>
          <t>2018-08</t>
        </is>
      </c>
      <c r="D4944" t="inlineStr">
        <is>
          <t>MG</t>
        </is>
      </c>
      <c r="E4944" t="inlineStr">
        <is>
          <t>sports_leisure</t>
        </is>
      </c>
      <c r="F4944" t="n">
        <v>1</v>
      </c>
      <c r="G4944" t="n">
        <v>49.9</v>
      </c>
      <c r="H4944" t="n">
        <v>18.15</v>
      </c>
      <c r="I4944" t="inlineStr">
        <is>
          <t>boleto</t>
        </is>
      </c>
      <c r="J4944" t="n">
        <v>6</v>
      </c>
      <c r="K4944" t="inlineStr">
        <is>
          <t>On Time</t>
        </is>
      </c>
      <c r="L4944" t="n">
        <v>3</v>
      </c>
      <c r="M4944">
        <f>VLOOKUP(D4944,State_Lookup!$A$2:$B$28,2,FALSE)</f>
        <v/>
      </c>
    </row>
    <row r="4945">
      <c r="A4945" t="inlineStr">
        <is>
          <t>99902f632e0a578e6995f6291e0e6cb8</t>
        </is>
      </c>
      <c r="B4945" t="inlineStr">
        <is>
          <t>2018-08-19</t>
        </is>
      </c>
      <c r="C4945" t="inlineStr">
        <is>
          <t>2018-08</t>
        </is>
      </c>
      <c r="D4945" t="inlineStr">
        <is>
          <t>SC</t>
        </is>
      </c>
      <c r="E4945" t="inlineStr">
        <is>
          <t>housewares</t>
        </is>
      </c>
      <c r="F4945" t="n">
        <v>1</v>
      </c>
      <c r="G4945" t="n">
        <v>64.90000000000001</v>
      </c>
      <c r="H4945" t="n">
        <v>19.64</v>
      </c>
      <c r="I4945" t="inlineStr">
        <is>
          <t>credit_card</t>
        </is>
      </c>
      <c r="J4945" t="n">
        <v>8</v>
      </c>
      <c r="K4945" t="inlineStr">
        <is>
          <t>On Time</t>
        </is>
      </c>
      <c r="L4945" t="n">
        <v>5</v>
      </c>
      <c r="M4945">
        <f>VLOOKUP(D4945,State_Lookup!$A$2:$B$28,2,FALSE)</f>
        <v/>
      </c>
    </row>
    <row r="4946">
      <c r="A4946" t="inlineStr">
        <is>
          <t>f89d1880421bd1f3c80d406a826903a0</t>
        </is>
      </c>
      <c r="B4946" t="inlineStr">
        <is>
          <t>2018-08-19</t>
        </is>
      </c>
      <c r="C4946" t="inlineStr">
        <is>
          <t>2018-08</t>
        </is>
      </c>
      <c r="D4946" t="inlineStr">
        <is>
          <t>SP</t>
        </is>
      </c>
      <c r="E4946" t="inlineStr">
        <is>
          <t>auto</t>
        </is>
      </c>
      <c r="F4946" t="n">
        <v>1</v>
      </c>
      <c r="G4946" t="n">
        <v>169.9</v>
      </c>
      <c r="H4946" t="n">
        <v>13.92</v>
      </c>
      <c r="I4946" t="inlineStr">
        <is>
          <t>credit_card</t>
        </is>
      </c>
      <c r="J4946" t="n">
        <v>8</v>
      </c>
      <c r="K4946" t="inlineStr">
        <is>
          <t>Late</t>
        </is>
      </c>
      <c r="L4946" t="n">
        <v>5</v>
      </c>
      <c r="M4946">
        <f>VLOOKUP(D4946,State_Lookup!$A$2:$B$28,2,FALSE)</f>
        <v/>
      </c>
    </row>
    <row r="4947">
      <c r="A4947" t="inlineStr">
        <is>
          <t>e5c543adb388da035a48a7b7fd057f5a</t>
        </is>
      </c>
      <c r="B4947" t="inlineStr">
        <is>
          <t>2018-08-19</t>
        </is>
      </c>
      <c r="C4947" t="inlineStr">
        <is>
          <t>2018-08</t>
        </is>
      </c>
      <c r="D4947" t="inlineStr">
        <is>
          <t>SC</t>
        </is>
      </c>
      <c r="E4947" t="inlineStr">
        <is>
          <t>housewares</t>
        </is>
      </c>
      <c r="F4947" t="n">
        <v>1</v>
      </c>
      <c r="G4947" t="n">
        <v>114.99</v>
      </c>
      <c r="H4947" t="n">
        <v>15.11</v>
      </c>
      <c r="I4947" t="inlineStr">
        <is>
          <t>credit_card</t>
        </is>
      </c>
      <c r="J4947" t="n">
        <v>9</v>
      </c>
      <c r="K4947" t="inlineStr">
        <is>
          <t>On Time</t>
        </is>
      </c>
      <c r="L4947" t="n">
        <v>5</v>
      </c>
      <c r="M4947">
        <f>VLOOKUP(D4947,State_Lookup!$A$2:$B$28,2,FALSE)</f>
        <v/>
      </c>
    </row>
    <row r="4948">
      <c r="A4948" t="inlineStr">
        <is>
          <t>a833e4af2b4c893929b9f3adce3ecbeb</t>
        </is>
      </c>
      <c r="B4948" t="inlineStr">
        <is>
          <t>2018-08-19</t>
        </is>
      </c>
      <c r="C4948" t="inlineStr">
        <is>
          <t>2018-08</t>
        </is>
      </c>
      <c r="D4948" t="inlineStr">
        <is>
          <t>MG</t>
        </is>
      </c>
      <c r="E4948" t="inlineStr">
        <is>
          <t>furniture_decor</t>
        </is>
      </c>
      <c r="F4948" t="n">
        <v>2</v>
      </c>
      <c r="G4948" t="n">
        <v>198</v>
      </c>
      <c r="H4948" t="n">
        <v>63.27</v>
      </c>
      <c r="I4948" t="inlineStr">
        <is>
          <t>credit_card</t>
        </is>
      </c>
      <c r="J4948" t="n">
        <v>10</v>
      </c>
      <c r="K4948" t="inlineStr">
        <is>
          <t>On Time</t>
        </is>
      </c>
      <c r="L4948" t="n">
        <v>4</v>
      </c>
      <c r="M4948">
        <f>VLOOKUP(D4948,State_Lookup!$A$2:$B$28,2,FALSE)</f>
        <v/>
      </c>
    </row>
    <row r="4949">
      <c r="A4949" t="inlineStr">
        <is>
          <t>a97b999bd1190a8e2cfdd7c54b9f76a8</t>
        </is>
      </c>
      <c r="B4949" t="inlineStr">
        <is>
          <t>2018-08-20</t>
        </is>
      </c>
      <c r="C4949" t="inlineStr">
        <is>
          <t>2018-08</t>
        </is>
      </c>
      <c r="D4949" t="inlineStr">
        <is>
          <t>SP</t>
        </is>
      </c>
      <c r="E4949" t="inlineStr">
        <is>
          <t>perfumery</t>
        </is>
      </c>
      <c r="F4949" t="n">
        <v>1</v>
      </c>
      <c r="G4949" t="n">
        <v>116.9</v>
      </c>
      <c r="H4949" t="n">
        <v>15.92</v>
      </c>
      <c r="I4949" t="inlineStr">
        <is>
          <t>credit_card</t>
        </is>
      </c>
      <c r="J4949" t="n">
        <v>4</v>
      </c>
      <c r="K4949" t="inlineStr">
        <is>
          <t>On Time</t>
        </is>
      </c>
      <c r="L4949" t="n">
        <v>5</v>
      </c>
      <c r="M4949">
        <f>VLOOKUP(D4949,State_Lookup!$A$2:$B$28,2,FALSE)</f>
        <v/>
      </c>
    </row>
    <row r="4950">
      <c r="A4950" t="inlineStr">
        <is>
          <t>7514404922bc617c41f9b47f003a3350</t>
        </is>
      </c>
      <c r="B4950" t="inlineStr">
        <is>
          <t>2018-08-20</t>
        </is>
      </c>
      <c r="C4950" t="inlineStr">
        <is>
          <t>2018-08</t>
        </is>
      </c>
      <c r="D4950" t="inlineStr">
        <is>
          <t>SP</t>
        </is>
      </c>
      <c r="E4950" t="inlineStr">
        <is>
          <t>perfumery</t>
        </is>
      </c>
      <c r="F4950" t="n">
        <v>1</v>
      </c>
      <c r="G4950" t="n">
        <v>172.5</v>
      </c>
      <c r="H4950" t="n">
        <v>9.369999999999999</v>
      </c>
      <c r="I4950" t="inlineStr">
        <is>
          <t>credit_card</t>
        </is>
      </c>
      <c r="J4950" t="n">
        <v>4</v>
      </c>
      <c r="K4950" t="inlineStr">
        <is>
          <t>On Time</t>
        </is>
      </c>
      <c r="L4950" t="n">
        <v>5</v>
      </c>
      <c r="M4950">
        <f>VLOOKUP(D4950,State_Lookup!$A$2:$B$28,2,FALSE)</f>
        <v/>
      </c>
    </row>
    <row r="4951">
      <c r="A4951" t="inlineStr">
        <is>
          <t>3298e7053c95993e6eb284ef3d254b49</t>
        </is>
      </c>
      <c r="B4951" t="inlineStr">
        <is>
          <t>2018-08-20</t>
        </is>
      </c>
      <c r="C4951" t="inlineStr">
        <is>
          <t>2018-08</t>
        </is>
      </c>
      <c r="D4951" t="inlineStr">
        <is>
          <t>MT</t>
        </is>
      </c>
      <c r="E4951" t="inlineStr">
        <is>
          <t>musical_instruments</t>
        </is>
      </c>
      <c r="F4951" t="n">
        <v>1</v>
      </c>
      <c r="G4951" t="n">
        <v>59.9</v>
      </c>
      <c r="H4951" t="n">
        <v>37.79</v>
      </c>
      <c r="I4951" t="inlineStr">
        <is>
          <t>credit_card</t>
        </is>
      </c>
      <c r="J4951" t="n">
        <v>9</v>
      </c>
      <c r="K4951" t="inlineStr">
        <is>
          <t>On Time</t>
        </is>
      </c>
      <c r="L4951" t="n">
        <v>5</v>
      </c>
      <c r="M4951">
        <f>VLOOKUP(D4951,State_Lookup!$A$2:$B$28,2,FALSE)</f>
        <v/>
      </c>
    </row>
    <row r="4952">
      <c r="A4952" t="inlineStr">
        <is>
          <t>3c7aa341aa20519a2530c8ea5763f265</t>
        </is>
      </c>
      <c r="B4952" t="inlineStr">
        <is>
          <t>2018-08-20</t>
        </is>
      </c>
      <c r="C4952" t="inlineStr">
        <is>
          <t>2018-08</t>
        </is>
      </c>
      <c r="D4952" t="inlineStr">
        <is>
          <t>SP</t>
        </is>
      </c>
      <c r="E4952" t="inlineStr">
        <is>
          <t>sports_leisure</t>
        </is>
      </c>
      <c r="F4952" t="n">
        <v>1</v>
      </c>
      <c r="G4952" t="n">
        <v>27.9</v>
      </c>
      <c r="H4952" t="n">
        <v>12.86</v>
      </c>
      <c r="I4952" t="inlineStr">
        <is>
          <t>voucher</t>
        </is>
      </c>
      <c r="J4952" t="n">
        <v>4</v>
      </c>
      <c r="K4952" t="inlineStr">
        <is>
          <t>On Time</t>
        </is>
      </c>
      <c r="L4952" t="n">
        <v>5</v>
      </c>
      <c r="M4952">
        <f>VLOOKUP(D4952,State_Lookup!$A$2:$B$28,2,FALSE)</f>
        <v/>
      </c>
    </row>
    <row r="4953">
      <c r="A4953" t="inlineStr">
        <is>
          <t>3b3e0d7f5d77e227da21f19fd5e20c47</t>
        </is>
      </c>
      <c r="B4953" t="inlineStr">
        <is>
          <t>2018-08-20</t>
        </is>
      </c>
      <c r="C4953" t="inlineStr">
        <is>
          <t>2018-08</t>
        </is>
      </c>
      <c r="D4953" t="inlineStr">
        <is>
          <t>SP</t>
        </is>
      </c>
      <c r="E4953" t="inlineStr">
        <is>
          <t>watches_gifts</t>
        </is>
      </c>
      <c r="F4953" t="n">
        <v>1</v>
      </c>
      <c r="G4953" t="n">
        <v>77</v>
      </c>
      <c r="H4953" t="n">
        <v>7.8</v>
      </c>
      <c r="I4953" t="inlineStr">
        <is>
          <t>credit_card</t>
        </is>
      </c>
      <c r="J4953" t="n">
        <v>7</v>
      </c>
      <c r="K4953" t="inlineStr">
        <is>
          <t>Late</t>
        </is>
      </c>
      <c r="L4953" t="n">
        <v>3</v>
      </c>
      <c r="M4953">
        <f>VLOOKUP(D4953,State_Lookup!$A$2:$B$28,2,FALSE)</f>
        <v/>
      </c>
    </row>
    <row r="4954">
      <c r="A4954" t="inlineStr">
        <is>
          <t>e17b66e5337dee2de3d676c5698fa71f</t>
        </is>
      </c>
      <c r="B4954" t="inlineStr">
        <is>
          <t>2018-08-20</t>
        </is>
      </c>
      <c r="C4954" t="inlineStr">
        <is>
          <t>2018-08</t>
        </is>
      </c>
      <c r="D4954" t="inlineStr">
        <is>
          <t>MG</t>
        </is>
      </c>
      <c r="E4954" t="inlineStr">
        <is>
          <t>garden_tools</t>
        </is>
      </c>
      <c r="F4954" t="n">
        <v>1</v>
      </c>
      <c r="G4954" t="n">
        <v>99.98999999999999</v>
      </c>
      <c r="H4954" t="n">
        <v>23.69</v>
      </c>
      <c r="I4954" t="inlineStr">
        <is>
          <t>credit_card</t>
        </is>
      </c>
      <c r="J4954" t="n">
        <v>7</v>
      </c>
      <c r="K4954" t="inlineStr">
        <is>
          <t>On Time</t>
        </is>
      </c>
      <c r="L4954" t="n">
        <v>5</v>
      </c>
      <c r="M4954">
        <f>VLOOKUP(D4954,State_Lookup!$A$2:$B$28,2,FALSE)</f>
        <v/>
      </c>
    </row>
    <row r="4955">
      <c r="A4955" t="inlineStr">
        <is>
          <t>db033c99784b0da2569c40df1e7001d7</t>
        </is>
      </c>
      <c r="B4955" t="inlineStr">
        <is>
          <t>2018-08-20</t>
        </is>
      </c>
      <c r="C4955" t="inlineStr">
        <is>
          <t>2018-08</t>
        </is>
      </c>
      <c r="D4955" t="inlineStr">
        <is>
          <t>MG</t>
        </is>
      </c>
      <c r="E4955" t="inlineStr">
        <is>
          <t>bed_bath_table</t>
        </is>
      </c>
      <c r="F4955" t="n">
        <v>1</v>
      </c>
      <c r="G4955" t="n">
        <v>72.12</v>
      </c>
      <c r="H4955" t="n">
        <v>18.61</v>
      </c>
      <c r="I4955" t="inlineStr">
        <is>
          <t>boleto</t>
        </is>
      </c>
      <c r="J4955" t="n">
        <v>7</v>
      </c>
      <c r="K4955" t="inlineStr">
        <is>
          <t>On Time</t>
        </is>
      </c>
      <c r="L4955" t="n">
        <v>5</v>
      </c>
      <c r="M4955">
        <f>VLOOKUP(D4955,State_Lookup!$A$2:$B$28,2,FALSE)</f>
        <v/>
      </c>
    </row>
    <row r="4956">
      <c r="A4956" t="inlineStr">
        <is>
          <t>36cd1ce42b6013f372ceb0a80b2a1b7c</t>
        </is>
      </c>
      <c r="B4956" t="inlineStr">
        <is>
          <t>2018-08-20</t>
        </is>
      </c>
      <c r="C4956" t="inlineStr">
        <is>
          <t>2018-08</t>
        </is>
      </c>
      <c r="D4956" t="inlineStr">
        <is>
          <t>SP</t>
        </is>
      </c>
      <c r="E4956" t="inlineStr">
        <is>
          <t>furniture_decor</t>
        </is>
      </c>
      <c r="F4956" t="n">
        <v>1</v>
      </c>
      <c r="G4956" t="n">
        <v>295</v>
      </c>
      <c r="H4956" t="n">
        <v>34.55</v>
      </c>
      <c r="I4956" t="inlineStr">
        <is>
          <t>credit_card</t>
        </is>
      </c>
      <c r="J4956" t="n">
        <v>8</v>
      </c>
      <c r="K4956" t="inlineStr">
        <is>
          <t>On Time</t>
        </is>
      </c>
      <c r="L4956" t="n">
        <v>4</v>
      </c>
      <c r="M4956">
        <f>VLOOKUP(D4956,State_Lookup!$A$2:$B$28,2,FALSE)</f>
        <v/>
      </c>
    </row>
    <row r="4957">
      <c r="A4957" t="inlineStr">
        <is>
          <t>73651881d63f2630709963bab45d7525</t>
        </is>
      </c>
      <c r="B4957" t="inlineStr">
        <is>
          <t>2018-08-20</t>
        </is>
      </c>
      <c r="C4957" t="inlineStr">
        <is>
          <t>2018-08</t>
        </is>
      </c>
      <c r="D4957" t="inlineStr">
        <is>
          <t>SP</t>
        </is>
      </c>
      <c r="E4957" t="inlineStr">
        <is>
          <t>health_beauty</t>
        </is>
      </c>
      <c r="F4957" t="n">
        <v>2</v>
      </c>
      <c r="G4957" t="n">
        <v>38.98</v>
      </c>
      <c r="H4957" t="n">
        <v>14.8</v>
      </c>
      <c r="I4957" t="inlineStr">
        <is>
          <t>credit_card</t>
        </is>
      </c>
      <c r="J4957" t="n">
        <v>3</v>
      </c>
      <c r="K4957" t="inlineStr">
        <is>
          <t>On Time</t>
        </is>
      </c>
      <c r="L4957" t="n">
        <v>5</v>
      </c>
      <c r="M4957">
        <f>VLOOKUP(D4957,State_Lookup!$A$2:$B$28,2,FALSE)</f>
        <v/>
      </c>
    </row>
    <row r="4958">
      <c r="A4958" t="inlineStr">
        <is>
          <t>6bf033a604dd601317705db318a6095d</t>
        </is>
      </c>
      <c r="B4958" t="inlineStr">
        <is>
          <t>2018-08-20</t>
        </is>
      </c>
      <c r="C4958" t="inlineStr">
        <is>
          <t>2018-08</t>
        </is>
      </c>
      <c r="D4958" t="inlineStr">
        <is>
          <t>SP</t>
        </is>
      </c>
      <c r="E4958" t="inlineStr">
        <is>
          <t>health_beauty</t>
        </is>
      </c>
      <c r="F4958" t="n">
        <v>1</v>
      </c>
      <c r="G4958" t="n">
        <v>89.90000000000001</v>
      </c>
      <c r="H4958" t="n">
        <v>15.7</v>
      </c>
      <c r="I4958" t="inlineStr">
        <is>
          <t>credit_card</t>
        </is>
      </c>
      <c r="J4958" t="n">
        <v>4</v>
      </c>
      <c r="K4958" t="inlineStr">
        <is>
          <t>On Time</t>
        </is>
      </c>
      <c r="L4958" t="n">
        <v>5</v>
      </c>
      <c r="M4958">
        <f>VLOOKUP(D4958,State_Lookup!$A$2:$B$28,2,FALSE)</f>
        <v/>
      </c>
    </row>
    <row r="4959">
      <c r="A4959" t="inlineStr">
        <is>
          <t>35a1f77503821f43673d975ffe0bb7b4</t>
        </is>
      </c>
      <c r="B4959" t="inlineStr">
        <is>
          <t>2018-08-21</t>
        </is>
      </c>
      <c r="C4959" t="inlineStr">
        <is>
          <t>2018-08</t>
        </is>
      </c>
      <c r="D4959" t="inlineStr">
        <is>
          <t>RJ</t>
        </is>
      </c>
      <c r="E4959" t="inlineStr">
        <is>
          <t>air_conditioning</t>
        </is>
      </c>
      <c r="F4959" t="n">
        <v>1</v>
      </c>
      <c r="G4959" t="n">
        <v>289.9</v>
      </c>
      <c r="H4959" t="n">
        <v>45.83</v>
      </c>
      <c r="I4959" t="inlineStr">
        <is>
          <t>credit_card</t>
        </is>
      </c>
      <c r="J4959" t="n">
        <v>7</v>
      </c>
      <c r="K4959" t="inlineStr">
        <is>
          <t>On Time</t>
        </is>
      </c>
      <c r="L4959" t="n">
        <v>4</v>
      </c>
      <c r="M4959">
        <f>VLOOKUP(D4959,State_Lookup!$A$2:$B$28,2,FALSE)</f>
        <v/>
      </c>
    </row>
    <row r="4960">
      <c r="A4960" t="inlineStr">
        <is>
          <t>ba84f6aec57aa48ee3eb1b97964354e5</t>
        </is>
      </c>
      <c r="B4960" t="inlineStr">
        <is>
          <t>2018-08-21</t>
        </is>
      </c>
      <c r="C4960" t="inlineStr">
        <is>
          <t>2018-08</t>
        </is>
      </c>
      <c r="D4960" t="inlineStr">
        <is>
          <t>SP</t>
        </is>
      </c>
      <c r="E4960" t="inlineStr">
        <is>
          <t>housewares</t>
        </is>
      </c>
      <c r="F4960" t="n">
        <v>2</v>
      </c>
      <c r="G4960" t="n">
        <v>69.8</v>
      </c>
      <c r="H4960" t="n">
        <v>36.02</v>
      </c>
      <c r="I4960" t="inlineStr">
        <is>
          <t>credit_card</t>
        </is>
      </c>
      <c r="J4960" t="n">
        <v>2</v>
      </c>
      <c r="K4960" t="inlineStr">
        <is>
          <t>On Time</t>
        </is>
      </c>
      <c r="L4960" t="n">
        <v>5</v>
      </c>
      <c r="M4960">
        <f>VLOOKUP(D4960,State_Lookup!$A$2:$B$28,2,FALSE)</f>
        <v/>
      </c>
    </row>
    <row r="4961">
      <c r="A4961" t="inlineStr">
        <is>
          <t>2d6e19c8b83e0333696e259829801f17</t>
        </is>
      </c>
      <c r="B4961" t="inlineStr">
        <is>
          <t>2018-08-21</t>
        </is>
      </c>
      <c r="C4961" t="inlineStr">
        <is>
          <t>2018-08</t>
        </is>
      </c>
      <c r="D4961" t="inlineStr">
        <is>
          <t>RJ</t>
        </is>
      </c>
      <c r="E4961" t="inlineStr">
        <is>
          <t>auto</t>
        </is>
      </c>
      <c r="F4961" t="n">
        <v>1</v>
      </c>
      <c r="G4961" t="n">
        <v>120</v>
      </c>
      <c r="H4961" t="n">
        <v>27.14</v>
      </c>
      <c r="I4961" t="inlineStr">
        <is>
          <t>credit_card</t>
        </is>
      </c>
      <c r="J4961" t="n">
        <v>7</v>
      </c>
      <c r="K4961" t="inlineStr">
        <is>
          <t>On Time</t>
        </is>
      </c>
      <c r="L4961" t="n">
        <v>5</v>
      </c>
      <c r="M4961">
        <f>VLOOKUP(D4961,State_Lookup!$A$2:$B$28,2,FALSE)</f>
        <v/>
      </c>
    </row>
    <row r="4962">
      <c r="A4962" t="inlineStr">
        <is>
          <t>a2e0ceb6d71b7658cd40852920066f75</t>
        </is>
      </c>
      <c r="B4962" t="inlineStr">
        <is>
          <t>2018-08-21</t>
        </is>
      </c>
      <c r="C4962" t="inlineStr">
        <is>
          <t>2018-08</t>
        </is>
      </c>
      <c r="D4962" t="inlineStr">
        <is>
          <t>SP</t>
        </is>
      </c>
      <c r="E4962" t="inlineStr">
        <is>
          <t>watches_gifts</t>
        </is>
      </c>
      <c r="F4962" t="n">
        <v>1</v>
      </c>
      <c r="G4962" t="n">
        <v>152.9</v>
      </c>
      <c r="H4962" t="n">
        <v>13.73</v>
      </c>
      <c r="I4962" t="inlineStr">
        <is>
          <t>credit_card</t>
        </is>
      </c>
      <c r="J4962" t="n">
        <v>7</v>
      </c>
      <c r="K4962" t="inlineStr">
        <is>
          <t>On Time</t>
        </is>
      </c>
      <c r="L4962" t="n">
        <v>5</v>
      </c>
      <c r="M4962">
        <f>VLOOKUP(D4962,State_Lookup!$A$2:$B$28,2,FALSE)</f>
        <v/>
      </c>
    </row>
    <row r="4963">
      <c r="A4963" t="inlineStr">
        <is>
          <t>62019f35fab0f9f60e1f25a8b17de426</t>
        </is>
      </c>
      <c r="B4963" t="inlineStr">
        <is>
          <t>2018-08-21</t>
        </is>
      </c>
      <c r="C4963" t="inlineStr">
        <is>
          <t>2018-08</t>
        </is>
      </c>
      <c r="D4963" t="inlineStr">
        <is>
          <t>RJ</t>
        </is>
      </c>
      <c r="E4963" t="inlineStr">
        <is>
          <t>fashion_bags_accessories</t>
        </is>
      </c>
      <c r="F4963" t="n">
        <v>1</v>
      </c>
      <c r="G4963" t="n">
        <v>84</v>
      </c>
      <c r="H4963" t="n">
        <v>22.52</v>
      </c>
      <c r="I4963" t="inlineStr">
        <is>
          <t>credit_card</t>
        </is>
      </c>
      <c r="J4963" t="n">
        <v>6</v>
      </c>
      <c r="K4963" t="inlineStr">
        <is>
          <t>On Time</t>
        </is>
      </c>
      <c r="L4963" t="n">
        <v>4</v>
      </c>
      <c r="M4963">
        <f>VLOOKUP(D4963,State_Lookup!$A$2:$B$28,2,FALSE)</f>
        <v/>
      </c>
    </row>
    <row r="4964">
      <c r="A4964" t="inlineStr">
        <is>
          <t>a7b3d17383515918f57cc831f29bc8dd</t>
        </is>
      </c>
      <c r="B4964" t="inlineStr">
        <is>
          <t>2018-08-21</t>
        </is>
      </c>
      <c r="C4964" t="inlineStr">
        <is>
          <t>2018-08</t>
        </is>
      </c>
      <c r="D4964" t="inlineStr">
        <is>
          <t>SP</t>
        </is>
      </c>
      <c r="E4964" t="inlineStr">
        <is>
          <t>health_beauty</t>
        </is>
      </c>
      <c r="F4964" t="n">
        <v>1</v>
      </c>
      <c r="G4964" t="n">
        <v>31.95</v>
      </c>
      <c r="H4964" t="n">
        <v>12.88</v>
      </c>
      <c r="I4964" t="inlineStr">
        <is>
          <t>credit_card</t>
        </is>
      </c>
      <c r="J4964" t="n">
        <v>5</v>
      </c>
      <c r="K4964" t="inlineStr">
        <is>
          <t>On Time</t>
        </is>
      </c>
      <c r="L4964" t="n">
        <v>5</v>
      </c>
      <c r="M4964">
        <f>VLOOKUP(D4964,State_Lookup!$A$2:$B$28,2,FALSE)</f>
        <v/>
      </c>
    </row>
    <row r="4965">
      <c r="A4965" t="inlineStr">
        <is>
          <t>f4829d4aec1e7ce6d1f88c4eb8086c3e</t>
        </is>
      </c>
      <c r="B4965" t="inlineStr">
        <is>
          <t>2018-08-21</t>
        </is>
      </c>
      <c r="C4965" t="inlineStr">
        <is>
          <t>2018-08</t>
        </is>
      </c>
      <c r="D4965" t="inlineStr">
        <is>
          <t>MG</t>
        </is>
      </c>
      <c r="E4965" t="inlineStr">
        <is>
          <t>health_beauty</t>
        </is>
      </c>
      <c r="F4965" t="n">
        <v>1</v>
      </c>
      <c r="G4965" t="n">
        <v>330</v>
      </c>
      <c r="H4965" t="n">
        <v>19.99</v>
      </c>
      <c r="I4965" t="inlineStr">
        <is>
          <t>boleto</t>
        </is>
      </c>
      <c r="J4965" t="n">
        <v>6</v>
      </c>
      <c r="K4965" t="inlineStr">
        <is>
          <t>On Time</t>
        </is>
      </c>
      <c r="L4965" t="n">
        <v>5</v>
      </c>
      <c r="M4965">
        <f>VLOOKUP(D4965,State_Lookup!$A$2:$B$28,2,FALSE)</f>
        <v/>
      </c>
    </row>
    <row r="4966">
      <c r="A4966" t="inlineStr">
        <is>
          <t>f94b0a3a81bf5b4de22a8c2a90df7263</t>
        </is>
      </c>
      <c r="B4966" t="inlineStr">
        <is>
          <t>2018-08-21</t>
        </is>
      </c>
      <c r="C4966" t="inlineStr">
        <is>
          <t>2018-08</t>
        </is>
      </c>
      <c r="D4966" t="inlineStr">
        <is>
          <t>PR</t>
        </is>
      </c>
      <c r="E4966" t="inlineStr">
        <is>
          <t>sports_leisure</t>
        </is>
      </c>
      <c r="F4966" t="n">
        <v>1</v>
      </c>
      <c r="G4966" t="n">
        <v>59.9</v>
      </c>
      <c r="H4966" t="n">
        <v>14.72</v>
      </c>
      <c r="I4966" t="inlineStr">
        <is>
          <t>credit_card</t>
        </is>
      </c>
      <c r="J4966" t="n">
        <v>5</v>
      </c>
      <c r="K4966" t="inlineStr">
        <is>
          <t>On Time</t>
        </is>
      </c>
      <c r="L4966" t="n">
        <v>4</v>
      </c>
      <c r="M4966">
        <f>VLOOKUP(D4966,State_Lookup!$A$2:$B$28,2,FALSE)</f>
        <v/>
      </c>
    </row>
    <row r="4967">
      <c r="A4967" t="inlineStr">
        <is>
          <t>f01221bdbf37c9c792b4cc3e78dc5dc8</t>
        </is>
      </c>
      <c r="B4967" t="inlineStr">
        <is>
          <t>2018-08-21</t>
        </is>
      </c>
      <c r="C4967" t="inlineStr">
        <is>
          <t>2018-08</t>
        </is>
      </c>
      <c r="D4967" t="inlineStr">
        <is>
          <t>MG</t>
        </is>
      </c>
      <c r="E4967" t="inlineStr">
        <is>
          <t>health_beauty</t>
        </is>
      </c>
      <c r="F4967" t="n">
        <v>1</v>
      </c>
      <c r="G4967" t="n">
        <v>330</v>
      </c>
      <c r="H4967" t="n">
        <v>20.41</v>
      </c>
      <c r="I4967" t="inlineStr">
        <is>
          <t>credit_card</t>
        </is>
      </c>
      <c r="J4967" t="n">
        <v>6</v>
      </c>
      <c r="K4967" t="inlineStr">
        <is>
          <t>On Time</t>
        </is>
      </c>
      <c r="L4967" t="n">
        <v>4</v>
      </c>
      <c r="M4967">
        <f>VLOOKUP(D4967,State_Lookup!$A$2:$B$28,2,FALSE)</f>
        <v/>
      </c>
    </row>
    <row r="4968">
      <c r="A4968" t="inlineStr">
        <is>
          <t>03ad48120321b06697272dfa53deff2b</t>
        </is>
      </c>
      <c r="B4968" t="inlineStr">
        <is>
          <t>2018-08-22</t>
        </is>
      </c>
      <c r="C4968" t="inlineStr">
        <is>
          <t>2018-08</t>
        </is>
      </c>
      <c r="D4968" t="inlineStr">
        <is>
          <t>SP</t>
        </is>
      </c>
      <c r="E4968" t="inlineStr">
        <is>
          <t>housewares</t>
        </is>
      </c>
      <c r="F4968" t="n">
        <v>1</v>
      </c>
      <c r="G4968" t="n">
        <v>69.90000000000001</v>
      </c>
      <c r="H4968" t="n">
        <v>21.13</v>
      </c>
      <c r="I4968" t="inlineStr">
        <is>
          <t>credit_card</t>
        </is>
      </c>
      <c r="J4968" t="n">
        <v>7</v>
      </c>
      <c r="K4968" t="inlineStr">
        <is>
          <t>On Time</t>
        </is>
      </c>
      <c r="L4968" t="n">
        <v>5</v>
      </c>
      <c r="M4968">
        <f>VLOOKUP(D4968,State_Lookup!$A$2:$B$28,2,FALSE)</f>
        <v/>
      </c>
    </row>
    <row r="4969">
      <c r="A4969" t="inlineStr">
        <is>
          <t>9cea6943c0d2ab67dc7bde8ab9b03f32</t>
        </is>
      </c>
      <c r="B4969" t="inlineStr">
        <is>
          <t>2018-08-22</t>
        </is>
      </c>
      <c r="C4969" t="inlineStr">
        <is>
          <t>2018-08</t>
        </is>
      </c>
      <c r="D4969" t="inlineStr">
        <is>
          <t>MG</t>
        </is>
      </c>
      <c r="E4969" t="inlineStr">
        <is>
          <t>baby</t>
        </is>
      </c>
      <c r="F4969" t="n">
        <v>1</v>
      </c>
      <c r="G4969" t="n">
        <v>149.9</v>
      </c>
      <c r="H4969" t="n">
        <v>27.35</v>
      </c>
      <c r="I4969" t="inlineStr">
        <is>
          <t>credit_card</t>
        </is>
      </c>
      <c r="J4969" t="n">
        <v>7</v>
      </c>
      <c r="K4969" t="inlineStr">
        <is>
          <t>On Time</t>
        </is>
      </c>
      <c r="L4969" t="n">
        <v>1</v>
      </c>
      <c r="M4969">
        <f>VLOOKUP(D4969,State_Lookup!$A$2:$B$28,2,FALSE)</f>
        <v/>
      </c>
    </row>
    <row r="4970">
      <c r="A4970" t="inlineStr">
        <is>
          <t>76cc0d927131093087a3d392008d9796</t>
        </is>
      </c>
      <c r="B4970" t="inlineStr">
        <is>
          <t>2018-08-22</t>
        </is>
      </c>
      <c r="C4970" t="inlineStr">
        <is>
          <t>2018-08</t>
        </is>
      </c>
      <c r="D4970" t="inlineStr">
        <is>
          <t>PR</t>
        </is>
      </c>
      <c r="E4970" t="inlineStr">
        <is>
          <t>health_beauty</t>
        </is>
      </c>
      <c r="F4970" t="n">
        <v>1</v>
      </c>
      <c r="G4970" t="n">
        <v>19.49</v>
      </c>
      <c r="H4970" t="n">
        <v>18.24</v>
      </c>
      <c r="I4970" t="inlineStr">
        <is>
          <t>credit_card</t>
        </is>
      </c>
      <c r="J4970" t="n">
        <v>8</v>
      </c>
      <c r="K4970" t="inlineStr">
        <is>
          <t>On Time</t>
        </is>
      </c>
      <c r="L4970" t="n">
        <v>5</v>
      </c>
      <c r="M4970">
        <f>VLOOKUP(D4970,State_Lookup!$A$2:$B$28,2,FALSE)</f>
        <v/>
      </c>
    </row>
    <row r="4971">
      <c r="A4971" t="inlineStr">
        <is>
          <t>38c9169c58d74d3447a3ffed8962ce34</t>
        </is>
      </c>
      <c r="B4971" t="inlineStr">
        <is>
          <t>2018-08-22</t>
        </is>
      </c>
      <c r="C4971" t="inlineStr">
        <is>
          <t>2018-08</t>
        </is>
      </c>
      <c r="D4971" t="inlineStr">
        <is>
          <t>SP</t>
        </is>
      </c>
      <c r="E4971" t="inlineStr">
        <is>
          <t>housewares</t>
        </is>
      </c>
      <c r="F4971" t="n">
        <v>2</v>
      </c>
      <c r="G4971" t="n">
        <v>25</v>
      </c>
      <c r="H4971" t="n">
        <v>14.78</v>
      </c>
      <c r="I4971" t="inlineStr">
        <is>
          <t>credit_card</t>
        </is>
      </c>
      <c r="J4971" t="n">
        <v>2</v>
      </c>
      <c r="K4971" t="inlineStr">
        <is>
          <t>On Time</t>
        </is>
      </c>
      <c r="L4971" t="n">
        <v>5</v>
      </c>
      <c r="M4971">
        <f>VLOOKUP(D4971,State_Lookup!$A$2:$B$28,2,FALSE)</f>
        <v/>
      </c>
    </row>
    <row r="4972">
      <c r="A4972" t="inlineStr">
        <is>
          <t>5e754503796f05f2ad0541feb16a6a85</t>
        </is>
      </c>
      <c r="B4972" t="inlineStr">
        <is>
          <t>2018-08-22</t>
        </is>
      </c>
      <c r="C4972" t="inlineStr">
        <is>
          <t>2018-08</t>
        </is>
      </c>
      <c r="D4972" t="inlineStr">
        <is>
          <t>SC</t>
        </is>
      </c>
      <c r="E4972" t="inlineStr">
        <is>
          <t>health_beauty</t>
        </is>
      </c>
      <c r="F4972" t="n">
        <v>1</v>
      </c>
      <c r="G4972" t="n">
        <v>38</v>
      </c>
      <c r="H4972" t="n">
        <v>18.37</v>
      </c>
      <c r="I4972" t="inlineStr">
        <is>
          <t>boleto</t>
        </is>
      </c>
      <c r="J4972" t="n">
        <v>6</v>
      </c>
      <c r="K4972" t="inlineStr">
        <is>
          <t>On Time</t>
        </is>
      </c>
      <c r="L4972" t="n">
        <v>5</v>
      </c>
      <c r="M4972">
        <f>VLOOKUP(D4972,State_Lookup!$A$2:$B$28,2,FALSE)</f>
        <v/>
      </c>
    </row>
    <row r="4973">
      <c r="A4973" t="inlineStr">
        <is>
          <t>f3f19665e7205700de2a40ff56bf2d28</t>
        </is>
      </c>
      <c r="B4973" t="inlineStr">
        <is>
          <t>2018-08-22</t>
        </is>
      </c>
      <c r="C4973" t="inlineStr">
        <is>
          <t>2018-08</t>
        </is>
      </c>
      <c r="D4973" t="inlineStr">
        <is>
          <t>SP</t>
        </is>
      </c>
      <c r="E4973" t="inlineStr">
        <is>
          <t>furniture_decor</t>
        </is>
      </c>
      <c r="F4973" t="n">
        <v>3</v>
      </c>
      <c r="G4973" t="n">
        <v>51</v>
      </c>
      <c r="H4973" t="n">
        <v>40.29</v>
      </c>
      <c r="I4973" t="inlineStr">
        <is>
          <t>credit_card</t>
        </is>
      </c>
      <c r="J4973" t="n">
        <v>3</v>
      </c>
      <c r="K4973" t="inlineStr">
        <is>
          <t>On Time</t>
        </is>
      </c>
      <c r="L4973" t="n">
        <v>5</v>
      </c>
      <c r="M4973">
        <f>VLOOKUP(D4973,State_Lookup!$A$2:$B$28,2,FALSE)</f>
        <v/>
      </c>
    </row>
    <row r="4974">
      <c r="A4974" t="inlineStr">
        <is>
          <t>05cb96d379b1a3df48333ecaa572bf26</t>
        </is>
      </c>
      <c r="B4974" t="inlineStr">
        <is>
          <t>2018-08-22</t>
        </is>
      </c>
      <c r="C4974" t="inlineStr">
        <is>
          <t>2018-08</t>
        </is>
      </c>
      <c r="D4974" t="inlineStr">
        <is>
          <t>SP</t>
        </is>
      </c>
      <c r="E4974" t="inlineStr">
        <is>
          <t>construction_tools_construction</t>
        </is>
      </c>
      <c r="F4974" t="n">
        <v>1</v>
      </c>
      <c r="G4974" t="n">
        <v>55.9</v>
      </c>
      <c r="H4974" t="n">
        <v>8.550000000000001</v>
      </c>
      <c r="I4974" t="inlineStr">
        <is>
          <t>credit_card</t>
        </is>
      </c>
      <c r="J4974" t="n">
        <v>5</v>
      </c>
      <c r="K4974" t="inlineStr">
        <is>
          <t>Late</t>
        </is>
      </c>
      <c r="L4974" t="n">
        <v>4</v>
      </c>
      <c r="M4974">
        <f>VLOOKUP(D4974,State_Lookup!$A$2:$B$28,2,FALSE)</f>
        <v/>
      </c>
    </row>
    <row r="4975">
      <c r="A4975" t="inlineStr">
        <is>
          <t>28cee6e32da30679cbfe3da21d2608e1</t>
        </is>
      </c>
      <c r="B4975" t="inlineStr">
        <is>
          <t>2018-08-22</t>
        </is>
      </c>
      <c r="C4975" t="inlineStr">
        <is>
          <t>2018-08</t>
        </is>
      </c>
      <c r="D4975" t="inlineStr">
        <is>
          <t>MG</t>
        </is>
      </c>
      <c r="E4975" t="inlineStr">
        <is>
          <t>food</t>
        </is>
      </c>
      <c r="F4975" t="n">
        <v>1</v>
      </c>
      <c r="G4975" t="n">
        <v>47.5</v>
      </c>
      <c r="H4975" t="n">
        <v>18.43</v>
      </c>
      <c r="I4975" t="inlineStr">
        <is>
          <t>credit_card</t>
        </is>
      </c>
      <c r="J4975" t="n">
        <v>6</v>
      </c>
      <c r="K4975" t="inlineStr">
        <is>
          <t>On Time</t>
        </is>
      </c>
      <c r="L4975" t="n">
        <v>5</v>
      </c>
      <c r="M4975">
        <f>VLOOKUP(D4975,State_Lookup!$A$2:$B$28,2,FALSE)</f>
        <v/>
      </c>
    </row>
    <row r="4976">
      <c r="A4976" t="inlineStr">
        <is>
          <t>985680a4287cdd85e885a79a6c24b023</t>
        </is>
      </c>
      <c r="B4976" t="inlineStr">
        <is>
          <t>2018-08-22</t>
        </is>
      </c>
      <c r="C4976" t="inlineStr">
        <is>
          <t>2018-08</t>
        </is>
      </c>
      <c r="D4976" t="inlineStr">
        <is>
          <t>SP</t>
        </is>
      </c>
      <c r="E4976" t="inlineStr">
        <is>
          <t>construction_tools_construction</t>
        </is>
      </c>
      <c r="F4976" t="n">
        <v>1</v>
      </c>
      <c r="G4976" t="n">
        <v>157</v>
      </c>
      <c r="H4976" t="n">
        <v>16.4</v>
      </c>
      <c r="I4976" t="inlineStr">
        <is>
          <t>credit_card</t>
        </is>
      </c>
      <c r="J4976" t="n">
        <v>2</v>
      </c>
      <c r="K4976" t="inlineStr">
        <is>
          <t>On Time</t>
        </is>
      </c>
      <c r="L4976" t="n">
        <v>3</v>
      </c>
      <c r="M4976">
        <f>VLOOKUP(D4976,State_Lookup!$A$2:$B$28,2,FALSE)</f>
        <v/>
      </c>
    </row>
    <row r="4977">
      <c r="A4977" t="inlineStr">
        <is>
          <t>c75be4dbb0444f5234b73d0e700bc425</t>
        </is>
      </c>
      <c r="B4977" t="inlineStr">
        <is>
          <t>2018-08-22</t>
        </is>
      </c>
      <c r="C4977" t="inlineStr">
        <is>
          <t>2018-08</t>
        </is>
      </c>
      <c r="D4977" t="inlineStr">
        <is>
          <t>SP</t>
        </is>
      </c>
      <c r="E4977" t="inlineStr">
        <is>
          <t>perfumery</t>
        </is>
      </c>
      <c r="F4977" t="n">
        <v>1</v>
      </c>
      <c r="G4977" t="n">
        <v>96.98999999999999</v>
      </c>
      <c r="H4977" t="n">
        <v>7.94</v>
      </c>
      <c r="I4977" t="inlineStr">
        <is>
          <t>credit_card</t>
        </is>
      </c>
      <c r="J4977" t="n">
        <v>5</v>
      </c>
      <c r="K4977" t="inlineStr">
        <is>
          <t>On Time</t>
        </is>
      </c>
      <c r="L4977" t="n">
        <v>1</v>
      </c>
      <c r="M4977">
        <f>VLOOKUP(D4977,State_Lookup!$A$2:$B$28,2,FALSE)</f>
        <v/>
      </c>
    </row>
    <row r="4978">
      <c r="A4978" t="inlineStr">
        <is>
          <t>529a65336debb1c3e3327d7d67dc733d</t>
        </is>
      </c>
      <c r="B4978" t="inlineStr">
        <is>
          <t>2018-08-22</t>
        </is>
      </c>
      <c r="C4978" t="inlineStr">
        <is>
          <t>2018-08</t>
        </is>
      </c>
      <c r="D4978" t="inlineStr">
        <is>
          <t>SC</t>
        </is>
      </c>
      <c r="E4978" t="inlineStr">
        <is>
          <t>watches_gifts</t>
        </is>
      </c>
      <c r="F4978" t="n">
        <v>1</v>
      </c>
      <c r="G4978" t="n">
        <v>77</v>
      </c>
      <c r="H4978" t="n">
        <v>18.64</v>
      </c>
      <c r="I4978" t="inlineStr">
        <is>
          <t>credit_card</t>
        </is>
      </c>
      <c r="J4978" t="n">
        <v>8</v>
      </c>
      <c r="K4978" t="inlineStr">
        <is>
          <t>On Time</t>
        </is>
      </c>
      <c r="L4978" t="n">
        <v>5</v>
      </c>
      <c r="M4978">
        <f>VLOOKUP(D4978,State_Lookup!$A$2:$B$28,2,FALSE)</f>
        <v/>
      </c>
    </row>
    <row r="4979">
      <c r="A4979" t="inlineStr">
        <is>
          <t>0feb8ce954124d3e3d8338c573a9c523</t>
        </is>
      </c>
      <c r="B4979" t="inlineStr">
        <is>
          <t>2018-08-23</t>
        </is>
      </c>
      <c r="C4979" t="inlineStr">
        <is>
          <t>2018-08</t>
        </is>
      </c>
      <c r="D4979" t="inlineStr">
        <is>
          <t>SP</t>
        </is>
      </c>
      <c r="E4979" t="inlineStr">
        <is>
          <t>watches_gifts</t>
        </is>
      </c>
      <c r="F4979" t="n">
        <v>2</v>
      </c>
      <c r="G4979" t="n">
        <v>100</v>
      </c>
      <c r="H4979" t="n">
        <v>15.23</v>
      </c>
      <c r="I4979" t="inlineStr">
        <is>
          <t>credit_card</t>
        </is>
      </c>
      <c r="J4979" t="n">
        <v>4</v>
      </c>
      <c r="K4979" t="inlineStr">
        <is>
          <t>On Time</t>
        </is>
      </c>
      <c r="L4979" t="n">
        <v>5</v>
      </c>
      <c r="M4979">
        <f>VLOOKUP(D4979,State_Lookup!$A$2:$B$28,2,FALSE)</f>
        <v/>
      </c>
    </row>
    <row r="4980">
      <c r="A4980" t="inlineStr">
        <is>
          <t>2ae01dafe3790417726f148d9f1a90a4</t>
        </is>
      </c>
      <c r="B4980" t="inlineStr">
        <is>
          <t>2018-08-23</t>
        </is>
      </c>
      <c r="C4980" t="inlineStr">
        <is>
          <t>2018-08</t>
        </is>
      </c>
      <c r="D4980" t="inlineStr">
        <is>
          <t>SP</t>
        </is>
      </c>
      <c r="E4980" t="inlineStr">
        <is>
          <t>auto</t>
        </is>
      </c>
      <c r="F4980" t="n">
        <v>1</v>
      </c>
      <c r="G4980" t="n">
        <v>107.9</v>
      </c>
      <c r="H4980" t="n">
        <v>15.07</v>
      </c>
      <c r="I4980" t="inlineStr">
        <is>
          <t>boleto</t>
        </is>
      </c>
      <c r="J4980" t="n">
        <v>6</v>
      </c>
      <c r="K4980" t="inlineStr">
        <is>
          <t>On Time</t>
        </is>
      </c>
      <c r="L4980" t="n">
        <v>5</v>
      </c>
      <c r="M4980">
        <f>VLOOKUP(D4980,State_Lookup!$A$2:$B$28,2,FALSE)</f>
        <v/>
      </c>
    </row>
    <row r="4981">
      <c r="A4981" t="inlineStr">
        <is>
          <t>0097aafe2a01dd54e39888976160c377</t>
        </is>
      </c>
      <c r="B4981" t="inlineStr">
        <is>
          <t>2018-08-23</t>
        </is>
      </c>
      <c r="C4981" t="inlineStr">
        <is>
          <t>2018-08</t>
        </is>
      </c>
      <c r="D4981" t="inlineStr">
        <is>
          <t>SP</t>
        </is>
      </c>
      <c r="E4981" t="inlineStr">
        <is>
          <t>computers_accessories</t>
        </is>
      </c>
      <c r="F4981" t="n">
        <v>1</v>
      </c>
      <c r="G4981" t="n">
        <v>62</v>
      </c>
      <c r="H4981" t="n">
        <v>8.59</v>
      </c>
      <c r="I4981" t="inlineStr">
        <is>
          <t>boleto</t>
        </is>
      </c>
      <c r="J4981" t="n">
        <v>5</v>
      </c>
      <c r="K4981" t="inlineStr">
        <is>
          <t>On Time</t>
        </is>
      </c>
      <c r="L4981" t="n">
        <v>4</v>
      </c>
      <c r="M4981">
        <f>VLOOKUP(D4981,State_Lookup!$A$2:$B$28,2,FALSE)</f>
        <v/>
      </c>
    </row>
    <row r="4982">
      <c r="A4982" t="inlineStr">
        <is>
          <t>f83a0ce66c457dfdf564dafa364ae1d4</t>
        </is>
      </c>
      <c r="B4982" t="inlineStr">
        <is>
          <t>2018-08-23</t>
        </is>
      </c>
      <c r="C4982" t="inlineStr">
        <is>
          <t>2018-08</t>
        </is>
      </c>
      <c r="D4982" t="inlineStr">
        <is>
          <t>RJ</t>
        </is>
      </c>
      <c r="E4982" t="inlineStr">
        <is>
          <t>audio</t>
        </is>
      </c>
      <c r="F4982" t="n">
        <v>2</v>
      </c>
      <c r="G4982" t="n">
        <v>29.8</v>
      </c>
      <c r="H4982" t="n">
        <v>36.46</v>
      </c>
      <c r="I4982" t="inlineStr">
        <is>
          <t>credit_card</t>
        </is>
      </c>
      <c r="J4982" t="n">
        <v>6</v>
      </c>
      <c r="K4982" t="inlineStr">
        <is>
          <t>On Time</t>
        </is>
      </c>
      <c r="L4982" t="n">
        <v>3</v>
      </c>
      <c r="M4982">
        <f>VLOOKUP(D4982,State_Lookup!$A$2:$B$28,2,FALSE)</f>
        <v/>
      </c>
    </row>
    <row r="4983">
      <c r="A4983" t="inlineStr">
        <is>
          <t>2fd573eea535b447eea60a9b4aa2603d</t>
        </is>
      </c>
      <c r="B4983" t="inlineStr">
        <is>
          <t>2018-08-23</t>
        </is>
      </c>
      <c r="C4983" t="inlineStr">
        <is>
          <t>2018-08</t>
        </is>
      </c>
      <c r="D4983" t="inlineStr">
        <is>
          <t>MG</t>
        </is>
      </c>
      <c r="E4983" t="inlineStr">
        <is>
          <t>health_beauty</t>
        </is>
      </c>
      <c r="F4983" t="n">
        <v>1</v>
      </c>
      <c r="G4983" t="n">
        <v>217.9</v>
      </c>
      <c r="H4983" t="n">
        <v>25.61</v>
      </c>
      <c r="I4983" t="inlineStr">
        <is>
          <t>credit_card</t>
        </is>
      </c>
      <c r="J4983" t="n">
        <v>5</v>
      </c>
      <c r="K4983" t="inlineStr">
        <is>
          <t>On Time</t>
        </is>
      </c>
      <c r="L4983" t="n">
        <v>5</v>
      </c>
      <c r="M4983">
        <f>VLOOKUP(D4983,State_Lookup!$A$2:$B$28,2,FALSE)</f>
        <v/>
      </c>
    </row>
    <row r="4984">
      <c r="A4984" t="inlineStr">
        <is>
          <t>8118e88205b0cd1342e85368ed6c0bcf</t>
        </is>
      </c>
      <c r="B4984" t="inlineStr">
        <is>
          <t>2018-08-24</t>
        </is>
      </c>
      <c r="C4984" t="inlineStr">
        <is>
          <t>2018-08</t>
        </is>
      </c>
      <c r="D4984" t="inlineStr">
        <is>
          <t>SP</t>
        </is>
      </c>
      <c r="E4984" t="inlineStr">
        <is>
          <t>health_beauty</t>
        </is>
      </c>
      <c r="F4984" t="n">
        <v>1</v>
      </c>
      <c r="G4984" t="n">
        <v>179</v>
      </c>
      <c r="H4984" t="n">
        <v>9.41</v>
      </c>
      <c r="I4984" t="inlineStr">
        <is>
          <t>credit_card</t>
        </is>
      </c>
      <c r="J4984" t="n">
        <v>4</v>
      </c>
      <c r="K4984" t="inlineStr">
        <is>
          <t>On Time</t>
        </is>
      </c>
      <c r="L4984" t="n">
        <v>5</v>
      </c>
      <c r="M4984">
        <f>VLOOKUP(D4984,State_Lookup!$A$2:$B$28,2,FALSE)</f>
        <v/>
      </c>
    </row>
    <row r="4985">
      <c r="A4985" t="inlineStr">
        <is>
          <t>876152d8704a9cb49112a5def3cce455</t>
        </is>
      </c>
      <c r="B4985" t="inlineStr">
        <is>
          <t>2018-08-24</t>
        </is>
      </c>
      <c r="C4985" t="inlineStr">
        <is>
          <t>2018-08</t>
        </is>
      </c>
      <c r="D4985" t="inlineStr">
        <is>
          <t>SP</t>
        </is>
      </c>
      <c r="E4985" t="inlineStr">
        <is>
          <t>construction_tools_construction</t>
        </is>
      </c>
      <c r="F4985" t="n">
        <v>1</v>
      </c>
      <c r="G4985" t="n">
        <v>29.9</v>
      </c>
      <c r="H4985" t="n">
        <v>7.47</v>
      </c>
      <c r="I4985" t="inlineStr">
        <is>
          <t>credit_card</t>
        </is>
      </c>
      <c r="J4985" t="n">
        <v>3</v>
      </c>
      <c r="K4985" t="inlineStr">
        <is>
          <t>On Time</t>
        </is>
      </c>
      <c r="L4985" t="n">
        <v>5</v>
      </c>
      <c r="M4985">
        <f>VLOOKUP(D4985,State_Lookup!$A$2:$B$28,2,FALSE)</f>
        <v/>
      </c>
    </row>
    <row r="4986">
      <c r="A4986" t="inlineStr">
        <is>
          <t>c7e9244a9fdf9ae33fd94f55e7e24741</t>
        </is>
      </c>
      <c r="B4986" t="inlineStr">
        <is>
          <t>2018-08-24</t>
        </is>
      </c>
      <c r="C4986" t="inlineStr">
        <is>
          <t>2018-08</t>
        </is>
      </c>
      <c r="D4986" t="inlineStr">
        <is>
          <t>MG</t>
        </is>
      </c>
      <c r="E4986" t="inlineStr">
        <is>
          <t>construction_tools_construction</t>
        </is>
      </c>
      <c r="F4986" t="n">
        <v>1</v>
      </c>
      <c r="G4986" t="n">
        <v>219</v>
      </c>
      <c r="H4986" t="n">
        <v>45.33</v>
      </c>
      <c r="I4986" t="inlineStr">
        <is>
          <t>boleto</t>
        </is>
      </c>
      <c r="J4986" t="n">
        <v>6</v>
      </c>
      <c r="K4986" t="inlineStr">
        <is>
          <t>On Time</t>
        </is>
      </c>
      <c r="L4986" t="n">
        <v>5</v>
      </c>
      <c r="M4986">
        <f>VLOOKUP(D4986,State_Lookup!$A$2:$B$28,2,FALSE)</f>
        <v/>
      </c>
    </row>
    <row r="4987">
      <c r="A4987" t="inlineStr">
        <is>
          <t>421deffec215845f8632fb3543789f86</t>
        </is>
      </c>
      <c r="B4987" t="inlineStr">
        <is>
          <t>2018-08-24</t>
        </is>
      </c>
      <c r="C4987" t="inlineStr">
        <is>
          <t>2018-08</t>
        </is>
      </c>
      <c r="D4987" t="inlineStr">
        <is>
          <t>SC</t>
        </is>
      </c>
      <c r="E4987" t="inlineStr">
        <is>
          <t>computers_accessories</t>
        </is>
      </c>
      <c r="F4987" t="n">
        <v>1</v>
      </c>
      <c r="G4987" t="n">
        <v>84.98999999999999</v>
      </c>
      <c r="H4987" t="n">
        <v>18.7</v>
      </c>
      <c r="I4987" t="inlineStr">
        <is>
          <t>credit_card</t>
        </is>
      </c>
      <c r="J4987" t="n">
        <v>6</v>
      </c>
      <c r="K4987" t="inlineStr">
        <is>
          <t>On Time</t>
        </is>
      </c>
      <c r="L4987" t="n">
        <v>5</v>
      </c>
      <c r="M4987">
        <f>VLOOKUP(D4987,State_Lookup!$A$2:$B$28,2,FALSE)</f>
        <v/>
      </c>
    </row>
    <row r="4988">
      <c r="A4988" t="inlineStr">
        <is>
          <t>a4d7caf7570d02134caf5b8425c515d8</t>
        </is>
      </c>
      <c r="B4988" t="inlineStr">
        <is>
          <t>2018-08-25</t>
        </is>
      </c>
      <c r="C4988" t="inlineStr">
        <is>
          <t>2018-08</t>
        </is>
      </c>
      <c r="D4988" t="inlineStr">
        <is>
          <t>SP</t>
        </is>
      </c>
      <c r="E4988" t="inlineStr">
        <is>
          <t>computers_accessories</t>
        </is>
      </c>
      <c r="F4988" t="n">
        <v>1</v>
      </c>
      <c r="G4988" t="n">
        <v>88.89</v>
      </c>
      <c r="H4988" t="n">
        <v>7.88</v>
      </c>
      <c r="I4988" t="inlineStr">
        <is>
          <t>credit_card</t>
        </is>
      </c>
      <c r="J4988" t="n">
        <v>4</v>
      </c>
      <c r="K4988" t="inlineStr">
        <is>
          <t>On Time</t>
        </is>
      </c>
      <c r="L4988" t="n">
        <v>4</v>
      </c>
      <c r="M4988">
        <f>VLOOKUP(D4988,State_Lookup!$A$2:$B$28,2,FALSE)</f>
        <v/>
      </c>
    </row>
    <row r="4989">
      <c r="A4989" t="inlineStr">
        <is>
          <t>1ed30df5fa6886743c4509f8bd1a3241</t>
        </is>
      </c>
      <c r="B4989" t="inlineStr">
        <is>
          <t>2018-08-25</t>
        </is>
      </c>
      <c r="C4989" t="inlineStr">
        <is>
          <t>2018-08</t>
        </is>
      </c>
      <c r="D4989" t="inlineStr">
        <is>
          <t>RJ</t>
        </is>
      </c>
      <c r="E4989" t="inlineStr">
        <is>
          <t>housewares</t>
        </is>
      </c>
      <c r="F4989" t="n">
        <v>1</v>
      </c>
      <c r="G4989" t="n">
        <v>23.8</v>
      </c>
      <c r="H4989" t="n">
        <v>18.27</v>
      </c>
      <c r="I4989" t="inlineStr">
        <is>
          <t>credit_card</t>
        </is>
      </c>
      <c r="J4989" t="n">
        <v>5</v>
      </c>
      <c r="K4989" t="inlineStr">
        <is>
          <t>On Time</t>
        </is>
      </c>
      <c r="L4989" t="n">
        <v>5</v>
      </c>
      <c r="M4989">
        <f>VLOOKUP(D4989,State_Lookup!$A$2:$B$28,2,FALSE)</f>
        <v/>
      </c>
    </row>
    <row r="4990">
      <c r="A4990" t="inlineStr">
        <is>
          <t>c94edffab2f10ec24645c62b40881e88</t>
        </is>
      </c>
      <c r="B4990" t="inlineStr">
        <is>
          <t>2018-08-25</t>
        </is>
      </c>
      <c r="C4990" t="inlineStr">
        <is>
          <t>2018-08</t>
        </is>
      </c>
      <c r="D4990" t="inlineStr">
        <is>
          <t>RJ</t>
        </is>
      </c>
      <c r="E4990" t="inlineStr">
        <is>
          <t>perfumery</t>
        </is>
      </c>
      <c r="F4990" t="n">
        <v>2</v>
      </c>
      <c r="G4990" t="n">
        <v>233.8</v>
      </c>
      <c r="H4990" t="n">
        <v>31.84</v>
      </c>
      <c r="I4990" t="inlineStr">
        <is>
          <t>credit_card</t>
        </is>
      </c>
      <c r="J4990" t="n">
        <v>3</v>
      </c>
      <c r="K4990" t="inlineStr">
        <is>
          <t>On Time</t>
        </is>
      </c>
      <c r="L4990" t="n">
        <v>3</v>
      </c>
      <c r="M4990">
        <f>VLOOKUP(D4990,State_Lookup!$A$2:$B$28,2,FALSE)</f>
        <v/>
      </c>
    </row>
    <row r="4991">
      <c r="A4991" t="inlineStr">
        <is>
          <t>3676b8a38151270ac285f2fa3c564772</t>
        </is>
      </c>
      <c r="B4991" t="inlineStr">
        <is>
          <t>2018-08-25</t>
        </is>
      </c>
      <c r="C4991" t="inlineStr">
        <is>
          <t>2018-08</t>
        </is>
      </c>
      <c r="D4991" t="inlineStr">
        <is>
          <t>SP</t>
        </is>
      </c>
      <c r="E4991" t="inlineStr">
        <is>
          <t>cine_photo</t>
        </is>
      </c>
      <c r="F4991" t="n">
        <v>2</v>
      </c>
      <c r="G4991" t="n">
        <v>31.8</v>
      </c>
      <c r="H4991" t="n">
        <v>14.78</v>
      </c>
      <c r="I4991" t="inlineStr">
        <is>
          <t>boleto</t>
        </is>
      </c>
      <c r="J4991" t="n">
        <v>3</v>
      </c>
      <c r="K4991" t="inlineStr">
        <is>
          <t>On Time</t>
        </is>
      </c>
      <c r="L4991" t="n">
        <v>5</v>
      </c>
      <c r="M4991">
        <f>VLOOKUP(D4991,State_Lookup!$A$2:$B$28,2,FALSE)</f>
        <v/>
      </c>
    </row>
    <row r="4992">
      <c r="A4992" t="inlineStr">
        <is>
          <t>675bc8cd15e6b9225582b9161288670f</t>
        </is>
      </c>
      <c r="B4992" t="inlineStr">
        <is>
          <t>2018-08-25</t>
        </is>
      </c>
      <c r="C4992" t="inlineStr">
        <is>
          <t>2018-08</t>
        </is>
      </c>
      <c r="D4992" t="inlineStr">
        <is>
          <t>SP</t>
        </is>
      </c>
      <c r="E4992" t="inlineStr">
        <is>
          <t>watches_gifts</t>
        </is>
      </c>
      <c r="F4992" t="n">
        <v>1</v>
      </c>
      <c r="G4992" t="n">
        <v>249</v>
      </c>
      <c r="H4992" t="n">
        <v>9.9</v>
      </c>
      <c r="I4992" t="inlineStr">
        <is>
          <t>credit_card</t>
        </is>
      </c>
      <c r="J4992" t="n">
        <v>2</v>
      </c>
      <c r="K4992" t="inlineStr">
        <is>
          <t>On Time</t>
        </is>
      </c>
      <c r="L4992" t="n">
        <v>1</v>
      </c>
      <c r="M4992">
        <f>VLOOKUP(D4992,State_Lookup!$A$2:$B$28,2,FALSE)</f>
        <v/>
      </c>
    </row>
    <row r="4993">
      <c r="A4993" t="inlineStr">
        <is>
          <t>12fb8b575f3f6d58ccbafba1294177e5</t>
        </is>
      </c>
      <c r="B4993" t="inlineStr">
        <is>
          <t>2018-08-25</t>
        </is>
      </c>
      <c r="C4993" t="inlineStr">
        <is>
          <t>2018-08</t>
        </is>
      </c>
      <c r="D4993" t="inlineStr">
        <is>
          <t>SP</t>
        </is>
      </c>
      <c r="E4993" t="inlineStr">
        <is>
          <t>computers_accessories</t>
        </is>
      </c>
      <c r="F4993" t="n">
        <v>1</v>
      </c>
      <c r="G4993" t="n">
        <v>12.99</v>
      </c>
      <c r="H4993" t="n">
        <v>7.39</v>
      </c>
      <c r="I4993" t="inlineStr">
        <is>
          <t>boleto</t>
        </is>
      </c>
      <c r="J4993" t="n">
        <v>4</v>
      </c>
      <c r="K4993" t="inlineStr">
        <is>
          <t>On Time</t>
        </is>
      </c>
      <c r="L4993" t="n">
        <v>5</v>
      </c>
      <c r="M4993">
        <f>VLOOKUP(D4993,State_Lookup!$A$2:$B$28,2,FALSE)</f>
        <v/>
      </c>
    </row>
    <row r="4994">
      <c r="A4994" t="inlineStr">
        <is>
          <t>a37c35b30b6e6d6e5a62c846cb093a32</t>
        </is>
      </c>
      <c r="B4994" t="inlineStr">
        <is>
          <t>2018-08-26</t>
        </is>
      </c>
      <c r="C4994" t="inlineStr">
        <is>
          <t>2018-08</t>
        </is>
      </c>
      <c r="D4994" t="inlineStr">
        <is>
          <t>SP</t>
        </is>
      </c>
      <c r="E4994" t="inlineStr">
        <is>
          <t>computers_accessories</t>
        </is>
      </c>
      <c r="F4994" t="n">
        <v>1</v>
      </c>
      <c r="G4994" t="n">
        <v>20.9</v>
      </c>
      <c r="H4994" t="n">
        <v>12.81</v>
      </c>
      <c r="I4994" t="inlineStr">
        <is>
          <t>credit_card</t>
        </is>
      </c>
      <c r="J4994" t="n">
        <v>3</v>
      </c>
      <c r="K4994" t="inlineStr">
        <is>
          <t>On Time</t>
        </is>
      </c>
      <c r="L4994" t="n">
        <v>5</v>
      </c>
      <c r="M4994">
        <f>VLOOKUP(D4994,State_Lookup!$A$2:$B$28,2,FALSE)</f>
        <v/>
      </c>
    </row>
    <row r="4995">
      <c r="A4995" t="inlineStr">
        <is>
          <t>56610fa87188c93ee5993a5e98a7b092</t>
        </is>
      </c>
      <c r="B4995" t="inlineStr">
        <is>
          <t>2018-08-27</t>
        </is>
      </c>
      <c r="C4995" t="inlineStr">
        <is>
          <t>2018-08</t>
        </is>
      </c>
      <c r="D4995" t="inlineStr">
        <is>
          <t>SP</t>
        </is>
      </c>
      <c r="E4995" t="inlineStr">
        <is>
          <t>auto</t>
        </is>
      </c>
      <c r="F4995" t="n">
        <v>1</v>
      </c>
      <c r="G4995" t="n">
        <v>38.99</v>
      </c>
      <c r="H4995" t="n">
        <v>7.53</v>
      </c>
      <c r="I4995" t="inlineStr">
        <is>
          <t>credit_card</t>
        </is>
      </c>
      <c r="J4995" t="n">
        <v>3</v>
      </c>
      <c r="K4995" t="inlineStr">
        <is>
          <t>Late</t>
        </is>
      </c>
      <c r="L4995" t="n">
        <v>3</v>
      </c>
      <c r="M4995">
        <f>VLOOKUP(D4995,State_Lookup!$A$2:$B$28,2,FALSE)</f>
        <v/>
      </c>
    </row>
    <row r="4996">
      <c r="A4996" t="inlineStr">
        <is>
          <t>f27cc61c27c26b63dd0b279bb9c29ed6</t>
        </is>
      </c>
      <c r="B4996" t="inlineStr">
        <is>
          <t>2018-08-27</t>
        </is>
      </c>
      <c r="C4996" t="inlineStr">
        <is>
          <t>2018-08</t>
        </is>
      </c>
      <c r="D4996" t="inlineStr">
        <is>
          <t>SP</t>
        </is>
      </c>
      <c r="E4996" t="inlineStr">
        <is>
          <t>bed_bath_table</t>
        </is>
      </c>
      <c r="F4996" t="n">
        <v>1</v>
      </c>
      <c r="G4996" t="n">
        <v>57.9</v>
      </c>
      <c r="H4996" t="n">
        <v>11.43</v>
      </c>
      <c r="I4996" t="inlineStr">
        <is>
          <t>credit_card</t>
        </is>
      </c>
      <c r="J4996" t="n">
        <v>2</v>
      </c>
      <c r="K4996" t="inlineStr">
        <is>
          <t>On Time</t>
        </is>
      </c>
      <c r="L4996" t="n">
        <v>5</v>
      </c>
      <c r="M4996">
        <f>VLOOKUP(D4996,State_Lookup!$A$2:$B$28,2,FALSE)</f>
        <v/>
      </c>
    </row>
    <row r="4997">
      <c r="A4997" t="inlineStr">
        <is>
          <t>68dd7c23e8b6c1e5f3ad16be5dd4bdf6</t>
        </is>
      </c>
      <c r="B4997" t="inlineStr">
        <is>
          <t>2018-08-27</t>
        </is>
      </c>
      <c r="C4997" t="inlineStr">
        <is>
          <t>2018-08</t>
        </is>
      </c>
      <c r="D4997" t="inlineStr">
        <is>
          <t>SP</t>
        </is>
      </c>
      <c r="E4997" t="inlineStr">
        <is>
          <t>sports_leisure</t>
        </is>
      </c>
      <c r="F4997" t="n">
        <v>1</v>
      </c>
      <c r="G4997" t="n">
        <v>42</v>
      </c>
      <c r="H4997" t="n">
        <v>8.449999999999999</v>
      </c>
      <c r="I4997" t="inlineStr">
        <is>
          <t>credit_card</t>
        </is>
      </c>
      <c r="J4997" t="n">
        <v>1</v>
      </c>
      <c r="K4997" t="inlineStr">
        <is>
          <t>On Time</t>
        </is>
      </c>
      <c r="L4997" t="n">
        <v>5</v>
      </c>
      <c r="M4997">
        <f>VLOOKUP(D4997,State_Lookup!$A$2:$B$28,2,FALSE)</f>
        <v/>
      </c>
    </row>
    <row r="4998">
      <c r="A4998" t="inlineStr">
        <is>
          <t>46c123d65d1a90feca91b6c4cf104633</t>
        </is>
      </c>
      <c r="B4998" t="inlineStr">
        <is>
          <t>2018-08-27</t>
        </is>
      </c>
      <c r="C4998" t="inlineStr">
        <is>
          <t>2018-08</t>
        </is>
      </c>
      <c r="D4998" t="inlineStr">
        <is>
          <t>SP</t>
        </is>
      </c>
      <c r="E4998" t="inlineStr">
        <is>
          <t>perfumery</t>
        </is>
      </c>
      <c r="F4998" t="n">
        <v>1</v>
      </c>
      <c r="G4998" t="n">
        <v>79.8</v>
      </c>
      <c r="H4998" t="n">
        <v>7.82</v>
      </c>
      <c r="I4998" t="inlineStr">
        <is>
          <t>credit_card</t>
        </is>
      </c>
      <c r="J4998" t="n">
        <v>3</v>
      </c>
      <c r="K4998" t="inlineStr">
        <is>
          <t>On Time</t>
        </is>
      </c>
      <c r="L4998" t="n">
        <v>5</v>
      </c>
      <c r="M4998">
        <f>VLOOKUP(D4998,State_Lookup!$A$2:$B$28,2,FALSE)</f>
        <v/>
      </c>
    </row>
    <row r="4999">
      <c r="A4999" t="inlineStr">
        <is>
          <t>168626408cb32af0ffaf76711caae1dc</t>
        </is>
      </c>
      <c r="B4999" t="inlineStr">
        <is>
          <t>2018-08-29</t>
        </is>
      </c>
      <c r="C4999" t="inlineStr">
        <is>
          <t>2018-08</t>
        </is>
      </c>
      <c r="D4999" t="inlineStr">
        <is>
          <t>MG</t>
        </is>
      </c>
      <c r="E4999" t="inlineStr">
        <is>
          <t>health_beauty</t>
        </is>
      </c>
      <c r="F4999" t="n">
        <v>1</v>
      </c>
      <c r="G4999" t="n">
        <v>45.9</v>
      </c>
      <c r="H4999" t="n">
        <v>15.39</v>
      </c>
      <c r="I4999" t="inlineStr">
        <is>
          <t>voucher</t>
        </is>
      </c>
      <c r="J4999" t="n">
        <v>1</v>
      </c>
      <c r="K4999" t="inlineStr">
        <is>
          <t>On Time</t>
        </is>
      </c>
      <c r="L4999" t="n">
        <v>5</v>
      </c>
      <c r="M4999">
        <f>VLOOKUP(D4999,State_Lookup!$A$2:$B$28,2,FALSE)</f>
        <v/>
      </c>
    </row>
    <row r="5000">
      <c r="A5000" t="inlineStr">
        <is>
          <t>912859fef5a0bd5059b6d48fa79d121a</t>
        </is>
      </c>
      <c r="B5000" t="inlineStr">
        <is>
          <t>2018-08-29</t>
        </is>
      </c>
      <c r="C5000" t="inlineStr">
        <is>
          <t>2018-08</t>
        </is>
      </c>
      <c r="D5000" t="inlineStr">
        <is>
          <t>SP</t>
        </is>
      </c>
      <c r="E5000" t="inlineStr">
        <is>
          <t>watches_gifts</t>
        </is>
      </c>
      <c r="F5000" t="n">
        <v>1</v>
      </c>
      <c r="G5000" t="n">
        <v>169.8</v>
      </c>
      <c r="H5000" t="n">
        <v>8.449999999999999</v>
      </c>
      <c r="I5000" t="inlineStr">
        <is>
          <t>credit_card</t>
        </is>
      </c>
      <c r="J5000" t="n">
        <v>1</v>
      </c>
      <c r="K5000" t="inlineStr">
        <is>
          <t>On Time</t>
        </is>
      </c>
      <c r="L5000" t="n">
        <v>5</v>
      </c>
      <c r="M5000">
        <f>VLOOKUP(D5000,State_Lookup!$A$2:$B$28,2,FALSE)</f>
        <v/>
      </c>
    </row>
    <row r="5001">
      <c r="A5001" t="inlineStr">
        <is>
          <t>52018484704db3661b98ce838612b507</t>
        </is>
      </c>
      <c r="B5001" t="inlineStr">
        <is>
          <t>2018-08-29</t>
        </is>
      </c>
      <c r="C5001" t="inlineStr">
        <is>
          <t>2018-08</t>
        </is>
      </c>
      <c r="D5001" t="inlineStr">
        <is>
          <t>SP</t>
        </is>
      </c>
      <c r="E5001" t="inlineStr">
        <is>
          <t>toys</t>
        </is>
      </c>
      <c r="F5001" t="n">
        <v>1</v>
      </c>
      <c r="G5001" t="n">
        <v>63.9</v>
      </c>
      <c r="H5001" t="n">
        <v>9.199999999999999</v>
      </c>
      <c r="I5001" t="inlineStr">
        <is>
          <t>credit_card</t>
        </is>
      </c>
      <c r="J5001" t="n">
        <v>1</v>
      </c>
      <c r="K5001" t="inlineStr">
        <is>
          <t>On Time</t>
        </is>
      </c>
      <c r="L5001" t="n">
        <v>1</v>
      </c>
      <c r="M5001">
        <f>VLOOKUP(D5001,State_Lookup!$A$2:$B$28,2,FALSE)</f>
        <v/>
      </c>
    </row>
  </sheetData>
  <autoFilter ref="A1:L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state_code</t>
        </is>
      </c>
      <c r="B1" s="7" t="inlineStr">
        <is>
          <t>state_name</t>
        </is>
      </c>
    </row>
    <row r="2">
      <c r="A2" t="inlineStr">
        <is>
          <t>AC</t>
        </is>
      </c>
      <c r="B2" t="inlineStr">
        <is>
          <t>Acre</t>
        </is>
      </c>
    </row>
    <row r="3">
      <c r="A3" t="inlineStr">
        <is>
          <t>AL</t>
        </is>
      </c>
      <c r="B3" t="inlineStr">
        <is>
          <t>Alagoas</t>
        </is>
      </c>
    </row>
    <row r="4">
      <c r="A4" t="inlineStr">
        <is>
          <t>AM</t>
        </is>
      </c>
      <c r="B4" t="inlineStr">
        <is>
          <t>Amazonas</t>
        </is>
      </c>
    </row>
    <row r="5">
      <c r="A5" t="inlineStr">
        <is>
          <t>AP</t>
        </is>
      </c>
      <c r="B5" t="inlineStr">
        <is>
          <t>Amapa</t>
        </is>
      </c>
    </row>
    <row r="6">
      <c r="A6" t="inlineStr">
        <is>
          <t>BA</t>
        </is>
      </c>
      <c r="B6" t="inlineStr">
        <is>
          <t>Bahia</t>
        </is>
      </c>
    </row>
    <row r="7">
      <c r="A7" t="inlineStr">
        <is>
          <t>CE</t>
        </is>
      </c>
      <c r="B7" t="inlineStr">
        <is>
          <t>Ceara</t>
        </is>
      </c>
    </row>
    <row r="8">
      <c r="A8" t="inlineStr">
        <is>
          <t>DF</t>
        </is>
      </c>
      <c r="B8" t="inlineStr">
        <is>
          <t>Distrito Federal</t>
        </is>
      </c>
    </row>
    <row r="9">
      <c r="A9" t="inlineStr">
        <is>
          <t>ES</t>
        </is>
      </c>
      <c r="B9" t="inlineStr">
        <is>
          <t>Espirito Santo</t>
        </is>
      </c>
    </row>
    <row r="10">
      <c r="A10" t="inlineStr">
        <is>
          <t>GO</t>
        </is>
      </c>
      <c r="B10" t="inlineStr">
        <is>
          <t>Goias</t>
        </is>
      </c>
    </row>
    <row r="11">
      <c r="A11" t="inlineStr">
        <is>
          <t>MA</t>
        </is>
      </c>
      <c r="B11" t="inlineStr">
        <is>
          <t>Maranhao</t>
        </is>
      </c>
    </row>
    <row r="12">
      <c r="A12" t="inlineStr">
        <is>
          <t>MG</t>
        </is>
      </c>
      <c r="B12" t="inlineStr">
        <is>
          <t>Minas Gerais</t>
        </is>
      </c>
    </row>
    <row r="13">
      <c r="A13" t="inlineStr">
        <is>
          <t>MS</t>
        </is>
      </c>
      <c r="B13" t="inlineStr">
        <is>
          <t>Mato Grosso do Sul</t>
        </is>
      </c>
    </row>
    <row r="14">
      <c r="A14" t="inlineStr">
        <is>
          <t>MT</t>
        </is>
      </c>
      <c r="B14" t="inlineStr">
        <is>
          <t>Mato Grosso</t>
        </is>
      </c>
    </row>
    <row r="15">
      <c r="A15" t="inlineStr">
        <is>
          <t>PA</t>
        </is>
      </c>
      <c r="B15" t="inlineStr">
        <is>
          <t>Para</t>
        </is>
      </c>
    </row>
    <row r="16">
      <c r="A16" t="inlineStr">
        <is>
          <t>PB</t>
        </is>
      </c>
      <c r="B16" t="inlineStr">
        <is>
          <t>Paraiba</t>
        </is>
      </c>
    </row>
    <row r="17">
      <c r="A17" t="inlineStr">
        <is>
          <t>PE</t>
        </is>
      </c>
      <c r="B17" t="inlineStr">
        <is>
          <t>Pernambuco</t>
        </is>
      </c>
    </row>
    <row r="18">
      <c r="A18" t="inlineStr">
        <is>
          <t>PI</t>
        </is>
      </c>
      <c r="B18" t="inlineStr">
        <is>
          <t>Piaui</t>
        </is>
      </c>
    </row>
    <row r="19">
      <c r="A19" t="inlineStr">
        <is>
          <t>PR</t>
        </is>
      </c>
      <c r="B19" t="inlineStr">
        <is>
          <t>Parana</t>
        </is>
      </c>
    </row>
    <row r="20">
      <c r="A20" t="inlineStr">
        <is>
          <t>RJ</t>
        </is>
      </c>
      <c r="B20" t="inlineStr">
        <is>
          <t>Rio de Janeiro</t>
        </is>
      </c>
    </row>
    <row r="21">
      <c r="A21" t="inlineStr">
        <is>
          <t>RN</t>
        </is>
      </c>
      <c r="B21" t="inlineStr">
        <is>
          <t>Rio Grande do Norte</t>
        </is>
      </c>
    </row>
    <row r="22">
      <c r="A22" t="inlineStr">
        <is>
          <t>RO</t>
        </is>
      </c>
      <c r="B22" t="inlineStr">
        <is>
          <t>Rondonia</t>
        </is>
      </c>
    </row>
    <row r="23">
      <c r="A23" t="inlineStr">
        <is>
          <t>RR</t>
        </is>
      </c>
      <c r="B23" t="inlineStr">
        <is>
          <t>Roraima</t>
        </is>
      </c>
    </row>
    <row r="24">
      <c r="A24" t="inlineStr">
        <is>
          <t>RS</t>
        </is>
      </c>
      <c r="B24" t="inlineStr">
        <is>
          <t>Rio Grande do Sul</t>
        </is>
      </c>
    </row>
    <row r="25">
      <c r="A25" t="inlineStr">
        <is>
          <t>SC</t>
        </is>
      </c>
      <c r="B25" t="inlineStr">
        <is>
          <t>Santa Catarina</t>
        </is>
      </c>
    </row>
    <row r="26">
      <c r="A26" t="inlineStr">
        <is>
          <t>SE</t>
        </is>
      </c>
      <c r="B26" t="inlineStr">
        <is>
          <t>Sergipe</t>
        </is>
      </c>
    </row>
    <row r="27">
      <c r="A27" t="inlineStr">
        <is>
          <t>SP</t>
        </is>
      </c>
      <c r="B27" t="inlineStr">
        <is>
          <t>Sao Paulo</t>
        </is>
      </c>
    </row>
    <row r="28">
      <c r="A28" t="inlineStr">
        <is>
          <t>TO</t>
        </is>
      </c>
      <c r="B28" t="inlineStr">
        <is>
          <t>Tocantins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2026-10-04T07:25:20Z</dcterms:created>
  <dcterms:modified xmlns:dcterms="http://purl.org/dc/terms/" xmlns:xsi="http://www.w3.org/2001/XMLSchema-instance" xsi:type="dcterms:W3CDTF">2026-10-04T07:25:20Z</dcterms:modified>
</cp:coreProperties>
</file>